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oca-my.sharepoint.com/personal/mlepicie_uwo_ca/Documents/Documents/PORTFOLIO/GIT/hybrid-genetic-algorithm/genetic-algorithm_models/tsptw/"/>
    </mc:Choice>
  </mc:AlternateContent>
  <xr:revisionPtr revIDLastSave="26000" documentId="8_{C7A2527D-2976-45CE-9BAC-59BA9884C7EE}" xr6:coauthVersionLast="47" xr6:coauthVersionMax="47" xr10:uidLastSave="{8847A00E-FFEF-4AE0-B594-A4256BF7E352}"/>
  <bookViews>
    <workbookView xWindow="-108" yWindow="-108" windowWidth="23256" windowHeight="12576" activeTab="4" xr2:uid="{00000000-000D-0000-FFFF-FFFF00000000}"/>
  </bookViews>
  <sheets>
    <sheet name="AG" sheetId="1" r:id="rId1"/>
    <sheet name="FIRST_POP" sheetId="11" r:id="rId2"/>
    <sheet name="MANUAL_CHECK" sheetId="9" r:id="rId3"/>
    <sheet name="DIST" sheetId="6" r:id="rId4"/>
    <sheet name="DATA" sheetId="5" r:id="rId5"/>
    <sheet name="R1_Dataset" sheetId="2" state="hidden" r:id="rId6"/>
    <sheet name="C1_Dataset" sheetId="3" state="hidden" r:id="rId7"/>
    <sheet name="RC1_Dataset" sheetId="4" state="hidden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4" i="6" l="1"/>
  <c r="C2" i="6"/>
  <c r="B5" i="6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B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C3" i="9"/>
  <c r="M3" i="9"/>
  <c r="D3" i="9"/>
  <c r="E3" i="9"/>
  <c r="F3" i="9"/>
  <c r="G3" i="9"/>
  <c r="H3" i="9"/>
  <c r="I3" i="9"/>
  <c r="J3" i="9"/>
  <c r="K3" i="9"/>
  <c r="L3" i="9"/>
  <c r="B3" i="9"/>
  <c r="C2" i="9"/>
  <c r="D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B3" i="6"/>
  <c r="B7" i="9"/>
  <c r="C3" i="6"/>
  <c r="D3" i="6"/>
  <c r="E3" i="6"/>
  <c r="F3" i="6"/>
  <c r="G3" i="6"/>
  <c r="H3" i="6"/>
  <c r="I3" i="6"/>
  <c r="J3" i="6"/>
  <c r="K3" i="6"/>
  <c r="L3" i="6"/>
  <c r="M3" i="6"/>
  <c r="N3" i="6"/>
  <c r="AO5" i="9" s="1"/>
  <c r="O3" i="6"/>
  <c r="P3" i="6"/>
  <c r="Q3" i="6"/>
  <c r="R3" i="6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BL3" i="6"/>
  <c r="BM3" i="6"/>
  <c r="BN3" i="6"/>
  <c r="BO3" i="6"/>
  <c r="BP3" i="6"/>
  <c r="BQ3" i="6"/>
  <c r="BR3" i="6"/>
  <c r="BS3" i="6"/>
  <c r="BT3" i="6"/>
  <c r="BU3" i="6"/>
  <c r="BV3" i="6"/>
  <c r="BW3" i="6"/>
  <c r="BX3" i="6"/>
  <c r="BY3" i="6"/>
  <c r="BZ3" i="6"/>
  <c r="CA3" i="6"/>
  <c r="CB3" i="6"/>
  <c r="CC3" i="6"/>
  <c r="CD3" i="6"/>
  <c r="CE3" i="6"/>
  <c r="CF3" i="6"/>
  <c r="CG3" i="6"/>
  <c r="CH3" i="6"/>
  <c r="CI3" i="6"/>
  <c r="CJ3" i="6"/>
  <c r="CK3" i="6"/>
  <c r="CL3" i="6"/>
  <c r="CM3" i="6"/>
  <c r="CN3" i="6"/>
  <c r="CO3" i="6"/>
  <c r="CP3" i="6"/>
  <c r="CQ3" i="6"/>
  <c r="CR3" i="6"/>
  <c r="CS3" i="6"/>
  <c r="CT3" i="6"/>
  <c r="CU3" i="6"/>
  <c r="CV3" i="6"/>
  <c r="CW3" i="6"/>
  <c r="CX3" i="6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H4" i="9" s="1"/>
  <c r="AF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G4" i="6"/>
  <c r="BH4" i="6"/>
  <c r="BI4" i="6"/>
  <c r="BJ4" i="6"/>
  <c r="BK4" i="6"/>
  <c r="BL4" i="6"/>
  <c r="BM4" i="6"/>
  <c r="BN4" i="6"/>
  <c r="BO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CW4" i="6"/>
  <c r="CX4" i="6"/>
  <c r="C5" i="6"/>
  <c r="D5" i="6"/>
  <c r="E5" i="6"/>
  <c r="F5" i="6"/>
  <c r="G5" i="6"/>
  <c r="H5" i="6"/>
  <c r="I5" i="6"/>
  <c r="J5" i="6"/>
  <c r="K5" i="6"/>
  <c r="AD5" i="9" s="1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B5" i="6"/>
  <c r="BC5" i="6"/>
  <c r="BD5" i="6"/>
  <c r="BE5" i="6"/>
  <c r="BF5" i="6"/>
  <c r="BG5" i="6"/>
  <c r="BH5" i="6"/>
  <c r="BI5" i="6"/>
  <c r="BJ5" i="6"/>
  <c r="BK5" i="6"/>
  <c r="BL5" i="6"/>
  <c r="BM5" i="6"/>
  <c r="BN5" i="6"/>
  <c r="BO5" i="6"/>
  <c r="BP5" i="6"/>
  <c r="BQ5" i="6"/>
  <c r="BR5" i="6"/>
  <c r="BS5" i="6"/>
  <c r="BT5" i="6"/>
  <c r="BU5" i="6"/>
  <c r="BV5" i="6"/>
  <c r="BW5" i="6"/>
  <c r="BX5" i="6"/>
  <c r="BY5" i="6"/>
  <c r="BZ5" i="6"/>
  <c r="CA5" i="6"/>
  <c r="CB5" i="6"/>
  <c r="CC5" i="6"/>
  <c r="CD5" i="6"/>
  <c r="CE5" i="6"/>
  <c r="CF5" i="6"/>
  <c r="CG5" i="6"/>
  <c r="CH5" i="6"/>
  <c r="CI5" i="6"/>
  <c r="CJ5" i="6"/>
  <c r="CK5" i="6"/>
  <c r="CL5" i="6"/>
  <c r="CM5" i="6"/>
  <c r="CN5" i="6"/>
  <c r="CO5" i="6"/>
  <c r="CP5" i="6"/>
  <c r="CQ5" i="6"/>
  <c r="CR5" i="6"/>
  <c r="CS5" i="6"/>
  <c r="CT5" i="6"/>
  <c r="CU5" i="6"/>
  <c r="CV5" i="6"/>
  <c r="CW5" i="6"/>
  <c r="CX5" i="6"/>
  <c r="B6" i="6"/>
  <c r="C6" i="6"/>
  <c r="AN5" i="9" s="1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Q6" i="6"/>
  <c r="CR6" i="6"/>
  <c r="CS6" i="6"/>
  <c r="CT6" i="6"/>
  <c r="CU6" i="6"/>
  <c r="CV6" i="6"/>
  <c r="CW6" i="6"/>
  <c r="CX6" i="6"/>
  <c r="B7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N4" i="9" s="1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U5" i="9" s="1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B9" i="6"/>
  <c r="C9" i="6"/>
  <c r="D9" i="6"/>
  <c r="E9" i="6"/>
  <c r="F9" i="6"/>
  <c r="AM5" i="9" s="1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BQ9" i="6"/>
  <c r="BR9" i="6"/>
  <c r="BS9" i="6"/>
  <c r="BT9" i="6"/>
  <c r="BU9" i="6"/>
  <c r="BV9" i="6"/>
  <c r="BW9" i="6"/>
  <c r="BX9" i="6"/>
  <c r="BY9" i="6"/>
  <c r="BZ9" i="6"/>
  <c r="CA9" i="6"/>
  <c r="CB9" i="6"/>
  <c r="CC9" i="6"/>
  <c r="CD9" i="6"/>
  <c r="CE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J5" i="9" s="1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CW10" i="6"/>
  <c r="CX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E5" i="9" s="1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J11" i="6"/>
  <c r="BK11" i="6"/>
  <c r="BL11" i="6"/>
  <c r="BM11" i="6"/>
  <c r="BN11" i="6"/>
  <c r="BO11" i="6"/>
  <c r="BP11" i="6"/>
  <c r="BQ11" i="6"/>
  <c r="BR11" i="6"/>
  <c r="BS11" i="6"/>
  <c r="BT11" i="6"/>
  <c r="BU11" i="6"/>
  <c r="BV11" i="6"/>
  <c r="BW11" i="6"/>
  <c r="BX11" i="6"/>
  <c r="BY11" i="6"/>
  <c r="BZ11" i="6"/>
  <c r="CA11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CN11" i="6"/>
  <c r="CO11" i="6"/>
  <c r="CP11" i="6"/>
  <c r="CQ11" i="6"/>
  <c r="CR11" i="6"/>
  <c r="CS11" i="6"/>
  <c r="CT11" i="6"/>
  <c r="CU11" i="6"/>
  <c r="CV11" i="6"/>
  <c r="CW11" i="6"/>
  <c r="CX11" i="6"/>
  <c r="B12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W5" i="9" s="1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F12" i="6"/>
  <c r="BG12" i="6"/>
  <c r="BH12" i="6"/>
  <c r="BI12" i="6"/>
  <c r="BJ12" i="6"/>
  <c r="BK12" i="6"/>
  <c r="BL12" i="6"/>
  <c r="BM12" i="6"/>
  <c r="BN12" i="6"/>
  <c r="BO12" i="6"/>
  <c r="BP12" i="6"/>
  <c r="BQ12" i="6"/>
  <c r="BR12" i="6"/>
  <c r="BS12" i="6"/>
  <c r="BT12" i="6"/>
  <c r="BU12" i="6"/>
  <c r="BV12" i="6"/>
  <c r="BW12" i="6"/>
  <c r="BX12" i="6"/>
  <c r="BY12" i="6"/>
  <c r="BZ12" i="6"/>
  <c r="CA12" i="6"/>
  <c r="CB12" i="6"/>
  <c r="CC12" i="6"/>
  <c r="CD12" i="6"/>
  <c r="CE12" i="6"/>
  <c r="CF12" i="6"/>
  <c r="CG12" i="6"/>
  <c r="CH12" i="6"/>
  <c r="CI12" i="6"/>
  <c r="CJ12" i="6"/>
  <c r="CK12" i="6"/>
  <c r="CL12" i="6"/>
  <c r="CM12" i="6"/>
  <c r="CN12" i="6"/>
  <c r="CO12" i="6"/>
  <c r="CP12" i="6"/>
  <c r="CQ12" i="6"/>
  <c r="CR12" i="6"/>
  <c r="CS12" i="6"/>
  <c r="CT12" i="6"/>
  <c r="CU12" i="6"/>
  <c r="CV12" i="6"/>
  <c r="CW12" i="6"/>
  <c r="CX12" i="6"/>
  <c r="B13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L4" i="9" s="1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BE13" i="6"/>
  <c r="BF13" i="6"/>
  <c r="BG13" i="6"/>
  <c r="BH13" i="6"/>
  <c r="BI13" i="6"/>
  <c r="BJ13" i="6"/>
  <c r="BK13" i="6"/>
  <c r="BL13" i="6"/>
  <c r="BM13" i="6"/>
  <c r="BN13" i="6"/>
  <c r="BO13" i="6"/>
  <c r="BP13" i="6"/>
  <c r="BQ13" i="6"/>
  <c r="BR13" i="6"/>
  <c r="BS13" i="6"/>
  <c r="BT13" i="6"/>
  <c r="BU13" i="6"/>
  <c r="BV13" i="6"/>
  <c r="BW13" i="6"/>
  <c r="BX13" i="6"/>
  <c r="BY13" i="6"/>
  <c r="BZ13" i="6"/>
  <c r="CA13" i="6"/>
  <c r="CB13" i="6"/>
  <c r="CC13" i="6"/>
  <c r="CD13" i="6"/>
  <c r="CE13" i="6"/>
  <c r="CF13" i="6"/>
  <c r="CG13" i="6"/>
  <c r="CH13" i="6"/>
  <c r="CI13" i="6"/>
  <c r="CJ13" i="6"/>
  <c r="CK13" i="6"/>
  <c r="CL13" i="6"/>
  <c r="CM13" i="6"/>
  <c r="CN13" i="6"/>
  <c r="CO13" i="6"/>
  <c r="CP13" i="6"/>
  <c r="CQ13" i="6"/>
  <c r="CR13" i="6"/>
  <c r="CS13" i="6"/>
  <c r="CT13" i="6"/>
  <c r="CU13" i="6"/>
  <c r="CV13" i="6"/>
  <c r="CW13" i="6"/>
  <c r="CX13" i="6"/>
  <c r="B14" i="6"/>
  <c r="AP4" i="9" s="1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CN14" i="6"/>
  <c r="CO14" i="6"/>
  <c r="CP14" i="6"/>
  <c r="CQ14" i="6"/>
  <c r="CR14" i="6"/>
  <c r="CS14" i="6"/>
  <c r="CT14" i="6"/>
  <c r="CU14" i="6"/>
  <c r="CV14" i="6"/>
  <c r="CW14" i="6"/>
  <c r="CX14" i="6"/>
  <c r="B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J5" i="9" s="1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N15" i="6"/>
  <c r="CO15" i="6"/>
  <c r="CP15" i="6"/>
  <c r="CQ15" i="6"/>
  <c r="CR15" i="6"/>
  <c r="CS15" i="6"/>
  <c r="CT15" i="6"/>
  <c r="CU15" i="6"/>
  <c r="CV15" i="6"/>
  <c r="CW15" i="6"/>
  <c r="CX15" i="6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Y5" i="9" s="1"/>
  <c r="AM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BG16" i="6"/>
  <c r="BH16" i="6"/>
  <c r="BI16" i="6"/>
  <c r="BJ16" i="6"/>
  <c r="BK16" i="6"/>
  <c r="BL16" i="6"/>
  <c r="BM16" i="6"/>
  <c r="BN16" i="6"/>
  <c r="BO16" i="6"/>
  <c r="BP16" i="6"/>
  <c r="BQ16" i="6"/>
  <c r="BR16" i="6"/>
  <c r="BS16" i="6"/>
  <c r="BT16" i="6"/>
  <c r="BU16" i="6"/>
  <c r="BV16" i="6"/>
  <c r="BW16" i="6"/>
  <c r="BX16" i="6"/>
  <c r="BY16" i="6"/>
  <c r="BZ16" i="6"/>
  <c r="CA16" i="6"/>
  <c r="CB16" i="6"/>
  <c r="CC16" i="6"/>
  <c r="CD16" i="6"/>
  <c r="CE16" i="6"/>
  <c r="CF16" i="6"/>
  <c r="CG16" i="6"/>
  <c r="CH16" i="6"/>
  <c r="CI16" i="6"/>
  <c r="CJ16" i="6"/>
  <c r="CK16" i="6"/>
  <c r="CL16" i="6"/>
  <c r="CM16" i="6"/>
  <c r="CN16" i="6"/>
  <c r="CO16" i="6"/>
  <c r="CP16" i="6"/>
  <c r="CQ16" i="6"/>
  <c r="CR16" i="6"/>
  <c r="CS16" i="6"/>
  <c r="CT16" i="6"/>
  <c r="CU16" i="6"/>
  <c r="CV16" i="6"/>
  <c r="CW16" i="6"/>
  <c r="CX16" i="6"/>
  <c r="B17" i="6"/>
  <c r="C17" i="6"/>
  <c r="D17" i="6"/>
  <c r="E17" i="6"/>
  <c r="F17" i="6"/>
  <c r="G17" i="6"/>
  <c r="H17" i="6"/>
  <c r="I17" i="6"/>
  <c r="J17" i="6"/>
  <c r="K17" i="6"/>
  <c r="L17" i="6"/>
  <c r="V4" i="9" s="1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CB17" i="6"/>
  <c r="CC17" i="6"/>
  <c r="CD17" i="6"/>
  <c r="CE17" i="6"/>
  <c r="CF17" i="6"/>
  <c r="CG17" i="6"/>
  <c r="CH17" i="6"/>
  <c r="CI17" i="6"/>
  <c r="CJ17" i="6"/>
  <c r="CK17" i="6"/>
  <c r="CL17" i="6"/>
  <c r="CM17" i="6"/>
  <c r="CN17" i="6"/>
  <c r="CO17" i="6"/>
  <c r="CP17" i="6"/>
  <c r="CQ17" i="6"/>
  <c r="CR17" i="6"/>
  <c r="CS17" i="6"/>
  <c r="CT17" i="6"/>
  <c r="CU17" i="6"/>
  <c r="CV17" i="6"/>
  <c r="CW17" i="6"/>
  <c r="CX17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AH5" i="9" s="1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E18" i="6"/>
  <c r="CF18" i="6"/>
  <c r="CG18" i="6"/>
  <c r="CH18" i="6"/>
  <c r="CI18" i="6"/>
  <c r="CJ18" i="6"/>
  <c r="CK18" i="6"/>
  <c r="CL18" i="6"/>
  <c r="CM18" i="6"/>
  <c r="CN18" i="6"/>
  <c r="CO18" i="6"/>
  <c r="CP18" i="6"/>
  <c r="CQ18" i="6"/>
  <c r="CR18" i="6"/>
  <c r="CS18" i="6"/>
  <c r="CT18" i="6"/>
  <c r="CU18" i="6"/>
  <c r="CV18" i="6"/>
  <c r="CW18" i="6"/>
  <c r="CX18" i="6"/>
  <c r="B19" i="6"/>
  <c r="C19" i="6"/>
  <c r="D19" i="6"/>
  <c r="E19" i="6"/>
  <c r="AC5" i="9" s="1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BG19" i="6"/>
  <c r="BH19" i="6"/>
  <c r="BI19" i="6"/>
  <c r="BJ19" i="6"/>
  <c r="BK19" i="6"/>
  <c r="BL19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CA19" i="6"/>
  <c r="CB19" i="6"/>
  <c r="CC19" i="6"/>
  <c r="CD19" i="6"/>
  <c r="CE19" i="6"/>
  <c r="CF19" i="6"/>
  <c r="CG19" i="6"/>
  <c r="CH19" i="6"/>
  <c r="CI19" i="6"/>
  <c r="CJ19" i="6"/>
  <c r="CK19" i="6"/>
  <c r="CL19" i="6"/>
  <c r="CM19" i="6"/>
  <c r="CN19" i="6"/>
  <c r="CO19" i="6"/>
  <c r="CP19" i="6"/>
  <c r="CQ19" i="6"/>
  <c r="CR19" i="6"/>
  <c r="CS19" i="6"/>
  <c r="CT19" i="6"/>
  <c r="CU19" i="6"/>
  <c r="CV19" i="6"/>
  <c r="CW19" i="6"/>
  <c r="CX19" i="6"/>
  <c r="B20" i="6"/>
  <c r="C20" i="6"/>
  <c r="D20" i="6"/>
  <c r="E20" i="6"/>
  <c r="F20" i="6"/>
  <c r="G20" i="6"/>
  <c r="H20" i="6"/>
  <c r="I20" i="6"/>
  <c r="J20" i="6"/>
  <c r="K20" i="6"/>
  <c r="L20" i="6"/>
  <c r="M20" i="6"/>
  <c r="K4" i="9" s="1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CA20" i="6"/>
  <c r="CB20" i="6"/>
  <c r="CC20" i="6"/>
  <c r="CD20" i="6"/>
  <c r="CE20" i="6"/>
  <c r="CF20" i="6"/>
  <c r="CG20" i="6"/>
  <c r="CH20" i="6"/>
  <c r="CI20" i="6"/>
  <c r="CJ20" i="6"/>
  <c r="CK20" i="6"/>
  <c r="CL20" i="6"/>
  <c r="CM20" i="6"/>
  <c r="CN20" i="6"/>
  <c r="CO20" i="6"/>
  <c r="CP20" i="6"/>
  <c r="CQ20" i="6"/>
  <c r="CR20" i="6"/>
  <c r="CS20" i="6"/>
  <c r="CT20" i="6"/>
  <c r="CU20" i="6"/>
  <c r="CV20" i="6"/>
  <c r="CW20" i="6"/>
  <c r="CX20" i="6"/>
  <c r="B21" i="6"/>
  <c r="C21" i="6"/>
  <c r="D21" i="6"/>
  <c r="E21" i="6"/>
  <c r="F21" i="6"/>
  <c r="G21" i="6"/>
  <c r="H21" i="6"/>
  <c r="I21" i="6"/>
  <c r="J21" i="6"/>
  <c r="AI5" i="9" s="1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C21" i="6"/>
  <c r="BD21" i="6"/>
  <c r="BE21" i="6"/>
  <c r="BF21" i="6"/>
  <c r="BG21" i="6"/>
  <c r="BH21" i="6"/>
  <c r="BI21" i="6"/>
  <c r="BJ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CW21" i="6"/>
  <c r="CX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O4" i="9" s="1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CW22" i="6"/>
  <c r="CX22" i="6"/>
  <c r="B23" i="6"/>
  <c r="C23" i="6"/>
  <c r="D23" i="6"/>
  <c r="E23" i="6"/>
  <c r="F23" i="6"/>
  <c r="G23" i="6"/>
  <c r="H23" i="6"/>
  <c r="T5" i="9" s="1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CW23" i="6"/>
  <c r="CX23" i="6"/>
  <c r="B24" i="6"/>
  <c r="C24" i="6"/>
  <c r="D24" i="6"/>
  <c r="E24" i="6"/>
  <c r="F24" i="6"/>
  <c r="G24" i="6"/>
  <c r="H24" i="6"/>
  <c r="I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S5" i="9" s="1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I24" i="6"/>
  <c r="BJ24" i="6"/>
  <c r="BK24" i="6"/>
  <c r="BL24" i="6"/>
  <c r="BM24" i="6"/>
  <c r="BN24" i="6"/>
  <c r="BO24" i="6"/>
  <c r="BP24" i="6"/>
  <c r="BQ24" i="6"/>
  <c r="BR24" i="6"/>
  <c r="BS24" i="6"/>
  <c r="BT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CW24" i="6"/>
  <c r="CX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X5" i="9" s="1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CW25" i="6"/>
  <c r="CX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G5" i="9" s="1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BG26" i="6"/>
  <c r="BH26" i="6"/>
  <c r="BI26" i="6"/>
  <c r="BJ26" i="6"/>
  <c r="BK26" i="6"/>
  <c r="BL26" i="6"/>
  <c r="BM26" i="6"/>
  <c r="BN26" i="6"/>
  <c r="BO26" i="6"/>
  <c r="BP26" i="6"/>
  <c r="BQ26" i="6"/>
  <c r="BR26" i="6"/>
  <c r="BS26" i="6"/>
  <c r="BT26" i="6"/>
  <c r="BU26" i="6"/>
  <c r="BV26" i="6"/>
  <c r="BW26" i="6"/>
  <c r="BX26" i="6"/>
  <c r="BY26" i="6"/>
  <c r="BZ26" i="6"/>
  <c r="CA26" i="6"/>
  <c r="CB26" i="6"/>
  <c r="CC26" i="6"/>
  <c r="CD26" i="6"/>
  <c r="CE26" i="6"/>
  <c r="CF26" i="6"/>
  <c r="CG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CW26" i="6"/>
  <c r="CX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AB5" i="9" s="1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CW27" i="6"/>
  <c r="CX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F5" i="9" s="1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F28" i="6"/>
  <c r="CG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CW28" i="6"/>
  <c r="CX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E4" i="9" s="1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E29" i="6"/>
  <c r="CF29" i="6"/>
  <c r="CG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CW29" i="6"/>
  <c r="CX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R5" i="9" s="1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I4" i="9" s="1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CW31" i="6"/>
  <c r="CX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P4" i="9" s="1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CW32" i="6"/>
  <c r="CX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D5" i="9" s="1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CW33" i="6"/>
  <c r="CX33" i="6"/>
  <c r="B34" i="6"/>
  <c r="C34" i="6"/>
  <c r="D34" i="6"/>
  <c r="E34" i="6"/>
  <c r="F34" i="6"/>
  <c r="G34" i="6"/>
  <c r="M5" i="9" s="1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CW34" i="6"/>
  <c r="CX34" i="6"/>
  <c r="B35" i="6"/>
  <c r="C35" i="6"/>
  <c r="D35" i="6"/>
  <c r="G4" i="9" s="1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CW35" i="6"/>
  <c r="CX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F4" i="9" s="1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BL36" i="6"/>
  <c r="BM36" i="6"/>
  <c r="BN36" i="6"/>
  <c r="BO36" i="6"/>
  <c r="BP36" i="6"/>
  <c r="BQ36" i="6"/>
  <c r="BR36" i="6"/>
  <c r="BS36" i="6"/>
  <c r="BT36" i="6"/>
  <c r="BU36" i="6"/>
  <c r="BV36" i="6"/>
  <c r="BW36" i="6"/>
  <c r="BX36" i="6"/>
  <c r="BY36" i="6"/>
  <c r="BZ36" i="6"/>
  <c r="CA36" i="6"/>
  <c r="CB36" i="6"/>
  <c r="CC36" i="6"/>
  <c r="CD36" i="6"/>
  <c r="CE36" i="6"/>
  <c r="CF36" i="6"/>
  <c r="CG36" i="6"/>
  <c r="CH36" i="6"/>
  <c r="CI36" i="6"/>
  <c r="CJ36" i="6"/>
  <c r="CK36" i="6"/>
  <c r="CL36" i="6"/>
  <c r="CM36" i="6"/>
  <c r="CN36" i="6"/>
  <c r="CO36" i="6"/>
  <c r="CP36" i="6"/>
  <c r="CQ36" i="6"/>
  <c r="CR36" i="6"/>
  <c r="CS36" i="6"/>
  <c r="CT36" i="6"/>
  <c r="CU36" i="6"/>
  <c r="CV36" i="6"/>
  <c r="CW36" i="6"/>
  <c r="CX36" i="6"/>
  <c r="B37" i="6"/>
  <c r="C37" i="6"/>
  <c r="D37" i="6"/>
  <c r="E37" i="6"/>
  <c r="F37" i="6"/>
  <c r="G37" i="6"/>
  <c r="H37" i="6"/>
  <c r="I37" i="6"/>
  <c r="AL5" i="9" s="1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CW37" i="6"/>
  <c r="CX37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Z5" i="9" s="1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CE38" i="6"/>
  <c r="CF38" i="6"/>
  <c r="CG38" i="6"/>
  <c r="CH38" i="6"/>
  <c r="CI38" i="6"/>
  <c r="CJ38" i="6"/>
  <c r="CK38" i="6"/>
  <c r="CL38" i="6"/>
  <c r="CM38" i="6"/>
  <c r="CN38" i="6"/>
  <c r="CO38" i="6"/>
  <c r="CP38" i="6"/>
  <c r="CQ38" i="6"/>
  <c r="CR38" i="6"/>
  <c r="CS38" i="6"/>
  <c r="CT38" i="6"/>
  <c r="CU38" i="6"/>
  <c r="CV38" i="6"/>
  <c r="CW38" i="6"/>
  <c r="CX38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A5" i="9" s="1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CW39" i="6"/>
  <c r="CX39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Q4" i="9" s="1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CK40" i="6"/>
  <c r="CL40" i="6"/>
  <c r="CM40" i="6"/>
  <c r="CN40" i="6"/>
  <c r="CO40" i="6"/>
  <c r="CP40" i="6"/>
  <c r="CQ40" i="6"/>
  <c r="CR40" i="6"/>
  <c r="CS40" i="6"/>
  <c r="CT40" i="6"/>
  <c r="CU40" i="6"/>
  <c r="CV40" i="6"/>
  <c r="CW40" i="6"/>
  <c r="CX40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K5" i="9" s="1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CW41" i="6"/>
  <c r="CX41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CW42" i="6"/>
  <c r="CX42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CW43" i="6"/>
  <c r="CX43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N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Q44" i="6"/>
  <c r="CR44" i="6"/>
  <c r="CS44" i="6"/>
  <c r="CT44" i="6"/>
  <c r="CU44" i="6"/>
  <c r="CV44" i="6"/>
  <c r="CW44" i="6"/>
  <c r="CX44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Q45" i="6"/>
  <c r="CR45" i="6"/>
  <c r="CS45" i="6"/>
  <c r="CT45" i="6"/>
  <c r="CU45" i="6"/>
  <c r="CV45" i="6"/>
  <c r="CW45" i="6"/>
  <c r="CX45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CK46" i="6"/>
  <c r="CL46" i="6"/>
  <c r="CM46" i="6"/>
  <c r="CN46" i="6"/>
  <c r="CO46" i="6"/>
  <c r="CP46" i="6"/>
  <c r="CQ46" i="6"/>
  <c r="CR46" i="6"/>
  <c r="CS46" i="6"/>
  <c r="CT46" i="6"/>
  <c r="CU46" i="6"/>
  <c r="CV46" i="6"/>
  <c r="CW46" i="6"/>
  <c r="CX46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BL47" i="6"/>
  <c r="BM47" i="6"/>
  <c r="BN47" i="6"/>
  <c r="BO47" i="6"/>
  <c r="BP47" i="6"/>
  <c r="BQ47" i="6"/>
  <c r="BR47" i="6"/>
  <c r="BS47" i="6"/>
  <c r="BT47" i="6"/>
  <c r="BU47" i="6"/>
  <c r="BV47" i="6"/>
  <c r="BW47" i="6"/>
  <c r="BX47" i="6"/>
  <c r="BY47" i="6"/>
  <c r="BZ47" i="6"/>
  <c r="CA47" i="6"/>
  <c r="CB47" i="6"/>
  <c r="CC47" i="6"/>
  <c r="CD47" i="6"/>
  <c r="CE47" i="6"/>
  <c r="CF47" i="6"/>
  <c r="CG47" i="6"/>
  <c r="CH47" i="6"/>
  <c r="CI47" i="6"/>
  <c r="CJ47" i="6"/>
  <c r="CK47" i="6"/>
  <c r="CL47" i="6"/>
  <c r="CM47" i="6"/>
  <c r="CN47" i="6"/>
  <c r="CO47" i="6"/>
  <c r="CP47" i="6"/>
  <c r="CQ47" i="6"/>
  <c r="CR47" i="6"/>
  <c r="CS47" i="6"/>
  <c r="CT47" i="6"/>
  <c r="CU47" i="6"/>
  <c r="CV47" i="6"/>
  <c r="CW47" i="6"/>
  <c r="CX47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BG48" i="6"/>
  <c r="BH48" i="6"/>
  <c r="BI48" i="6"/>
  <c r="BJ48" i="6"/>
  <c r="BK48" i="6"/>
  <c r="BL48" i="6"/>
  <c r="BM48" i="6"/>
  <c r="BN48" i="6"/>
  <c r="BO48" i="6"/>
  <c r="BP48" i="6"/>
  <c r="BQ48" i="6"/>
  <c r="BR48" i="6"/>
  <c r="BS48" i="6"/>
  <c r="BT48" i="6"/>
  <c r="BU48" i="6"/>
  <c r="BV48" i="6"/>
  <c r="BW48" i="6"/>
  <c r="BX48" i="6"/>
  <c r="BY48" i="6"/>
  <c r="BZ48" i="6"/>
  <c r="CA48" i="6"/>
  <c r="CB48" i="6"/>
  <c r="CC48" i="6"/>
  <c r="CD48" i="6"/>
  <c r="CE48" i="6"/>
  <c r="CF48" i="6"/>
  <c r="CG48" i="6"/>
  <c r="CH48" i="6"/>
  <c r="CI48" i="6"/>
  <c r="CJ48" i="6"/>
  <c r="CK48" i="6"/>
  <c r="CL48" i="6"/>
  <c r="CM48" i="6"/>
  <c r="CN48" i="6"/>
  <c r="CO48" i="6"/>
  <c r="CP48" i="6"/>
  <c r="CQ48" i="6"/>
  <c r="CR48" i="6"/>
  <c r="CS48" i="6"/>
  <c r="CT48" i="6"/>
  <c r="CU48" i="6"/>
  <c r="CV48" i="6"/>
  <c r="CW48" i="6"/>
  <c r="CX48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CK49" i="6"/>
  <c r="CL49" i="6"/>
  <c r="CM49" i="6"/>
  <c r="CN49" i="6"/>
  <c r="CO49" i="6"/>
  <c r="CP49" i="6"/>
  <c r="CQ49" i="6"/>
  <c r="CR49" i="6"/>
  <c r="CS49" i="6"/>
  <c r="CT49" i="6"/>
  <c r="CU49" i="6"/>
  <c r="CV49" i="6"/>
  <c r="CW49" i="6"/>
  <c r="CX49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I50" i="6"/>
  <c r="BJ50" i="6"/>
  <c r="BK50" i="6"/>
  <c r="BL50" i="6"/>
  <c r="BM50" i="6"/>
  <c r="BN50" i="6"/>
  <c r="BO50" i="6"/>
  <c r="BP50" i="6"/>
  <c r="BQ50" i="6"/>
  <c r="BR50" i="6"/>
  <c r="BS50" i="6"/>
  <c r="BT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CW50" i="6"/>
  <c r="CX50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CW51" i="6"/>
  <c r="CX51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CW52" i="6"/>
  <c r="CX52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CW53" i="6"/>
  <c r="CX53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CW54" i="6"/>
  <c r="CX54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CW56" i="6"/>
  <c r="CX56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CW57" i="6"/>
  <c r="CX57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F58" i="6"/>
  <c r="BG58" i="6"/>
  <c r="BH58" i="6"/>
  <c r="BI58" i="6"/>
  <c r="BJ58" i="6"/>
  <c r="BK58" i="6"/>
  <c r="BL58" i="6"/>
  <c r="BM58" i="6"/>
  <c r="BN58" i="6"/>
  <c r="BO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Q58" i="6"/>
  <c r="CR58" i="6"/>
  <c r="CS58" i="6"/>
  <c r="CT58" i="6"/>
  <c r="CU58" i="6"/>
  <c r="CV58" i="6"/>
  <c r="CW58" i="6"/>
  <c r="CX58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CW59" i="6"/>
  <c r="CX59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CW60" i="6"/>
  <c r="CX60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Q61" i="6"/>
  <c r="CR61" i="6"/>
  <c r="CS61" i="6"/>
  <c r="CT61" i="6"/>
  <c r="CU61" i="6"/>
  <c r="CV61" i="6"/>
  <c r="CW61" i="6"/>
  <c r="CX61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H62" i="6"/>
  <c r="BI62" i="6"/>
  <c r="BJ62" i="6"/>
  <c r="BK62" i="6"/>
  <c r="BL62" i="6"/>
  <c r="BM62" i="6"/>
  <c r="BN62" i="6"/>
  <c r="BO62" i="6"/>
  <c r="BP62" i="6"/>
  <c r="BQ62" i="6"/>
  <c r="BR62" i="6"/>
  <c r="BS62" i="6"/>
  <c r="BT62" i="6"/>
  <c r="BU62" i="6"/>
  <c r="BV62" i="6"/>
  <c r="BW62" i="6"/>
  <c r="BX62" i="6"/>
  <c r="BY62" i="6"/>
  <c r="BZ62" i="6"/>
  <c r="CA62" i="6"/>
  <c r="CB62" i="6"/>
  <c r="CC62" i="6"/>
  <c r="CD62" i="6"/>
  <c r="CE62" i="6"/>
  <c r="CF62" i="6"/>
  <c r="CG62" i="6"/>
  <c r="CH62" i="6"/>
  <c r="CI62" i="6"/>
  <c r="CJ62" i="6"/>
  <c r="CK62" i="6"/>
  <c r="CL62" i="6"/>
  <c r="CM62" i="6"/>
  <c r="CN62" i="6"/>
  <c r="CO62" i="6"/>
  <c r="CP62" i="6"/>
  <c r="CQ62" i="6"/>
  <c r="CR62" i="6"/>
  <c r="CS62" i="6"/>
  <c r="CT62" i="6"/>
  <c r="CU62" i="6"/>
  <c r="CV62" i="6"/>
  <c r="CW62" i="6"/>
  <c r="CX62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E63" i="6"/>
  <c r="BF63" i="6"/>
  <c r="BG63" i="6"/>
  <c r="BH63" i="6"/>
  <c r="BI63" i="6"/>
  <c r="BJ63" i="6"/>
  <c r="BK63" i="6"/>
  <c r="BL63" i="6"/>
  <c r="BM63" i="6"/>
  <c r="BN63" i="6"/>
  <c r="BO63" i="6"/>
  <c r="BP63" i="6"/>
  <c r="BQ63" i="6"/>
  <c r="BR63" i="6"/>
  <c r="BS63" i="6"/>
  <c r="BT63" i="6"/>
  <c r="BU63" i="6"/>
  <c r="BV63" i="6"/>
  <c r="BW63" i="6"/>
  <c r="BX63" i="6"/>
  <c r="BY63" i="6"/>
  <c r="BZ63" i="6"/>
  <c r="CA63" i="6"/>
  <c r="CB63" i="6"/>
  <c r="CC63" i="6"/>
  <c r="CD63" i="6"/>
  <c r="CE63" i="6"/>
  <c r="CF63" i="6"/>
  <c r="CG63" i="6"/>
  <c r="CH63" i="6"/>
  <c r="CI63" i="6"/>
  <c r="CJ63" i="6"/>
  <c r="CK63" i="6"/>
  <c r="CL63" i="6"/>
  <c r="CM63" i="6"/>
  <c r="CN63" i="6"/>
  <c r="CO63" i="6"/>
  <c r="CP63" i="6"/>
  <c r="CQ63" i="6"/>
  <c r="CR63" i="6"/>
  <c r="CS63" i="6"/>
  <c r="CT63" i="6"/>
  <c r="CU63" i="6"/>
  <c r="CV63" i="6"/>
  <c r="CW63" i="6"/>
  <c r="CX63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E64" i="6"/>
  <c r="BF64" i="6"/>
  <c r="BG64" i="6"/>
  <c r="BH64" i="6"/>
  <c r="BI64" i="6"/>
  <c r="BJ64" i="6"/>
  <c r="BK64" i="6"/>
  <c r="BL64" i="6"/>
  <c r="BM64" i="6"/>
  <c r="BN64" i="6"/>
  <c r="BO64" i="6"/>
  <c r="BP64" i="6"/>
  <c r="BQ64" i="6"/>
  <c r="BR64" i="6"/>
  <c r="BS64" i="6"/>
  <c r="BT64" i="6"/>
  <c r="BU64" i="6"/>
  <c r="BV64" i="6"/>
  <c r="BW64" i="6"/>
  <c r="BX64" i="6"/>
  <c r="BY64" i="6"/>
  <c r="BZ64" i="6"/>
  <c r="CA64" i="6"/>
  <c r="CB64" i="6"/>
  <c r="CC64" i="6"/>
  <c r="CD64" i="6"/>
  <c r="CE64" i="6"/>
  <c r="CF64" i="6"/>
  <c r="CG64" i="6"/>
  <c r="CH64" i="6"/>
  <c r="CI64" i="6"/>
  <c r="CJ64" i="6"/>
  <c r="CK64" i="6"/>
  <c r="CL64" i="6"/>
  <c r="CM64" i="6"/>
  <c r="CN64" i="6"/>
  <c r="CO64" i="6"/>
  <c r="CP64" i="6"/>
  <c r="CQ64" i="6"/>
  <c r="CR64" i="6"/>
  <c r="CS64" i="6"/>
  <c r="CT64" i="6"/>
  <c r="CU64" i="6"/>
  <c r="CV64" i="6"/>
  <c r="CW64" i="6"/>
  <c r="CX64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E65" i="6"/>
  <c r="BF65" i="6"/>
  <c r="BG65" i="6"/>
  <c r="BH65" i="6"/>
  <c r="BI65" i="6"/>
  <c r="BJ65" i="6"/>
  <c r="BK65" i="6"/>
  <c r="BL65" i="6"/>
  <c r="BM65" i="6"/>
  <c r="BN65" i="6"/>
  <c r="BO65" i="6"/>
  <c r="BP65" i="6"/>
  <c r="BQ65" i="6"/>
  <c r="BR65" i="6"/>
  <c r="BS65" i="6"/>
  <c r="BT65" i="6"/>
  <c r="BU65" i="6"/>
  <c r="BV65" i="6"/>
  <c r="BW65" i="6"/>
  <c r="BX65" i="6"/>
  <c r="BY65" i="6"/>
  <c r="BZ65" i="6"/>
  <c r="CA65" i="6"/>
  <c r="CB65" i="6"/>
  <c r="CC65" i="6"/>
  <c r="CD65" i="6"/>
  <c r="CE65" i="6"/>
  <c r="CF65" i="6"/>
  <c r="CG65" i="6"/>
  <c r="CH65" i="6"/>
  <c r="CI65" i="6"/>
  <c r="CJ65" i="6"/>
  <c r="CK65" i="6"/>
  <c r="CL65" i="6"/>
  <c r="CM65" i="6"/>
  <c r="CN65" i="6"/>
  <c r="CO65" i="6"/>
  <c r="CP65" i="6"/>
  <c r="CQ65" i="6"/>
  <c r="CR65" i="6"/>
  <c r="CS65" i="6"/>
  <c r="CT65" i="6"/>
  <c r="CU65" i="6"/>
  <c r="CV65" i="6"/>
  <c r="CW65" i="6"/>
  <c r="CX65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Q66" i="6"/>
  <c r="CR66" i="6"/>
  <c r="CS66" i="6"/>
  <c r="CT66" i="6"/>
  <c r="CU66" i="6"/>
  <c r="CV66" i="6"/>
  <c r="CW66" i="6"/>
  <c r="CX66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CB67" i="6"/>
  <c r="CC67" i="6"/>
  <c r="CD67" i="6"/>
  <c r="CE67" i="6"/>
  <c r="CF67" i="6"/>
  <c r="CG67" i="6"/>
  <c r="CH67" i="6"/>
  <c r="CI67" i="6"/>
  <c r="CJ67" i="6"/>
  <c r="CK67" i="6"/>
  <c r="CL67" i="6"/>
  <c r="CM67" i="6"/>
  <c r="CN67" i="6"/>
  <c r="CO67" i="6"/>
  <c r="CP67" i="6"/>
  <c r="CQ67" i="6"/>
  <c r="CR67" i="6"/>
  <c r="CS67" i="6"/>
  <c r="CT67" i="6"/>
  <c r="CU67" i="6"/>
  <c r="CV67" i="6"/>
  <c r="CW67" i="6"/>
  <c r="CX67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J68" i="6"/>
  <c r="BK68" i="6"/>
  <c r="BL68" i="6"/>
  <c r="BM68" i="6"/>
  <c r="BN68" i="6"/>
  <c r="BO68" i="6"/>
  <c r="BP68" i="6"/>
  <c r="BQ68" i="6"/>
  <c r="BR68" i="6"/>
  <c r="BS68" i="6"/>
  <c r="BT68" i="6"/>
  <c r="BU68" i="6"/>
  <c r="BV68" i="6"/>
  <c r="BW68" i="6"/>
  <c r="BX68" i="6"/>
  <c r="BY68" i="6"/>
  <c r="BZ68" i="6"/>
  <c r="CA68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Q68" i="6"/>
  <c r="CR68" i="6"/>
  <c r="CS68" i="6"/>
  <c r="CT68" i="6"/>
  <c r="CU68" i="6"/>
  <c r="CV68" i="6"/>
  <c r="CW68" i="6"/>
  <c r="CX68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Q69" i="6"/>
  <c r="CR69" i="6"/>
  <c r="CS69" i="6"/>
  <c r="CT69" i="6"/>
  <c r="CU69" i="6"/>
  <c r="CV69" i="6"/>
  <c r="CW69" i="6"/>
  <c r="CX69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Q70" i="6"/>
  <c r="CR70" i="6"/>
  <c r="CS70" i="6"/>
  <c r="CT70" i="6"/>
  <c r="CU70" i="6"/>
  <c r="CV70" i="6"/>
  <c r="CW70" i="6"/>
  <c r="CX70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CW71" i="6"/>
  <c r="CX71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AG72" i="6"/>
  <c r="AH72" i="6"/>
  <c r="AI72" i="6"/>
  <c r="AJ72" i="6"/>
  <c r="AK72" i="6"/>
  <c r="AL72" i="6"/>
  <c r="AM72" i="6"/>
  <c r="AN72" i="6"/>
  <c r="AO72" i="6"/>
  <c r="AP72" i="6"/>
  <c r="AQ72" i="6"/>
  <c r="AR72" i="6"/>
  <c r="AS72" i="6"/>
  <c r="AT72" i="6"/>
  <c r="AU72" i="6"/>
  <c r="AV72" i="6"/>
  <c r="AW72" i="6"/>
  <c r="AX72" i="6"/>
  <c r="AY72" i="6"/>
  <c r="AZ72" i="6"/>
  <c r="BA72" i="6"/>
  <c r="BB72" i="6"/>
  <c r="BC72" i="6"/>
  <c r="BD72" i="6"/>
  <c r="BE72" i="6"/>
  <c r="BF72" i="6"/>
  <c r="BG72" i="6"/>
  <c r="BH72" i="6"/>
  <c r="BI72" i="6"/>
  <c r="BJ72" i="6"/>
  <c r="BK72" i="6"/>
  <c r="BL72" i="6"/>
  <c r="BM72" i="6"/>
  <c r="BN72" i="6"/>
  <c r="BO72" i="6"/>
  <c r="BP72" i="6"/>
  <c r="BQ72" i="6"/>
  <c r="BR72" i="6"/>
  <c r="BS72" i="6"/>
  <c r="BT72" i="6"/>
  <c r="BU72" i="6"/>
  <c r="BV72" i="6"/>
  <c r="BW72" i="6"/>
  <c r="BX72" i="6"/>
  <c r="BY72" i="6"/>
  <c r="BZ72" i="6"/>
  <c r="CA72" i="6"/>
  <c r="CB72" i="6"/>
  <c r="CC72" i="6"/>
  <c r="CD72" i="6"/>
  <c r="CE72" i="6"/>
  <c r="CF72" i="6"/>
  <c r="CG72" i="6"/>
  <c r="CH72" i="6"/>
  <c r="CI72" i="6"/>
  <c r="CJ72" i="6"/>
  <c r="CK72" i="6"/>
  <c r="CL72" i="6"/>
  <c r="CM72" i="6"/>
  <c r="CN72" i="6"/>
  <c r="CO72" i="6"/>
  <c r="CP72" i="6"/>
  <c r="CQ72" i="6"/>
  <c r="CR72" i="6"/>
  <c r="CS72" i="6"/>
  <c r="CT72" i="6"/>
  <c r="CU72" i="6"/>
  <c r="CV72" i="6"/>
  <c r="CW72" i="6"/>
  <c r="CX72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E73" i="6"/>
  <c r="BF73" i="6"/>
  <c r="BG73" i="6"/>
  <c r="BH73" i="6"/>
  <c r="BI73" i="6"/>
  <c r="BJ73" i="6"/>
  <c r="BK73" i="6"/>
  <c r="BL73" i="6"/>
  <c r="BM73" i="6"/>
  <c r="BN73" i="6"/>
  <c r="BO73" i="6"/>
  <c r="BP73" i="6"/>
  <c r="BQ73" i="6"/>
  <c r="BR73" i="6"/>
  <c r="BS73" i="6"/>
  <c r="BT73" i="6"/>
  <c r="BU73" i="6"/>
  <c r="BV73" i="6"/>
  <c r="BW73" i="6"/>
  <c r="BX73" i="6"/>
  <c r="BY73" i="6"/>
  <c r="BZ73" i="6"/>
  <c r="CA73" i="6"/>
  <c r="CB73" i="6"/>
  <c r="CC73" i="6"/>
  <c r="CD73" i="6"/>
  <c r="CE73" i="6"/>
  <c r="CF73" i="6"/>
  <c r="CG73" i="6"/>
  <c r="CH73" i="6"/>
  <c r="CI73" i="6"/>
  <c r="CJ73" i="6"/>
  <c r="CK73" i="6"/>
  <c r="CL73" i="6"/>
  <c r="CM73" i="6"/>
  <c r="CN73" i="6"/>
  <c r="CO73" i="6"/>
  <c r="CP73" i="6"/>
  <c r="CQ73" i="6"/>
  <c r="CR73" i="6"/>
  <c r="CS73" i="6"/>
  <c r="CT73" i="6"/>
  <c r="CU73" i="6"/>
  <c r="CV73" i="6"/>
  <c r="CW73" i="6"/>
  <c r="CX73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E74" i="6"/>
  <c r="BF74" i="6"/>
  <c r="BG74" i="6"/>
  <c r="BH74" i="6"/>
  <c r="BI74" i="6"/>
  <c r="BJ74" i="6"/>
  <c r="BK74" i="6"/>
  <c r="BL74" i="6"/>
  <c r="BM74" i="6"/>
  <c r="BN74" i="6"/>
  <c r="BO74" i="6"/>
  <c r="BP74" i="6"/>
  <c r="BQ74" i="6"/>
  <c r="BR74" i="6"/>
  <c r="BS74" i="6"/>
  <c r="BT74" i="6"/>
  <c r="BU74" i="6"/>
  <c r="BV74" i="6"/>
  <c r="BW74" i="6"/>
  <c r="BX74" i="6"/>
  <c r="BY74" i="6"/>
  <c r="BZ74" i="6"/>
  <c r="CA74" i="6"/>
  <c r="CB74" i="6"/>
  <c r="CC74" i="6"/>
  <c r="CD74" i="6"/>
  <c r="CE74" i="6"/>
  <c r="CF74" i="6"/>
  <c r="CG74" i="6"/>
  <c r="CH74" i="6"/>
  <c r="CI74" i="6"/>
  <c r="CJ74" i="6"/>
  <c r="CK74" i="6"/>
  <c r="CL74" i="6"/>
  <c r="CM74" i="6"/>
  <c r="CN74" i="6"/>
  <c r="CO74" i="6"/>
  <c r="CP74" i="6"/>
  <c r="CQ74" i="6"/>
  <c r="CR74" i="6"/>
  <c r="CS74" i="6"/>
  <c r="CT74" i="6"/>
  <c r="CU74" i="6"/>
  <c r="CV74" i="6"/>
  <c r="CW74" i="6"/>
  <c r="CX74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D75" i="6"/>
  <c r="BE75" i="6"/>
  <c r="BF75" i="6"/>
  <c r="BG75" i="6"/>
  <c r="BH75" i="6"/>
  <c r="BI75" i="6"/>
  <c r="BJ75" i="6"/>
  <c r="BK75" i="6"/>
  <c r="BL75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Q75" i="6"/>
  <c r="CR75" i="6"/>
  <c r="CS75" i="6"/>
  <c r="CT75" i="6"/>
  <c r="CU75" i="6"/>
  <c r="CV75" i="6"/>
  <c r="CW75" i="6"/>
  <c r="CX75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Q76" i="6"/>
  <c r="CR76" i="6"/>
  <c r="CS76" i="6"/>
  <c r="CT76" i="6"/>
  <c r="CU76" i="6"/>
  <c r="CV76" i="6"/>
  <c r="CW76" i="6"/>
  <c r="CX76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Q77" i="6"/>
  <c r="CR77" i="6"/>
  <c r="CS77" i="6"/>
  <c r="CT77" i="6"/>
  <c r="CU77" i="6"/>
  <c r="CV77" i="6"/>
  <c r="CW77" i="6"/>
  <c r="CX77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AK78" i="6"/>
  <c r="AL78" i="6"/>
  <c r="AM78" i="6"/>
  <c r="AN78" i="6"/>
  <c r="AO78" i="6"/>
  <c r="AP78" i="6"/>
  <c r="AQ78" i="6"/>
  <c r="AR78" i="6"/>
  <c r="AS78" i="6"/>
  <c r="AT78" i="6"/>
  <c r="AU78" i="6"/>
  <c r="AV78" i="6"/>
  <c r="AW78" i="6"/>
  <c r="AX78" i="6"/>
  <c r="AY78" i="6"/>
  <c r="AZ78" i="6"/>
  <c r="BA78" i="6"/>
  <c r="BB78" i="6"/>
  <c r="BC78" i="6"/>
  <c r="BD78" i="6"/>
  <c r="BE78" i="6"/>
  <c r="BF78" i="6"/>
  <c r="BG78" i="6"/>
  <c r="BH78" i="6"/>
  <c r="BI78" i="6"/>
  <c r="BJ78" i="6"/>
  <c r="BK78" i="6"/>
  <c r="BL78" i="6"/>
  <c r="BM78" i="6"/>
  <c r="BN78" i="6"/>
  <c r="BO78" i="6"/>
  <c r="BP78" i="6"/>
  <c r="BQ78" i="6"/>
  <c r="BR78" i="6"/>
  <c r="BS78" i="6"/>
  <c r="BT78" i="6"/>
  <c r="BU78" i="6"/>
  <c r="BV78" i="6"/>
  <c r="BW78" i="6"/>
  <c r="BX78" i="6"/>
  <c r="BY78" i="6"/>
  <c r="BZ78" i="6"/>
  <c r="CA78" i="6"/>
  <c r="CB78" i="6"/>
  <c r="CC78" i="6"/>
  <c r="CD78" i="6"/>
  <c r="CE78" i="6"/>
  <c r="CF78" i="6"/>
  <c r="CG78" i="6"/>
  <c r="CH78" i="6"/>
  <c r="CI78" i="6"/>
  <c r="CJ78" i="6"/>
  <c r="CK78" i="6"/>
  <c r="CL78" i="6"/>
  <c r="CM78" i="6"/>
  <c r="CN78" i="6"/>
  <c r="CO78" i="6"/>
  <c r="CP78" i="6"/>
  <c r="CQ78" i="6"/>
  <c r="CR78" i="6"/>
  <c r="CS78" i="6"/>
  <c r="CT78" i="6"/>
  <c r="CU78" i="6"/>
  <c r="CV78" i="6"/>
  <c r="CW78" i="6"/>
  <c r="CX78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AK79" i="6"/>
  <c r="AL79" i="6"/>
  <c r="AM79" i="6"/>
  <c r="AN79" i="6"/>
  <c r="AO79" i="6"/>
  <c r="AP79" i="6"/>
  <c r="AQ79" i="6"/>
  <c r="AR79" i="6"/>
  <c r="AS79" i="6"/>
  <c r="AT79" i="6"/>
  <c r="AU79" i="6"/>
  <c r="AV79" i="6"/>
  <c r="AW79" i="6"/>
  <c r="AX79" i="6"/>
  <c r="AY79" i="6"/>
  <c r="AZ79" i="6"/>
  <c r="BA79" i="6"/>
  <c r="BB79" i="6"/>
  <c r="BC79" i="6"/>
  <c r="BD79" i="6"/>
  <c r="BE79" i="6"/>
  <c r="BF79" i="6"/>
  <c r="BG79" i="6"/>
  <c r="BH79" i="6"/>
  <c r="BI79" i="6"/>
  <c r="BJ79" i="6"/>
  <c r="BK79" i="6"/>
  <c r="BL79" i="6"/>
  <c r="BM79" i="6"/>
  <c r="BN79" i="6"/>
  <c r="BO79" i="6"/>
  <c r="BP79" i="6"/>
  <c r="BQ79" i="6"/>
  <c r="BR79" i="6"/>
  <c r="BS79" i="6"/>
  <c r="BT79" i="6"/>
  <c r="BU79" i="6"/>
  <c r="BV79" i="6"/>
  <c r="BW79" i="6"/>
  <c r="BX79" i="6"/>
  <c r="BY79" i="6"/>
  <c r="BZ79" i="6"/>
  <c r="CA79" i="6"/>
  <c r="CB79" i="6"/>
  <c r="CC79" i="6"/>
  <c r="CD79" i="6"/>
  <c r="CE79" i="6"/>
  <c r="CF79" i="6"/>
  <c r="CG79" i="6"/>
  <c r="CH79" i="6"/>
  <c r="CI79" i="6"/>
  <c r="CJ79" i="6"/>
  <c r="CK79" i="6"/>
  <c r="CL79" i="6"/>
  <c r="CM79" i="6"/>
  <c r="CN79" i="6"/>
  <c r="CO79" i="6"/>
  <c r="CP79" i="6"/>
  <c r="CQ79" i="6"/>
  <c r="CR79" i="6"/>
  <c r="CS79" i="6"/>
  <c r="CT79" i="6"/>
  <c r="CU79" i="6"/>
  <c r="CV79" i="6"/>
  <c r="CW79" i="6"/>
  <c r="CX79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AK80" i="6"/>
  <c r="AL80" i="6"/>
  <c r="AM80" i="6"/>
  <c r="AN80" i="6"/>
  <c r="AO80" i="6"/>
  <c r="AP80" i="6"/>
  <c r="AQ80" i="6"/>
  <c r="AR80" i="6"/>
  <c r="AS80" i="6"/>
  <c r="AT80" i="6"/>
  <c r="AU80" i="6"/>
  <c r="AV80" i="6"/>
  <c r="AW80" i="6"/>
  <c r="AX80" i="6"/>
  <c r="AY80" i="6"/>
  <c r="AZ80" i="6"/>
  <c r="BA80" i="6"/>
  <c r="BB80" i="6"/>
  <c r="BC80" i="6"/>
  <c r="BD80" i="6"/>
  <c r="BE80" i="6"/>
  <c r="BF80" i="6"/>
  <c r="BG80" i="6"/>
  <c r="BH80" i="6"/>
  <c r="BI80" i="6"/>
  <c r="BJ80" i="6"/>
  <c r="BK80" i="6"/>
  <c r="BL80" i="6"/>
  <c r="BM80" i="6"/>
  <c r="BN80" i="6"/>
  <c r="BO80" i="6"/>
  <c r="BP80" i="6"/>
  <c r="BQ80" i="6"/>
  <c r="BR80" i="6"/>
  <c r="BS80" i="6"/>
  <c r="BT80" i="6"/>
  <c r="BU80" i="6"/>
  <c r="BV80" i="6"/>
  <c r="BW80" i="6"/>
  <c r="BX80" i="6"/>
  <c r="BY80" i="6"/>
  <c r="BZ80" i="6"/>
  <c r="CA80" i="6"/>
  <c r="CB80" i="6"/>
  <c r="CC80" i="6"/>
  <c r="CD80" i="6"/>
  <c r="CE80" i="6"/>
  <c r="CF80" i="6"/>
  <c r="CG80" i="6"/>
  <c r="CH80" i="6"/>
  <c r="CI80" i="6"/>
  <c r="CJ80" i="6"/>
  <c r="CK80" i="6"/>
  <c r="CL80" i="6"/>
  <c r="CM80" i="6"/>
  <c r="CN80" i="6"/>
  <c r="CO80" i="6"/>
  <c r="CP80" i="6"/>
  <c r="CQ80" i="6"/>
  <c r="CR80" i="6"/>
  <c r="CS80" i="6"/>
  <c r="CT80" i="6"/>
  <c r="CU80" i="6"/>
  <c r="CV80" i="6"/>
  <c r="CW80" i="6"/>
  <c r="CX80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AK81" i="6"/>
  <c r="AL81" i="6"/>
  <c r="AM81" i="6"/>
  <c r="AN81" i="6"/>
  <c r="AO81" i="6"/>
  <c r="AP81" i="6"/>
  <c r="AQ81" i="6"/>
  <c r="AR81" i="6"/>
  <c r="AS81" i="6"/>
  <c r="AT81" i="6"/>
  <c r="AU81" i="6"/>
  <c r="AV81" i="6"/>
  <c r="AW81" i="6"/>
  <c r="AX81" i="6"/>
  <c r="AY81" i="6"/>
  <c r="AZ81" i="6"/>
  <c r="BA81" i="6"/>
  <c r="BB81" i="6"/>
  <c r="BC81" i="6"/>
  <c r="BD81" i="6"/>
  <c r="BE81" i="6"/>
  <c r="BF81" i="6"/>
  <c r="BG81" i="6"/>
  <c r="BH81" i="6"/>
  <c r="BI81" i="6"/>
  <c r="BJ81" i="6"/>
  <c r="BK81" i="6"/>
  <c r="BL81" i="6"/>
  <c r="BM81" i="6"/>
  <c r="BN81" i="6"/>
  <c r="BO81" i="6"/>
  <c r="BP81" i="6"/>
  <c r="BQ81" i="6"/>
  <c r="BR81" i="6"/>
  <c r="BS81" i="6"/>
  <c r="BT81" i="6"/>
  <c r="BU81" i="6"/>
  <c r="BV81" i="6"/>
  <c r="BW81" i="6"/>
  <c r="BX81" i="6"/>
  <c r="BY81" i="6"/>
  <c r="BZ81" i="6"/>
  <c r="CA81" i="6"/>
  <c r="CB81" i="6"/>
  <c r="CC81" i="6"/>
  <c r="CD81" i="6"/>
  <c r="CE81" i="6"/>
  <c r="CF81" i="6"/>
  <c r="CG81" i="6"/>
  <c r="CH81" i="6"/>
  <c r="CI81" i="6"/>
  <c r="CJ81" i="6"/>
  <c r="CK81" i="6"/>
  <c r="CL81" i="6"/>
  <c r="CM81" i="6"/>
  <c r="CN81" i="6"/>
  <c r="CO81" i="6"/>
  <c r="CP81" i="6"/>
  <c r="CQ81" i="6"/>
  <c r="CR81" i="6"/>
  <c r="CS81" i="6"/>
  <c r="CT81" i="6"/>
  <c r="CU81" i="6"/>
  <c r="CV81" i="6"/>
  <c r="CW81" i="6"/>
  <c r="CX81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AK82" i="6"/>
  <c r="AL82" i="6"/>
  <c r="AM82" i="6"/>
  <c r="AN82" i="6"/>
  <c r="AO82" i="6"/>
  <c r="AP82" i="6"/>
  <c r="AQ82" i="6"/>
  <c r="AR82" i="6"/>
  <c r="AS82" i="6"/>
  <c r="AT82" i="6"/>
  <c r="AU82" i="6"/>
  <c r="AV82" i="6"/>
  <c r="AW82" i="6"/>
  <c r="AX82" i="6"/>
  <c r="AY82" i="6"/>
  <c r="AZ82" i="6"/>
  <c r="BA82" i="6"/>
  <c r="BB82" i="6"/>
  <c r="BC82" i="6"/>
  <c r="BD82" i="6"/>
  <c r="BE82" i="6"/>
  <c r="BF82" i="6"/>
  <c r="BG82" i="6"/>
  <c r="BH82" i="6"/>
  <c r="BI82" i="6"/>
  <c r="BJ82" i="6"/>
  <c r="BK82" i="6"/>
  <c r="BL82" i="6"/>
  <c r="BM82" i="6"/>
  <c r="BN82" i="6"/>
  <c r="BO82" i="6"/>
  <c r="BP82" i="6"/>
  <c r="BQ82" i="6"/>
  <c r="BR82" i="6"/>
  <c r="BS82" i="6"/>
  <c r="BT82" i="6"/>
  <c r="BU82" i="6"/>
  <c r="BV82" i="6"/>
  <c r="BW82" i="6"/>
  <c r="BX82" i="6"/>
  <c r="BY82" i="6"/>
  <c r="BZ82" i="6"/>
  <c r="CA82" i="6"/>
  <c r="CB82" i="6"/>
  <c r="CC82" i="6"/>
  <c r="CD82" i="6"/>
  <c r="CE82" i="6"/>
  <c r="CF82" i="6"/>
  <c r="CG82" i="6"/>
  <c r="CH82" i="6"/>
  <c r="CI82" i="6"/>
  <c r="CJ82" i="6"/>
  <c r="CK82" i="6"/>
  <c r="CL82" i="6"/>
  <c r="CM82" i="6"/>
  <c r="CN82" i="6"/>
  <c r="CO82" i="6"/>
  <c r="CP82" i="6"/>
  <c r="CQ82" i="6"/>
  <c r="CR82" i="6"/>
  <c r="CS82" i="6"/>
  <c r="CT82" i="6"/>
  <c r="CU82" i="6"/>
  <c r="CV82" i="6"/>
  <c r="CW82" i="6"/>
  <c r="CX82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AK83" i="6"/>
  <c r="AL83" i="6"/>
  <c r="AM83" i="6"/>
  <c r="AN83" i="6"/>
  <c r="AO83" i="6"/>
  <c r="AP83" i="6"/>
  <c r="AQ83" i="6"/>
  <c r="AR83" i="6"/>
  <c r="AS83" i="6"/>
  <c r="AT83" i="6"/>
  <c r="AU83" i="6"/>
  <c r="AV83" i="6"/>
  <c r="AW83" i="6"/>
  <c r="AX83" i="6"/>
  <c r="AY83" i="6"/>
  <c r="AZ83" i="6"/>
  <c r="BA83" i="6"/>
  <c r="BB83" i="6"/>
  <c r="BC83" i="6"/>
  <c r="BD83" i="6"/>
  <c r="BE83" i="6"/>
  <c r="BF83" i="6"/>
  <c r="BG83" i="6"/>
  <c r="BH83" i="6"/>
  <c r="BI83" i="6"/>
  <c r="BJ83" i="6"/>
  <c r="BK83" i="6"/>
  <c r="BL83" i="6"/>
  <c r="BM83" i="6"/>
  <c r="BN83" i="6"/>
  <c r="BO83" i="6"/>
  <c r="BP83" i="6"/>
  <c r="BQ83" i="6"/>
  <c r="BR83" i="6"/>
  <c r="BS83" i="6"/>
  <c r="BT83" i="6"/>
  <c r="BU83" i="6"/>
  <c r="BV83" i="6"/>
  <c r="BW83" i="6"/>
  <c r="BX83" i="6"/>
  <c r="BY83" i="6"/>
  <c r="BZ83" i="6"/>
  <c r="CA83" i="6"/>
  <c r="CB83" i="6"/>
  <c r="CC83" i="6"/>
  <c r="CD83" i="6"/>
  <c r="CE83" i="6"/>
  <c r="CF83" i="6"/>
  <c r="CG83" i="6"/>
  <c r="CH83" i="6"/>
  <c r="CI83" i="6"/>
  <c r="CJ83" i="6"/>
  <c r="CK83" i="6"/>
  <c r="CL83" i="6"/>
  <c r="CM83" i="6"/>
  <c r="CN83" i="6"/>
  <c r="CO83" i="6"/>
  <c r="CP83" i="6"/>
  <c r="CQ83" i="6"/>
  <c r="CR83" i="6"/>
  <c r="CS83" i="6"/>
  <c r="CT83" i="6"/>
  <c r="CU83" i="6"/>
  <c r="CV83" i="6"/>
  <c r="CW83" i="6"/>
  <c r="CX83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AK84" i="6"/>
  <c r="AL84" i="6"/>
  <c r="AM84" i="6"/>
  <c r="AN84" i="6"/>
  <c r="AO84" i="6"/>
  <c r="AP84" i="6"/>
  <c r="AQ84" i="6"/>
  <c r="AR84" i="6"/>
  <c r="AS84" i="6"/>
  <c r="AT84" i="6"/>
  <c r="AU84" i="6"/>
  <c r="AV84" i="6"/>
  <c r="AW84" i="6"/>
  <c r="AX84" i="6"/>
  <c r="AY84" i="6"/>
  <c r="AZ84" i="6"/>
  <c r="BA84" i="6"/>
  <c r="BB84" i="6"/>
  <c r="BC84" i="6"/>
  <c r="BD84" i="6"/>
  <c r="BE84" i="6"/>
  <c r="BF84" i="6"/>
  <c r="BG84" i="6"/>
  <c r="BH84" i="6"/>
  <c r="BI84" i="6"/>
  <c r="BJ84" i="6"/>
  <c r="BK84" i="6"/>
  <c r="BL84" i="6"/>
  <c r="BM84" i="6"/>
  <c r="BN84" i="6"/>
  <c r="BO84" i="6"/>
  <c r="BP84" i="6"/>
  <c r="BQ84" i="6"/>
  <c r="BR84" i="6"/>
  <c r="BS84" i="6"/>
  <c r="BT84" i="6"/>
  <c r="BU84" i="6"/>
  <c r="BV84" i="6"/>
  <c r="BW84" i="6"/>
  <c r="BX84" i="6"/>
  <c r="BY84" i="6"/>
  <c r="BZ84" i="6"/>
  <c r="CA84" i="6"/>
  <c r="CB84" i="6"/>
  <c r="CC84" i="6"/>
  <c r="CD84" i="6"/>
  <c r="CE84" i="6"/>
  <c r="CF84" i="6"/>
  <c r="CG84" i="6"/>
  <c r="CH84" i="6"/>
  <c r="CI84" i="6"/>
  <c r="CJ84" i="6"/>
  <c r="CK84" i="6"/>
  <c r="CL84" i="6"/>
  <c r="CM84" i="6"/>
  <c r="CN84" i="6"/>
  <c r="CO84" i="6"/>
  <c r="CP84" i="6"/>
  <c r="CQ84" i="6"/>
  <c r="CR84" i="6"/>
  <c r="CS84" i="6"/>
  <c r="CT84" i="6"/>
  <c r="CU84" i="6"/>
  <c r="CV84" i="6"/>
  <c r="CW84" i="6"/>
  <c r="CX84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AK85" i="6"/>
  <c r="AL85" i="6"/>
  <c r="AM85" i="6"/>
  <c r="AN85" i="6"/>
  <c r="AO85" i="6"/>
  <c r="AP85" i="6"/>
  <c r="AQ85" i="6"/>
  <c r="AR85" i="6"/>
  <c r="AS85" i="6"/>
  <c r="AT85" i="6"/>
  <c r="AU85" i="6"/>
  <c r="AV85" i="6"/>
  <c r="AW85" i="6"/>
  <c r="AX85" i="6"/>
  <c r="AY85" i="6"/>
  <c r="AZ85" i="6"/>
  <c r="BA85" i="6"/>
  <c r="BB85" i="6"/>
  <c r="BC85" i="6"/>
  <c r="BD85" i="6"/>
  <c r="BE85" i="6"/>
  <c r="BF85" i="6"/>
  <c r="BG85" i="6"/>
  <c r="BH85" i="6"/>
  <c r="BI85" i="6"/>
  <c r="BJ85" i="6"/>
  <c r="BK85" i="6"/>
  <c r="BL85" i="6"/>
  <c r="BM85" i="6"/>
  <c r="BN85" i="6"/>
  <c r="BO85" i="6"/>
  <c r="BP85" i="6"/>
  <c r="BQ85" i="6"/>
  <c r="BR85" i="6"/>
  <c r="BS85" i="6"/>
  <c r="BT85" i="6"/>
  <c r="BU85" i="6"/>
  <c r="BV85" i="6"/>
  <c r="BW85" i="6"/>
  <c r="BX85" i="6"/>
  <c r="BY85" i="6"/>
  <c r="BZ85" i="6"/>
  <c r="CA85" i="6"/>
  <c r="CB85" i="6"/>
  <c r="CC85" i="6"/>
  <c r="CD85" i="6"/>
  <c r="CE85" i="6"/>
  <c r="CF85" i="6"/>
  <c r="CG85" i="6"/>
  <c r="CH85" i="6"/>
  <c r="CI85" i="6"/>
  <c r="CJ85" i="6"/>
  <c r="CK85" i="6"/>
  <c r="CL85" i="6"/>
  <c r="CM85" i="6"/>
  <c r="CN85" i="6"/>
  <c r="CO85" i="6"/>
  <c r="CP85" i="6"/>
  <c r="CQ85" i="6"/>
  <c r="CR85" i="6"/>
  <c r="CS85" i="6"/>
  <c r="CT85" i="6"/>
  <c r="CU85" i="6"/>
  <c r="CV85" i="6"/>
  <c r="CW85" i="6"/>
  <c r="CX85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AK86" i="6"/>
  <c r="AL86" i="6"/>
  <c r="AM86" i="6"/>
  <c r="AN86" i="6"/>
  <c r="AO86" i="6"/>
  <c r="AP86" i="6"/>
  <c r="AQ86" i="6"/>
  <c r="AR86" i="6"/>
  <c r="AS86" i="6"/>
  <c r="AT86" i="6"/>
  <c r="AU86" i="6"/>
  <c r="AV86" i="6"/>
  <c r="AW86" i="6"/>
  <c r="AX86" i="6"/>
  <c r="AY86" i="6"/>
  <c r="AZ86" i="6"/>
  <c r="BA86" i="6"/>
  <c r="BB86" i="6"/>
  <c r="BC86" i="6"/>
  <c r="BD86" i="6"/>
  <c r="BE86" i="6"/>
  <c r="BF86" i="6"/>
  <c r="BG86" i="6"/>
  <c r="BH86" i="6"/>
  <c r="BI86" i="6"/>
  <c r="BJ86" i="6"/>
  <c r="BK86" i="6"/>
  <c r="BL86" i="6"/>
  <c r="BM86" i="6"/>
  <c r="BN86" i="6"/>
  <c r="BO86" i="6"/>
  <c r="BP86" i="6"/>
  <c r="BQ86" i="6"/>
  <c r="BR86" i="6"/>
  <c r="BS86" i="6"/>
  <c r="BT86" i="6"/>
  <c r="BU86" i="6"/>
  <c r="BV86" i="6"/>
  <c r="BW86" i="6"/>
  <c r="BX86" i="6"/>
  <c r="BY86" i="6"/>
  <c r="BZ86" i="6"/>
  <c r="CA86" i="6"/>
  <c r="CB86" i="6"/>
  <c r="CC86" i="6"/>
  <c r="CD86" i="6"/>
  <c r="CE86" i="6"/>
  <c r="CF86" i="6"/>
  <c r="CG86" i="6"/>
  <c r="CH86" i="6"/>
  <c r="CI86" i="6"/>
  <c r="CJ86" i="6"/>
  <c r="CK86" i="6"/>
  <c r="CL86" i="6"/>
  <c r="CM86" i="6"/>
  <c r="CN86" i="6"/>
  <c r="CO86" i="6"/>
  <c r="CP86" i="6"/>
  <c r="CQ86" i="6"/>
  <c r="CR86" i="6"/>
  <c r="CS86" i="6"/>
  <c r="CT86" i="6"/>
  <c r="CU86" i="6"/>
  <c r="CV86" i="6"/>
  <c r="CW86" i="6"/>
  <c r="CX86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AK87" i="6"/>
  <c r="AL87" i="6"/>
  <c r="AM87" i="6"/>
  <c r="AN87" i="6"/>
  <c r="AO87" i="6"/>
  <c r="AP87" i="6"/>
  <c r="AQ87" i="6"/>
  <c r="AR87" i="6"/>
  <c r="AS87" i="6"/>
  <c r="AT87" i="6"/>
  <c r="AU87" i="6"/>
  <c r="AV87" i="6"/>
  <c r="AW87" i="6"/>
  <c r="AX87" i="6"/>
  <c r="AY87" i="6"/>
  <c r="AZ87" i="6"/>
  <c r="BA87" i="6"/>
  <c r="BB87" i="6"/>
  <c r="BC87" i="6"/>
  <c r="BD87" i="6"/>
  <c r="BE87" i="6"/>
  <c r="BF87" i="6"/>
  <c r="BG87" i="6"/>
  <c r="BH87" i="6"/>
  <c r="BI87" i="6"/>
  <c r="BJ87" i="6"/>
  <c r="BK87" i="6"/>
  <c r="BL87" i="6"/>
  <c r="BM87" i="6"/>
  <c r="BN87" i="6"/>
  <c r="BO87" i="6"/>
  <c r="BP87" i="6"/>
  <c r="BQ87" i="6"/>
  <c r="BR87" i="6"/>
  <c r="BS87" i="6"/>
  <c r="BT87" i="6"/>
  <c r="BU87" i="6"/>
  <c r="BV87" i="6"/>
  <c r="BW87" i="6"/>
  <c r="BX87" i="6"/>
  <c r="BY87" i="6"/>
  <c r="BZ87" i="6"/>
  <c r="CA87" i="6"/>
  <c r="CB87" i="6"/>
  <c r="CC87" i="6"/>
  <c r="CD87" i="6"/>
  <c r="CE87" i="6"/>
  <c r="CF87" i="6"/>
  <c r="CG87" i="6"/>
  <c r="CH87" i="6"/>
  <c r="CI87" i="6"/>
  <c r="CJ87" i="6"/>
  <c r="CK87" i="6"/>
  <c r="CL87" i="6"/>
  <c r="CM87" i="6"/>
  <c r="CN87" i="6"/>
  <c r="CO87" i="6"/>
  <c r="CP87" i="6"/>
  <c r="CQ87" i="6"/>
  <c r="CR87" i="6"/>
  <c r="CS87" i="6"/>
  <c r="CT87" i="6"/>
  <c r="CU87" i="6"/>
  <c r="CV87" i="6"/>
  <c r="CW87" i="6"/>
  <c r="CX87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AK88" i="6"/>
  <c r="AL88" i="6"/>
  <c r="AM88" i="6"/>
  <c r="AN88" i="6"/>
  <c r="AO88" i="6"/>
  <c r="AP88" i="6"/>
  <c r="AQ88" i="6"/>
  <c r="AR88" i="6"/>
  <c r="AS88" i="6"/>
  <c r="AT88" i="6"/>
  <c r="AU88" i="6"/>
  <c r="AV88" i="6"/>
  <c r="AW88" i="6"/>
  <c r="AX88" i="6"/>
  <c r="AY88" i="6"/>
  <c r="AZ88" i="6"/>
  <c r="BA88" i="6"/>
  <c r="BB88" i="6"/>
  <c r="BC88" i="6"/>
  <c r="BD88" i="6"/>
  <c r="BE88" i="6"/>
  <c r="BF88" i="6"/>
  <c r="BG88" i="6"/>
  <c r="BH88" i="6"/>
  <c r="BI88" i="6"/>
  <c r="BJ88" i="6"/>
  <c r="BK88" i="6"/>
  <c r="BL88" i="6"/>
  <c r="BM88" i="6"/>
  <c r="BN88" i="6"/>
  <c r="BO88" i="6"/>
  <c r="BP88" i="6"/>
  <c r="BQ88" i="6"/>
  <c r="BR88" i="6"/>
  <c r="BS88" i="6"/>
  <c r="BT88" i="6"/>
  <c r="BU88" i="6"/>
  <c r="BV88" i="6"/>
  <c r="BW88" i="6"/>
  <c r="BX88" i="6"/>
  <c r="BY88" i="6"/>
  <c r="BZ88" i="6"/>
  <c r="CA88" i="6"/>
  <c r="CB88" i="6"/>
  <c r="CC88" i="6"/>
  <c r="CD88" i="6"/>
  <c r="CE88" i="6"/>
  <c r="CF88" i="6"/>
  <c r="CG88" i="6"/>
  <c r="CH88" i="6"/>
  <c r="CI88" i="6"/>
  <c r="CJ88" i="6"/>
  <c r="CK88" i="6"/>
  <c r="CL88" i="6"/>
  <c r="CM88" i="6"/>
  <c r="CN88" i="6"/>
  <c r="CO88" i="6"/>
  <c r="CP88" i="6"/>
  <c r="CQ88" i="6"/>
  <c r="CR88" i="6"/>
  <c r="CS88" i="6"/>
  <c r="CT88" i="6"/>
  <c r="CU88" i="6"/>
  <c r="CV88" i="6"/>
  <c r="CW88" i="6"/>
  <c r="CX88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AK89" i="6"/>
  <c r="AL89" i="6"/>
  <c r="AM89" i="6"/>
  <c r="AN89" i="6"/>
  <c r="AO89" i="6"/>
  <c r="AP89" i="6"/>
  <c r="AQ89" i="6"/>
  <c r="AR89" i="6"/>
  <c r="AS89" i="6"/>
  <c r="AT89" i="6"/>
  <c r="AU89" i="6"/>
  <c r="AV89" i="6"/>
  <c r="AW89" i="6"/>
  <c r="AX89" i="6"/>
  <c r="AY89" i="6"/>
  <c r="AZ89" i="6"/>
  <c r="BA89" i="6"/>
  <c r="BB89" i="6"/>
  <c r="BC89" i="6"/>
  <c r="BD89" i="6"/>
  <c r="BE89" i="6"/>
  <c r="BF89" i="6"/>
  <c r="BG89" i="6"/>
  <c r="BH89" i="6"/>
  <c r="BI89" i="6"/>
  <c r="BJ89" i="6"/>
  <c r="BK89" i="6"/>
  <c r="BL89" i="6"/>
  <c r="BM89" i="6"/>
  <c r="BN89" i="6"/>
  <c r="BO89" i="6"/>
  <c r="BP89" i="6"/>
  <c r="BQ89" i="6"/>
  <c r="BR89" i="6"/>
  <c r="BS89" i="6"/>
  <c r="BT89" i="6"/>
  <c r="BU89" i="6"/>
  <c r="BV89" i="6"/>
  <c r="BW89" i="6"/>
  <c r="BX89" i="6"/>
  <c r="BY89" i="6"/>
  <c r="BZ89" i="6"/>
  <c r="CA89" i="6"/>
  <c r="CB89" i="6"/>
  <c r="CC89" i="6"/>
  <c r="CD89" i="6"/>
  <c r="CE89" i="6"/>
  <c r="CF89" i="6"/>
  <c r="CG89" i="6"/>
  <c r="CH89" i="6"/>
  <c r="CI89" i="6"/>
  <c r="CJ89" i="6"/>
  <c r="CK89" i="6"/>
  <c r="CL89" i="6"/>
  <c r="CM89" i="6"/>
  <c r="CN89" i="6"/>
  <c r="CO89" i="6"/>
  <c r="CP89" i="6"/>
  <c r="CQ89" i="6"/>
  <c r="CR89" i="6"/>
  <c r="CS89" i="6"/>
  <c r="CT89" i="6"/>
  <c r="CU89" i="6"/>
  <c r="CV89" i="6"/>
  <c r="CW89" i="6"/>
  <c r="CX89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AK90" i="6"/>
  <c r="AL90" i="6"/>
  <c r="AM90" i="6"/>
  <c r="AN90" i="6"/>
  <c r="AO90" i="6"/>
  <c r="AP90" i="6"/>
  <c r="AQ90" i="6"/>
  <c r="AR90" i="6"/>
  <c r="AS90" i="6"/>
  <c r="AT90" i="6"/>
  <c r="AU90" i="6"/>
  <c r="AV90" i="6"/>
  <c r="AW90" i="6"/>
  <c r="AX90" i="6"/>
  <c r="AY90" i="6"/>
  <c r="AZ90" i="6"/>
  <c r="BA90" i="6"/>
  <c r="BB90" i="6"/>
  <c r="BC90" i="6"/>
  <c r="BD90" i="6"/>
  <c r="BE90" i="6"/>
  <c r="BF90" i="6"/>
  <c r="BG90" i="6"/>
  <c r="BH90" i="6"/>
  <c r="BI90" i="6"/>
  <c r="BJ90" i="6"/>
  <c r="BK90" i="6"/>
  <c r="BL90" i="6"/>
  <c r="BM90" i="6"/>
  <c r="BN90" i="6"/>
  <c r="BO90" i="6"/>
  <c r="BP90" i="6"/>
  <c r="BQ90" i="6"/>
  <c r="BR90" i="6"/>
  <c r="BS90" i="6"/>
  <c r="BT90" i="6"/>
  <c r="BU90" i="6"/>
  <c r="BV90" i="6"/>
  <c r="BW90" i="6"/>
  <c r="BX90" i="6"/>
  <c r="BY90" i="6"/>
  <c r="BZ90" i="6"/>
  <c r="CA90" i="6"/>
  <c r="CB90" i="6"/>
  <c r="CC90" i="6"/>
  <c r="CD90" i="6"/>
  <c r="CE90" i="6"/>
  <c r="CF90" i="6"/>
  <c r="CG90" i="6"/>
  <c r="CH90" i="6"/>
  <c r="CI90" i="6"/>
  <c r="CJ90" i="6"/>
  <c r="CK90" i="6"/>
  <c r="CL90" i="6"/>
  <c r="CM90" i="6"/>
  <c r="CN90" i="6"/>
  <c r="CO90" i="6"/>
  <c r="CP90" i="6"/>
  <c r="CQ90" i="6"/>
  <c r="CR90" i="6"/>
  <c r="CS90" i="6"/>
  <c r="CT90" i="6"/>
  <c r="CU90" i="6"/>
  <c r="CV90" i="6"/>
  <c r="CW90" i="6"/>
  <c r="CX90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AK91" i="6"/>
  <c r="AL91" i="6"/>
  <c r="AM91" i="6"/>
  <c r="AN91" i="6"/>
  <c r="AO91" i="6"/>
  <c r="AP91" i="6"/>
  <c r="AQ91" i="6"/>
  <c r="AR91" i="6"/>
  <c r="AS91" i="6"/>
  <c r="AT91" i="6"/>
  <c r="AU91" i="6"/>
  <c r="AV91" i="6"/>
  <c r="AW91" i="6"/>
  <c r="AX91" i="6"/>
  <c r="AY91" i="6"/>
  <c r="AZ91" i="6"/>
  <c r="BA91" i="6"/>
  <c r="BB91" i="6"/>
  <c r="BC91" i="6"/>
  <c r="BD91" i="6"/>
  <c r="BE91" i="6"/>
  <c r="BF91" i="6"/>
  <c r="BG91" i="6"/>
  <c r="BH91" i="6"/>
  <c r="BI91" i="6"/>
  <c r="BJ91" i="6"/>
  <c r="BK91" i="6"/>
  <c r="BL91" i="6"/>
  <c r="BM91" i="6"/>
  <c r="BN91" i="6"/>
  <c r="BO91" i="6"/>
  <c r="BP91" i="6"/>
  <c r="BQ91" i="6"/>
  <c r="BR91" i="6"/>
  <c r="BS91" i="6"/>
  <c r="BT91" i="6"/>
  <c r="BU91" i="6"/>
  <c r="BV91" i="6"/>
  <c r="BW91" i="6"/>
  <c r="BX91" i="6"/>
  <c r="BY91" i="6"/>
  <c r="BZ91" i="6"/>
  <c r="CA91" i="6"/>
  <c r="CB91" i="6"/>
  <c r="CC91" i="6"/>
  <c r="CD91" i="6"/>
  <c r="CE91" i="6"/>
  <c r="CF91" i="6"/>
  <c r="CG91" i="6"/>
  <c r="CH91" i="6"/>
  <c r="CI91" i="6"/>
  <c r="CJ91" i="6"/>
  <c r="CK91" i="6"/>
  <c r="CL91" i="6"/>
  <c r="CM91" i="6"/>
  <c r="CN91" i="6"/>
  <c r="CO91" i="6"/>
  <c r="CP91" i="6"/>
  <c r="CQ91" i="6"/>
  <c r="CR91" i="6"/>
  <c r="CS91" i="6"/>
  <c r="CT91" i="6"/>
  <c r="CU91" i="6"/>
  <c r="CV91" i="6"/>
  <c r="CW91" i="6"/>
  <c r="CX91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AK92" i="6"/>
  <c r="AL92" i="6"/>
  <c r="AM92" i="6"/>
  <c r="AN92" i="6"/>
  <c r="AO92" i="6"/>
  <c r="AP92" i="6"/>
  <c r="AQ92" i="6"/>
  <c r="AR92" i="6"/>
  <c r="AS92" i="6"/>
  <c r="AT92" i="6"/>
  <c r="AU92" i="6"/>
  <c r="AV92" i="6"/>
  <c r="AW92" i="6"/>
  <c r="AX92" i="6"/>
  <c r="AY92" i="6"/>
  <c r="AZ92" i="6"/>
  <c r="BA92" i="6"/>
  <c r="BB92" i="6"/>
  <c r="BC92" i="6"/>
  <c r="BD92" i="6"/>
  <c r="BE92" i="6"/>
  <c r="BF92" i="6"/>
  <c r="BG92" i="6"/>
  <c r="BH92" i="6"/>
  <c r="BI92" i="6"/>
  <c r="BJ92" i="6"/>
  <c r="BK92" i="6"/>
  <c r="BL92" i="6"/>
  <c r="BM92" i="6"/>
  <c r="BN92" i="6"/>
  <c r="BO92" i="6"/>
  <c r="BP92" i="6"/>
  <c r="BQ92" i="6"/>
  <c r="BR92" i="6"/>
  <c r="BS92" i="6"/>
  <c r="BT92" i="6"/>
  <c r="BU92" i="6"/>
  <c r="BV92" i="6"/>
  <c r="BW92" i="6"/>
  <c r="BX92" i="6"/>
  <c r="BY92" i="6"/>
  <c r="BZ92" i="6"/>
  <c r="CA92" i="6"/>
  <c r="CB92" i="6"/>
  <c r="CC92" i="6"/>
  <c r="CD92" i="6"/>
  <c r="CE92" i="6"/>
  <c r="CF92" i="6"/>
  <c r="CG92" i="6"/>
  <c r="CH92" i="6"/>
  <c r="CI92" i="6"/>
  <c r="CJ92" i="6"/>
  <c r="CK92" i="6"/>
  <c r="CL92" i="6"/>
  <c r="CM92" i="6"/>
  <c r="CN92" i="6"/>
  <c r="CO92" i="6"/>
  <c r="CP92" i="6"/>
  <c r="CQ92" i="6"/>
  <c r="CR92" i="6"/>
  <c r="CS92" i="6"/>
  <c r="CT92" i="6"/>
  <c r="CU92" i="6"/>
  <c r="CV92" i="6"/>
  <c r="CW92" i="6"/>
  <c r="CX92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AG93" i="6"/>
  <c r="AH93" i="6"/>
  <c r="AI93" i="6"/>
  <c r="AJ93" i="6"/>
  <c r="AK93" i="6"/>
  <c r="AL93" i="6"/>
  <c r="AM93" i="6"/>
  <c r="AN93" i="6"/>
  <c r="AO93" i="6"/>
  <c r="AP93" i="6"/>
  <c r="AQ93" i="6"/>
  <c r="AR93" i="6"/>
  <c r="AS93" i="6"/>
  <c r="AT93" i="6"/>
  <c r="AU93" i="6"/>
  <c r="AV93" i="6"/>
  <c r="AW93" i="6"/>
  <c r="AX93" i="6"/>
  <c r="AY93" i="6"/>
  <c r="AZ93" i="6"/>
  <c r="BA93" i="6"/>
  <c r="BB93" i="6"/>
  <c r="BC93" i="6"/>
  <c r="BD93" i="6"/>
  <c r="BE93" i="6"/>
  <c r="BF93" i="6"/>
  <c r="BG93" i="6"/>
  <c r="BH93" i="6"/>
  <c r="BI93" i="6"/>
  <c r="BJ93" i="6"/>
  <c r="BK93" i="6"/>
  <c r="BL93" i="6"/>
  <c r="BM93" i="6"/>
  <c r="BN93" i="6"/>
  <c r="BO93" i="6"/>
  <c r="BP93" i="6"/>
  <c r="BQ93" i="6"/>
  <c r="BR93" i="6"/>
  <c r="BS93" i="6"/>
  <c r="BT93" i="6"/>
  <c r="BU93" i="6"/>
  <c r="BV93" i="6"/>
  <c r="BW93" i="6"/>
  <c r="BX93" i="6"/>
  <c r="BY93" i="6"/>
  <c r="BZ93" i="6"/>
  <c r="CA93" i="6"/>
  <c r="CB93" i="6"/>
  <c r="CC93" i="6"/>
  <c r="CD93" i="6"/>
  <c r="CE93" i="6"/>
  <c r="CF93" i="6"/>
  <c r="CG93" i="6"/>
  <c r="CH93" i="6"/>
  <c r="CI93" i="6"/>
  <c r="CJ93" i="6"/>
  <c r="CK93" i="6"/>
  <c r="CL93" i="6"/>
  <c r="CM93" i="6"/>
  <c r="CN93" i="6"/>
  <c r="CO93" i="6"/>
  <c r="CP93" i="6"/>
  <c r="CQ93" i="6"/>
  <c r="CR93" i="6"/>
  <c r="CS93" i="6"/>
  <c r="CT93" i="6"/>
  <c r="CU93" i="6"/>
  <c r="CV93" i="6"/>
  <c r="CW93" i="6"/>
  <c r="CX93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F94" i="6"/>
  <c r="AG94" i="6"/>
  <c r="AH94" i="6"/>
  <c r="AI94" i="6"/>
  <c r="AJ94" i="6"/>
  <c r="AK94" i="6"/>
  <c r="AL94" i="6"/>
  <c r="AM94" i="6"/>
  <c r="AN94" i="6"/>
  <c r="AO94" i="6"/>
  <c r="AP94" i="6"/>
  <c r="AQ94" i="6"/>
  <c r="AR94" i="6"/>
  <c r="AS94" i="6"/>
  <c r="AT94" i="6"/>
  <c r="AU94" i="6"/>
  <c r="AV94" i="6"/>
  <c r="AW94" i="6"/>
  <c r="AX94" i="6"/>
  <c r="AY94" i="6"/>
  <c r="AZ94" i="6"/>
  <c r="BA94" i="6"/>
  <c r="BB94" i="6"/>
  <c r="BC94" i="6"/>
  <c r="BD94" i="6"/>
  <c r="BE94" i="6"/>
  <c r="BF94" i="6"/>
  <c r="BG94" i="6"/>
  <c r="BH94" i="6"/>
  <c r="BI94" i="6"/>
  <c r="BJ94" i="6"/>
  <c r="BK94" i="6"/>
  <c r="BL94" i="6"/>
  <c r="BM94" i="6"/>
  <c r="BN94" i="6"/>
  <c r="BO94" i="6"/>
  <c r="BP94" i="6"/>
  <c r="BQ94" i="6"/>
  <c r="BR94" i="6"/>
  <c r="BS94" i="6"/>
  <c r="BT94" i="6"/>
  <c r="BU94" i="6"/>
  <c r="BV94" i="6"/>
  <c r="BW94" i="6"/>
  <c r="BX94" i="6"/>
  <c r="BY94" i="6"/>
  <c r="BZ94" i="6"/>
  <c r="CA94" i="6"/>
  <c r="CB94" i="6"/>
  <c r="CC94" i="6"/>
  <c r="CD94" i="6"/>
  <c r="CE94" i="6"/>
  <c r="CF94" i="6"/>
  <c r="CG94" i="6"/>
  <c r="CH94" i="6"/>
  <c r="CI94" i="6"/>
  <c r="CJ94" i="6"/>
  <c r="CK94" i="6"/>
  <c r="CL94" i="6"/>
  <c r="CM94" i="6"/>
  <c r="CN94" i="6"/>
  <c r="CO94" i="6"/>
  <c r="CP94" i="6"/>
  <c r="CQ94" i="6"/>
  <c r="CR94" i="6"/>
  <c r="CS94" i="6"/>
  <c r="CT94" i="6"/>
  <c r="CU94" i="6"/>
  <c r="CV94" i="6"/>
  <c r="CW94" i="6"/>
  <c r="CX94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F95" i="6"/>
  <c r="AG95" i="6"/>
  <c r="AH95" i="6"/>
  <c r="AI95" i="6"/>
  <c r="AJ95" i="6"/>
  <c r="AK95" i="6"/>
  <c r="AL95" i="6"/>
  <c r="AM95" i="6"/>
  <c r="AN95" i="6"/>
  <c r="AO95" i="6"/>
  <c r="AP95" i="6"/>
  <c r="AQ95" i="6"/>
  <c r="AR95" i="6"/>
  <c r="AS95" i="6"/>
  <c r="AT95" i="6"/>
  <c r="AU95" i="6"/>
  <c r="AV95" i="6"/>
  <c r="AW95" i="6"/>
  <c r="AX95" i="6"/>
  <c r="AY95" i="6"/>
  <c r="AZ95" i="6"/>
  <c r="BA95" i="6"/>
  <c r="BB95" i="6"/>
  <c r="BC95" i="6"/>
  <c r="BD95" i="6"/>
  <c r="BE95" i="6"/>
  <c r="BF95" i="6"/>
  <c r="BG95" i="6"/>
  <c r="BH95" i="6"/>
  <c r="BI95" i="6"/>
  <c r="BJ95" i="6"/>
  <c r="BK95" i="6"/>
  <c r="BL95" i="6"/>
  <c r="BM95" i="6"/>
  <c r="BN95" i="6"/>
  <c r="BO95" i="6"/>
  <c r="BP95" i="6"/>
  <c r="BQ95" i="6"/>
  <c r="BR95" i="6"/>
  <c r="BS95" i="6"/>
  <c r="BT95" i="6"/>
  <c r="BU95" i="6"/>
  <c r="BV95" i="6"/>
  <c r="BW95" i="6"/>
  <c r="BX95" i="6"/>
  <c r="BY95" i="6"/>
  <c r="BZ95" i="6"/>
  <c r="CA95" i="6"/>
  <c r="CB95" i="6"/>
  <c r="CC95" i="6"/>
  <c r="CD95" i="6"/>
  <c r="CE95" i="6"/>
  <c r="CF95" i="6"/>
  <c r="CG95" i="6"/>
  <c r="CH95" i="6"/>
  <c r="CI95" i="6"/>
  <c r="CJ95" i="6"/>
  <c r="CK95" i="6"/>
  <c r="CL95" i="6"/>
  <c r="CM95" i="6"/>
  <c r="CN95" i="6"/>
  <c r="CO95" i="6"/>
  <c r="CP95" i="6"/>
  <c r="CQ95" i="6"/>
  <c r="CR95" i="6"/>
  <c r="CS95" i="6"/>
  <c r="CT95" i="6"/>
  <c r="CU95" i="6"/>
  <c r="CV95" i="6"/>
  <c r="CW95" i="6"/>
  <c r="CX95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F96" i="6"/>
  <c r="AG96" i="6"/>
  <c r="AH96" i="6"/>
  <c r="AI96" i="6"/>
  <c r="AJ96" i="6"/>
  <c r="AK96" i="6"/>
  <c r="AL96" i="6"/>
  <c r="AM96" i="6"/>
  <c r="AN96" i="6"/>
  <c r="AO96" i="6"/>
  <c r="AP96" i="6"/>
  <c r="AQ96" i="6"/>
  <c r="AR96" i="6"/>
  <c r="AS96" i="6"/>
  <c r="AT96" i="6"/>
  <c r="AU96" i="6"/>
  <c r="AV96" i="6"/>
  <c r="AW96" i="6"/>
  <c r="AX96" i="6"/>
  <c r="AY96" i="6"/>
  <c r="AZ96" i="6"/>
  <c r="BA96" i="6"/>
  <c r="BB96" i="6"/>
  <c r="BC96" i="6"/>
  <c r="BD96" i="6"/>
  <c r="BE96" i="6"/>
  <c r="BF96" i="6"/>
  <c r="BG96" i="6"/>
  <c r="BH96" i="6"/>
  <c r="BI96" i="6"/>
  <c r="BJ96" i="6"/>
  <c r="BK96" i="6"/>
  <c r="BL96" i="6"/>
  <c r="BM96" i="6"/>
  <c r="BN96" i="6"/>
  <c r="BO96" i="6"/>
  <c r="BP96" i="6"/>
  <c r="BQ96" i="6"/>
  <c r="BR96" i="6"/>
  <c r="BS96" i="6"/>
  <c r="BT96" i="6"/>
  <c r="BU96" i="6"/>
  <c r="BV96" i="6"/>
  <c r="BW96" i="6"/>
  <c r="BX96" i="6"/>
  <c r="BY96" i="6"/>
  <c r="BZ96" i="6"/>
  <c r="CA96" i="6"/>
  <c r="CB96" i="6"/>
  <c r="CC96" i="6"/>
  <c r="CD96" i="6"/>
  <c r="CE96" i="6"/>
  <c r="CF96" i="6"/>
  <c r="CG96" i="6"/>
  <c r="CH96" i="6"/>
  <c r="CI96" i="6"/>
  <c r="CJ96" i="6"/>
  <c r="CK96" i="6"/>
  <c r="CL96" i="6"/>
  <c r="CM96" i="6"/>
  <c r="CN96" i="6"/>
  <c r="CO96" i="6"/>
  <c r="CP96" i="6"/>
  <c r="CQ96" i="6"/>
  <c r="CR96" i="6"/>
  <c r="CS96" i="6"/>
  <c r="CT96" i="6"/>
  <c r="CU96" i="6"/>
  <c r="CV96" i="6"/>
  <c r="CW96" i="6"/>
  <c r="CX96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F97" i="6"/>
  <c r="AG97" i="6"/>
  <c r="AH97" i="6"/>
  <c r="AI97" i="6"/>
  <c r="AJ97" i="6"/>
  <c r="AK97" i="6"/>
  <c r="AL97" i="6"/>
  <c r="AM97" i="6"/>
  <c r="AN97" i="6"/>
  <c r="AO97" i="6"/>
  <c r="AP97" i="6"/>
  <c r="AQ97" i="6"/>
  <c r="AR97" i="6"/>
  <c r="AS97" i="6"/>
  <c r="AT97" i="6"/>
  <c r="AU97" i="6"/>
  <c r="AV97" i="6"/>
  <c r="AW97" i="6"/>
  <c r="AX97" i="6"/>
  <c r="AY97" i="6"/>
  <c r="AZ97" i="6"/>
  <c r="BA97" i="6"/>
  <c r="BB97" i="6"/>
  <c r="BC97" i="6"/>
  <c r="BD97" i="6"/>
  <c r="BE97" i="6"/>
  <c r="BF97" i="6"/>
  <c r="BG97" i="6"/>
  <c r="BH97" i="6"/>
  <c r="BI97" i="6"/>
  <c r="BJ97" i="6"/>
  <c r="BK97" i="6"/>
  <c r="BL97" i="6"/>
  <c r="BM97" i="6"/>
  <c r="BN97" i="6"/>
  <c r="BO97" i="6"/>
  <c r="BP97" i="6"/>
  <c r="BQ97" i="6"/>
  <c r="BR97" i="6"/>
  <c r="BS97" i="6"/>
  <c r="BT97" i="6"/>
  <c r="BU97" i="6"/>
  <c r="BV97" i="6"/>
  <c r="BW97" i="6"/>
  <c r="BX97" i="6"/>
  <c r="BY97" i="6"/>
  <c r="BZ97" i="6"/>
  <c r="CA97" i="6"/>
  <c r="CB97" i="6"/>
  <c r="CC97" i="6"/>
  <c r="CD97" i="6"/>
  <c r="CE97" i="6"/>
  <c r="CF97" i="6"/>
  <c r="CG97" i="6"/>
  <c r="CH97" i="6"/>
  <c r="CI97" i="6"/>
  <c r="CJ97" i="6"/>
  <c r="CK97" i="6"/>
  <c r="CL97" i="6"/>
  <c r="CM97" i="6"/>
  <c r="CN97" i="6"/>
  <c r="CO97" i="6"/>
  <c r="CP97" i="6"/>
  <c r="CQ97" i="6"/>
  <c r="CR97" i="6"/>
  <c r="CS97" i="6"/>
  <c r="CT97" i="6"/>
  <c r="CU97" i="6"/>
  <c r="CV97" i="6"/>
  <c r="CW97" i="6"/>
  <c r="CX97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F98" i="6"/>
  <c r="AG98" i="6"/>
  <c r="AH98" i="6"/>
  <c r="AI98" i="6"/>
  <c r="AJ98" i="6"/>
  <c r="AK98" i="6"/>
  <c r="AL98" i="6"/>
  <c r="AM98" i="6"/>
  <c r="AN98" i="6"/>
  <c r="AO98" i="6"/>
  <c r="AP98" i="6"/>
  <c r="AQ98" i="6"/>
  <c r="AR98" i="6"/>
  <c r="AS98" i="6"/>
  <c r="AT98" i="6"/>
  <c r="AU98" i="6"/>
  <c r="AV98" i="6"/>
  <c r="AW98" i="6"/>
  <c r="AX98" i="6"/>
  <c r="AY98" i="6"/>
  <c r="AZ98" i="6"/>
  <c r="BA98" i="6"/>
  <c r="BB98" i="6"/>
  <c r="BC98" i="6"/>
  <c r="BD98" i="6"/>
  <c r="BE98" i="6"/>
  <c r="BF98" i="6"/>
  <c r="BG98" i="6"/>
  <c r="BH98" i="6"/>
  <c r="BI98" i="6"/>
  <c r="BJ98" i="6"/>
  <c r="BK98" i="6"/>
  <c r="BL98" i="6"/>
  <c r="BM98" i="6"/>
  <c r="BN98" i="6"/>
  <c r="BO98" i="6"/>
  <c r="BP98" i="6"/>
  <c r="BQ98" i="6"/>
  <c r="BR98" i="6"/>
  <c r="BS98" i="6"/>
  <c r="BT98" i="6"/>
  <c r="BU98" i="6"/>
  <c r="BV98" i="6"/>
  <c r="BW98" i="6"/>
  <c r="BX98" i="6"/>
  <c r="BY98" i="6"/>
  <c r="BZ98" i="6"/>
  <c r="CA98" i="6"/>
  <c r="CB98" i="6"/>
  <c r="CC98" i="6"/>
  <c r="CD98" i="6"/>
  <c r="CE98" i="6"/>
  <c r="CF98" i="6"/>
  <c r="CG98" i="6"/>
  <c r="CH98" i="6"/>
  <c r="CI98" i="6"/>
  <c r="CJ98" i="6"/>
  <c r="CK98" i="6"/>
  <c r="CL98" i="6"/>
  <c r="CM98" i="6"/>
  <c r="CN98" i="6"/>
  <c r="CO98" i="6"/>
  <c r="CP98" i="6"/>
  <c r="CQ98" i="6"/>
  <c r="CR98" i="6"/>
  <c r="CS98" i="6"/>
  <c r="CT98" i="6"/>
  <c r="CU98" i="6"/>
  <c r="CV98" i="6"/>
  <c r="CW98" i="6"/>
  <c r="CX98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AH99" i="6"/>
  <c r="AI99" i="6"/>
  <c r="AJ99" i="6"/>
  <c r="AK99" i="6"/>
  <c r="AL99" i="6"/>
  <c r="AM99" i="6"/>
  <c r="AN99" i="6"/>
  <c r="AO99" i="6"/>
  <c r="AP99" i="6"/>
  <c r="AQ99" i="6"/>
  <c r="AR99" i="6"/>
  <c r="AS99" i="6"/>
  <c r="AT99" i="6"/>
  <c r="AU99" i="6"/>
  <c r="AV99" i="6"/>
  <c r="AW99" i="6"/>
  <c r="AX99" i="6"/>
  <c r="AY99" i="6"/>
  <c r="AZ99" i="6"/>
  <c r="BA99" i="6"/>
  <c r="BB99" i="6"/>
  <c r="BC99" i="6"/>
  <c r="BD99" i="6"/>
  <c r="BE99" i="6"/>
  <c r="BF99" i="6"/>
  <c r="BG99" i="6"/>
  <c r="BH99" i="6"/>
  <c r="BI99" i="6"/>
  <c r="BJ99" i="6"/>
  <c r="BK99" i="6"/>
  <c r="BL99" i="6"/>
  <c r="BM99" i="6"/>
  <c r="BN99" i="6"/>
  <c r="BO99" i="6"/>
  <c r="BP99" i="6"/>
  <c r="BQ99" i="6"/>
  <c r="BR99" i="6"/>
  <c r="BS99" i="6"/>
  <c r="BT99" i="6"/>
  <c r="BU99" i="6"/>
  <c r="BV99" i="6"/>
  <c r="BW99" i="6"/>
  <c r="BX99" i="6"/>
  <c r="BY99" i="6"/>
  <c r="BZ99" i="6"/>
  <c r="CA99" i="6"/>
  <c r="CB99" i="6"/>
  <c r="CC99" i="6"/>
  <c r="CD99" i="6"/>
  <c r="CE99" i="6"/>
  <c r="CF99" i="6"/>
  <c r="CG99" i="6"/>
  <c r="CH99" i="6"/>
  <c r="CI99" i="6"/>
  <c r="CJ99" i="6"/>
  <c r="CK99" i="6"/>
  <c r="CL99" i="6"/>
  <c r="CM99" i="6"/>
  <c r="CN99" i="6"/>
  <c r="CO99" i="6"/>
  <c r="CP99" i="6"/>
  <c r="CQ99" i="6"/>
  <c r="CR99" i="6"/>
  <c r="CS99" i="6"/>
  <c r="CT99" i="6"/>
  <c r="CU99" i="6"/>
  <c r="CV99" i="6"/>
  <c r="CW99" i="6"/>
  <c r="CX99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AI100" i="6"/>
  <c r="AJ100" i="6"/>
  <c r="AK100" i="6"/>
  <c r="AL100" i="6"/>
  <c r="AM100" i="6"/>
  <c r="AN100" i="6"/>
  <c r="AO100" i="6"/>
  <c r="AP100" i="6"/>
  <c r="AQ100" i="6"/>
  <c r="AR100" i="6"/>
  <c r="AS100" i="6"/>
  <c r="AT100" i="6"/>
  <c r="AU100" i="6"/>
  <c r="AV100" i="6"/>
  <c r="AW100" i="6"/>
  <c r="AX100" i="6"/>
  <c r="AY100" i="6"/>
  <c r="AZ100" i="6"/>
  <c r="BA100" i="6"/>
  <c r="BB100" i="6"/>
  <c r="BC100" i="6"/>
  <c r="BD100" i="6"/>
  <c r="BE100" i="6"/>
  <c r="BF100" i="6"/>
  <c r="BG100" i="6"/>
  <c r="BH100" i="6"/>
  <c r="BI100" i="6"/>
  <c r="BJ100" i="6"/>
  <c r="BK100" i="6"/>
  <c r="BL100" i="6"/>
  <c r="BM100" i="6"/>
  <c r="BN100" i="6"/>
  <c r="BO100" i="6"/>
  <c r="BP100" i="6"/>
  <c r="BQ100" i="6"/>
  <c r="BR100" i="6"/>
  <c r="BS100" i="6"/>
  <c r="BT100" i="6"/>
  <c r="BU100" i="6"/>
  <c r="BV100" i="6"/>
  <c r="BW100" i="6"/>
  <c r="BX100" i="6"/>
  <c r="BY100" i="6"/>
  <c r="BZ100" i="6"/>
  <c r="CA100" i="6"/>
  <c r="CB100" i="6"/>
  <c r="CC100" i="6"/>
  <c r="CD100" i="6"/>
  <c r="CE100" i="6"/>
  <c r="CF100" i="6"/>
  <c r="CG100" i="6"/>
  <c r="CH100" i="6"/>
  <c r="CI100" i="6"/>
  <c r="CJ100" i="6"/>
  <c r="CK100" i="6"/>
  <c r="CL100" i="6"/>
  <c r="CM100" i="6"/>
  <c r="CN100" i="6"/>
  <c r="CO100" i="6"/>
  <c r="CP100" i="6"/>
  <c r="CQ100" i="6"/>
  <c r="CR100" i="6"/>
  <c r="CS100" i="6"/>
  <c r="CT100" i="6"/>
  <c r="CU100" i="6"/>
  <c r="CV100" i="6"/>
  <c r="CW100" i="6"/>
  <c r="CX100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F101" i="6"/>
  <c r="AG101" i="6"/>
  <c r="AH101" i="6"/>
  <c r="AI101" i="6"/>
  <c r="AJ101" i="6"/>
  <c r="AK101" i="6"/>
  <c r="AL101" i="6"/>
  <c r="AM101" i="6"/>
  <c r="AN101" i="6"/>
  <c r="AO101" i="6"/>
  <c r="AP101" i="6"/>
  <c r="AQ101" i="6"/>
  <c r="AR101" i="6"/>
  <c r="AS101" i="6"/>
  <c r="AT101" i="6"/>
  <c r="AU101" i="6"/>
  <c r="AV101" i="6"/>
  <c r="AW101" i="6"/>
  <c r="AX101" i="6"/>
  <c r="AY101" i="6"/>
  <c r="AZ101" i="6"/>
  <c r="BA101" i="6"/>
  <c r="BB101" i="6"/>
  <c r="BC101" i="6"/>
  <c r="BD101" i="6"/>
  <c r="BE101" i="6"/>
  <c r="BF101" i="6"/>
  <c r="BG101" i="6"/>
  <c r="BH101" i="6"/>
  <c r="BI101" i="6"/>
  <c r="BJ101" i="6"/>
  <c r="BK101" i="6"/>
  <c r="BL101" i="6"/>
  <c r="BM101" i="6"/>
  <c r="BN101" i="6"/>
  <c r="BO101" i="6"/>
  <c r="BP101" i="6"/>
  <c r="BQ101" i="6"/>
  <c r="BR101" i="6"/>
  <c r="BS101" i="6"/>
  <c r="BT101" i="6"/>
  <c r="BU101" i="6"/>
  <c r="BV101" i="6"/>
  <c r="BW101" i="6"/>
  <c r="BX101" i="6"/>
  <c r="BY101" i="6"/>
  <c r="BZ101" i="6"/>
  <c r="CA101" i="6"/>
  <c r="CB101" i="6"/>
  <c r="CC101" i="6"/>
  <c r="CD101" i="6"/>
  <c r="CE101" i="6"/>
  <c r="CF101" i="6"/>
  <c r="CG101" i="6"/>
  <c r="CH101" i="6"/>
  <c r="CI101" i="6"/>
  <c r="CJ101" i="6"/>
  <c r="CK101" i="6"/>
  <c r="CL101" i="6"/>
  <c r="CM101" i="6"/>
  <c r="CN101" i="6"/>
  <c r="CO101" i="6"/>
  <c r="CP101" i="6"/>
  <c r="CQ101" i="6"/>
  <c r="CR101" i="6"/>
  <c r="CS101" i="6"/>
  <c r="CT101" i="6"/>
  <c r="CU101" i="6"/>
  <c r="CV101" i="6"/>
  <c r="CW101" i="6"/>
  <c r="CX101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AH102" i="6"/>
  <c r="AI102" i="6"/>
  <c r="AJ102" i="6"/>
  <c r="AK102" i="6"/>
  <c r="AL102" i="6"/>
  <c r="AM102" i="6"/>
  <c r="AN102" i="6"/>
  <c r="AO102" i="6"/>
  <c r="AP102" i="6"/>
  <c r="AQ102" i="6"/>
  <c r="AR102" i="6"/>
  <c r="AS102" i="6"/>
  <c r="AT102" i="6"/>
  <c r="AU102" i="6"/>
  <c r="AV102" i="6"/>
  <c r="AW102" i="6"/>
  <c r="AX102" i="6"/>
  <c r="AY102" i="6"/>
  <c r="AZ102" i="6"/>
  <c r="BA102" i="6"/>
  <c r="BB102" i="6"/>
  <c r="BC102" i="6"/>
  <c r="BD102" i="6"/>
  <c r="BE102" i="6"/>
  <c r="BF102" i="6"/>
  <c r="BG102" i="6"/>
  <c r="BH102" i="6"/>
  <c r="BI102" i="6"/>
  <c r="BJ102" i="6"/>
  <c r="BK102" i="6"/>
  <c r="BL102" i="6"/>
  <c r="BM102" i="6"/>
  <c r="BN102" i="6"/>
  <c r="BO102" i="6"/>
  <c r="BP102" i="6"/>
  <c r="BQ102" i="6"/>
  <c r="BR102" i="6"/>
  <c r="BS102" i="6"/>
  <c r="BT102" i="6"/>
  <c r="BU102" i="6"/>
  <c r="BV102" i="6"/>
  <c r="BW102" i="6"/>
  <c r="BX102" i="6"/>
  <c r="BY102" i="6"/>
  <c r="BZ102" i="6"/>
  <c r="CA102" i="6"/>
  <c r="CB102" i="6"/>
  <c r="CC102" i="6"/>
  <c r="CD102" i="6"/>
  <c r="CE102" i="6"/>
  <c r="CF102" i="6"/>
  <c r="CG102" i="6"/>
  <c r="CH102" i="6"/>
  <c r="CI102" i="6"/>
  <c r="CJ102" i="6"/>
  <c r="CK102" i="6"/>
  <c r="CL102" i="6"/>
  <c r="CM102" i="6"/>
  <c r="CN102" i="6"/>
  <c r="CO102" i="6"/>
  <c r="CP102" i="6"/>
  <c r="CQ102" i="6"/>
  <c r="CR102" i="6"/>
  <c r="CS102" i="6"/>
  <c r="CT102" i="6"/>
  <c r="CU102" i="6"/>
  <c r="CV102" i="6"/>
  <c r="CW102" i="6"/>
  <c r="CX10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C5" i="9" s="1"/>
  <c r="C6" i="9" s="1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CT2" i="6"/>
  <c r="CU2" i="6"/>
  <c r="CV2" i="6"/>
  <c r="CW2" i="6"/>
  <c r="CX2" i="6"/>
  <c r="D2" i="6"/>
  <c r="E2" i="6"/>
  <c r="F2" i="6"/>
  <c r="G2" i="6"/>
  <c r="H2" i="6"/>
  <c r="I2" i="6"/>
  <c r="J2" i="6"/>
  <c r="K2" i="6"/>
  <c r="L2" i="6"/>
  <c r="M2" i="6"/>
  <c r="N2" i="6"/>
  <c r="O2" i="6"/>
  <c r="B2" i="6"/>
  <c r="D6" i="9" l="1"/>
  <c r="C7" i="9"/>
  <c r="U4" i="9"/>
  <c r="M4" i="9"/>
  <c r="J4" i="9"/>
  <c r="AO4" i="9"/>
  <c r="AG4" i="9"/>
  <c r="Y4" i="9"/>
  <c r="AP5" i="9"/>
  <c r="Q5" i="9"/>
  <c r="I5" i="9"/>
  <c r="T4" i="9"/>
  <c r="AN4" i="9"/>
  <c r="AF4" i="9"/>
  <c r="X4" i="9"/>
  <c r="P5" i="9"/>
  <c r="H5" i="9"/>
  <c r="S4" i="9"/>
  <c r="AM4" i="9"/>
  <c r="AE4" i="9"/>
  <c r="W4" i="9"/>
  <c r="O5" i="9"/>
  <c r="G5" i="9"/>
  <c r="R4" i="9"/>
  <c r="AL4" i="9"/>
  <c r="AD4" i="9"/>
  <c r="V5" i="9"/>
  <c r="N5" i="9"/>
  <c r="F5" i="9"/>
  <c r="AK4" i="9"/>
  <c r="AC4" i="9"/>
  <c r="E5" i="9"/>
  <c r="D4" i="9"/>
  <c r="AJ4" i="9"/>
  <c r="AB4" i="9"/>
  <c r="L5" i="9"/>
  <c r="C4" i="9"/>
  <c r="C8" i="9" s="1"/>
  <c r="AI4" i="9"/>
  <c r="AA4" i="9"/>
  <c r="K5" i="9"/>
  <c r="AH4" i="9"/>
  <c r="Z4" i="9"/>
  <c r="E6" i="9" l="1"/>
  <c r="D7" i="9"/>
  <c r="D8" i="9" s="1"/>
  <c r="F6" i="9" l="1"/>
  <c r="E7" i="9"/>
  <c r="E8" i="9" s="1"/>
  <c r="G6" i="9" l="1"/>
  <c r="F7" i="9"/>
  <c r="F8" i="9" s="1"/>
  <c r="H6" i="9" l="1"/>
  <c r="G7" i="9"/>
  <c r="G8" i="9" s="1"/>
  <c r="H7" i="9" l="1"/>
  <c r="H8" i="9" s="1"/>
  <c r="I6" i="9"/>
  <c r="J6" i="9" l="1"/>
  <c r="I7" i="9"/>
  <c r="I8" i="9" s="1"/>
  <c r="K6" i="9" l="1"/>
  <c r="J7" i="9"/>
  <c r="J8" i="9" s="1"/>
  <c r="K7" i="9" l="1"/>
  <c r="K8" i="9" s="1"/>
  <c r="L6" i="9"/>
  <c r="M6" i="9" l="1"/>
  <c r="L7" i="9"/>
  <c r="L8" i="9" s="1"/>
  <c r="N6" i="9" l="1"/>
  <c r="M7" i="9"/>
  <c r="M8" i="9" s="1"/>
  <c r="O6" i="9" l="1"/>
  <c r="N7" i="9"/>
  <c r="N8" i="9" s="1"/>
  <c r="P6" i="9" l="1"/>
  <c r="O7" i="9"/>
  <c r="O8" i="9" s="1"/>
  <c r="P7" i="9" l="1"/>
  <c r="P8" i="9" s="1"/>
  <c r="Q6" i="9"/>
  <c r="R6" i="9" l="1"/>
  <c r="Q7" i="9"/>
  <c r="Q8" i="9" s="1"/>
  <c r="S6" i="9" l="1"/>
  <c r="R7" i="9"/>
  <c r="R8" i="9" s="1"/>
  <c r="S7" i="9" l="1"/>
  <c r="S8" i="9" s="1"/>
  <c r="T6" i="9"/>
  <c r="U6" i="9" l="1"/>
  <c r="T7" i="9"/>
  <c r="T8" i="9" s="1"/>
  <c r="V6" i="9" l="1"/>
  <c r="U7" i="9"/>
  <c r="U8" i="9" s="1"/>
  <c r="W6" i="9" l="1"/>
  <c r="V7" i="9"/>
  <c r="V8" i="9" s="1"/>
  <c r="X6" i="9" l="1"/>
  <c r="W7" i="9"/>
  <c r="W8" i="9" s="1"/>
  <c r="Y6" i="9" l="1"/>
  <c r="X7" i="9"/>
  <c r="X8" i="9" s="1"/>
  <c r="Y7" i="9" l="1"/>
  <c r="Y8" i="9" s="1"/>
  <c r="Z6" i="9"/>
  <c r="AA6" i="9" l="1"/>
  <c r="Z7" i="9"/>
  <c r="Z8" i="9" s="1"/>
  <c r="AA7" i="9" l="1"/>
  <c r="AA8" i="9" s="1"/>
  <c r="AB6" i="9"/>
  <c r="AC6" i="9" l="1"/>
  <c r="AB7" i="9"/>
  <c r="AB8" i="9" s="1"/>
  <c r="AD6" i="9" l="1"/>
  <c r="AC7" i="9"/>
  <c r="AC8" i="9" s="1"/>
  <c r="AE6" i="9" l="1"/>
  <c r="AD7" i="9"/>
  <c r="AD8" i="9" s="1"/>
  <c r="AF6" i="9" l="1"/>
  <c r="AE7" i="9"/>
  <c r="AE8" i="9" s="1"/>
  <c r="AG6" i="9" l="1"/>
  <c r="AF7" i="9"/>
  <c r="AF8" i="9" s="1"/>
  <c r="AH6" i="9" l="1"/>
  <c r="AG7" i="9"/>
  <c r="AG8" i="9" s="1"/>
  <c r="AH7" i="9" l="1"/>
  <c r="AH8" i="9" s="1"/>
  <c r="AI6" i="9"/>
  <c r="AJ6" i="9" l="1"/>
  <c r="AI7" i="9"/>
  <c r="AI8" i="9" s="1"/>
  <c r="AK6" i="9" l="1"/>
  <c r="AJ7" i="9"/>
  <c r="AJ8" i="9" s="1"/>
  <c r="AK7" i="9" l="1"/>
  <c r="AK8" i="9" s="1"/>
  <c r="AL6" i="9"/>
  <c r="AM6" i="9" l="1"/>
  <c r="AL7" i="9"/>
  <c r="AL8" i="9" s="1"/>
  <c r="AN6" i="9" l="1"/>
  <c r="AM7" i="9"/>
  <c r="AM8" i="9" s="1"/>
  <c r="AO6" i="9" l="1"/>
  <c r="AN7" i="9"/>
  <c r="AN8" i="9" s="1"/>
  <c r="AO7" i="9" l="1"/>
  <c r="AO8" i="9" s="1"/>
  <c r="AP6" i="9"/>
  <c r="AP7" i="9" s="1"/>
  <c r="AP8" i="9" s="1"/>
  <c r="A9" i="9" s="1"/>
</calcChain>
</file>

<file path=xl/sharedStrings.xml><?xml version="1.0" encoding="utf-8"?>
<sst xmlns="http://schemas.openxmlformats.org/spreadsheetml/2006/main" count="477" uniqueCount="172">
  <si>
    <t>m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</si>
  <si>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</si>
  <si>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</si>
  <si>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</si>
  <si>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</si>
  <si>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</si>
  <si>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</si>
  <si>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</si>
  <si>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</si>
  <si>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</si>
  <si>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</si>
  <si>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R101 through R112</t>
  </si>
  <si>
    <r>
      <t> </t>
    </r>
    <r>
      <rPr>
        <sz val="11"/>
        <color indexed="48"/>
        <rFont val="-webkit-standard"/>
      </rPr>
      <t> </t>
    </r>
    <r>
      <rPr>
        <b/>
        <sz val="11"/>
        <color indexed="48"/>
        <rFont val="-webkit-standard"/>
      </rPr>
      <t>200</t>
    </r>
  </si>
  <si>
    <r>
      <t> </t>
    </r>
    <r>
      <rPr>
        <b/>
        <i/>
        <u/>
        <sz val="13.5"/>
        <color indexed="10"/>
        <rFont val="-webkit-standard"/>
      </rPr>
      <t>R101</t>
    </r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</si>
  <si>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</si>
  <si>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</si>
  <si>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</si>
  <si>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</si>
  <si>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</si>
  <si>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</si>
  <si>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</si>
  <si>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</si>
  <si>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</si>
  <si>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</si>
  <si>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</si>
  <si>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r>
      <t>VEHICLE</t>
    </r>
    <r>
      <rPr>
        <sz val="11"/>
        <color indexed="18"/>
        <rFont val="-webkit-standard"/>
      </rPr>
      <t> </t>
    </r>
    <r>
      <rPr>
        <b/>
        <sz val="11"/>
        <color indexed="18"/>
        <rFont val="-webkit-standard"/>
      </rPr>
      <t>CAPACITY</t>
    </r>
  </si>
  <si>
    <t xml:space="preserve"> XCOORD.</t>
  </si>
  <si>
    <t xml:space="preserve"> YCOORD.</t>
  </si>
  <si>
    <t xml:space="preserve"> DEMAND</t>
  </si>
  <si>
    <t xml:space="preserve"> READY TIME</t>
  </si>
  <si>
    <t xml:space="preserve"> DUE DATE</t>
  </si>
  <si>
    <t xml:space="preserve"> SERVICE TIME</t>
  </si>
  <si>
    <t xml:space="preserve"> CUST NO.</t>
  </si>
  <si>
    <t>C101 to C109</t>
  </si>
  <si>
    <r>
      <t> </t>
    </r>
    <r>
      <rPr>
        <b/>
        <sz val="11"/>
        <color indexed="48"/>
        <rFont val="-webkit-standard"/>
      </rPr>
      <t>200</t>
    </r>
  </si>
  <si>
    <r>
      <t> </t>
    </r>
    <r>
      <rPr>
        <b/>
        <i/>
        <u/>
        <sz val="13.5"/>
        <color indexed="10"/>
        <rFont val="-webkit-standard"/>
      </rPr>
      <t>C101</t>
    </r>
  </si>
  <si>
    <r>
      <t>VEHICLE</t>
    </r>
    <r>
      <rPr>
        <sz val="11"/>
        <color indexed="8"/>
        <rFont val="-webkit-standard"/>
      </rPr>
      <t> </t>
    </r>
    <r>
      <rPr>
        <b/>
        <sz val="11"/>
        <color indexed="18"/>
        <rFont val="-webkit-standard"/>
      </rPr>
      <t>CAPACITY</t>
    </r>
  </si>
  <si>
    <t>C102</t>
  </si>
  <si>
    <t>C103</t>
  </si>
  <si>
    <t>C104</t>
  </si>
  <si>
    <t>C105</t>
  </si>
  <si>
    <t>C106</t>
  </si>
  <si>
    <t>C107</t>
  </si>
  <si>
    <t>C108</t>
  </si>
  <si>
    <t>C109</t>
  </si>
  <si>
    <t>RC101 to RC108</t>
  </si>
  <si>
    <t>RC101</t>
  </si>
  <si>
    <t>RC102</t>
  </si>
  <si>
    <t>RC103</t>
  </si>
  <si>
    <t>RC104</t>
  </si>
  <si>
    <t>RC105</t>
  </si>
  <si>
    <t>RC106</t>
  </si>
  <si>
    <t>RC107</t>
  </si>
  <si>
    <t>RC108</t>
  </si>
  <si>
    <r>
      <t>VEHICLE</t>
    </r>
    <r>
      <rPr>
        <sz val="11"/>
        <color indexed="18"/>
        <rFont val="-webkit-standard"/>
      </rPr>
      <t> </t>
    </r>
    <r>
      <rPr>
        <b/>
        <sz val="11"/>
        <color indexed="18"/>
        <rFont val="-webkit-standard"/>
      </rPr>
      <t xml:space="preserve"> CAPACITY</t>
    </r>
  </si>
  <si>
    <t>CUSTOMER.</t>
  </si>
  <si>
    <t xml:space="preserve"> DEMAND.</t>
  </si>
  <si>
    <t>Capacity</t>
  </si>
  <si>
    <t>DUE DATE</t>
  </si>
  <si>
    <t>TSPSTW</t>
  </si>
  <si>
    <t>n =</t>
  </si>
  <si>
    <t>m =</t>
  </si>
  <si>
    <t>Parameters set up :</t>
  </si>
  <si>
    <t>Last Population :</t>
  </si>
  <si>
    <t>Best Solution</t>
  </si>
  <si>
    <t>Iter =</t>
  </si>
  <si>
    <t>Alpha =</t>
  </si>
  <si>
    <t xml:space="preserve">Capa = </t>
  </si>
  <si>
    <t>INF</t>
  </si>
  <si>
    <t>Speed =</t>
  </si>
  <si>
    <t>km/h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</si>
  <si>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</si>
  <si>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</si>
  <si>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</si>
  <si>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</si>
  <si>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</si>
  <si>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</si>
  <si>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</si>
  <si>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</si>
  <si>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</si>
  <si>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</si>
  <si>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</si>
  <si>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</si>
  <si>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</si>
  <si>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</si>
  <si>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</si>
  <si>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</si>
  <si>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</si>
  <si>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</si>
  <si>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</si>
  <si>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</si>
  <si>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</si>
  <si>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</si>
  <si>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</si>
  <si>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</si>
  <si>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</si>
  <si>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</si>
  <si>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</si>
  <si>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</si>
  <si>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</si>
  <si>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</si>
  <si>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</si>
  <si>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</si>
  <si>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</si>
  <si>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</si>
  <si>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</si>
  <si>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</si>
  <si>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</si>
  <si>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</si>
  <si>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</si>
  <si>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</si>
  <si>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</si>
  <si>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</si>
  <si>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</si>
  <si>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</si>
  <si>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</si>
  <si>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</si>
  <si>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</si>
  <si>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</si>
  <si>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</si>
  <si>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</si>
  <si>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</si>
  <si>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</si>
  <si>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</si>
  <si>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</si>
  <si>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</si>
  <si>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</si>
  <si>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</si>
  <si>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</si>
  <si>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</si>
  <si>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</si>
  <si>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</si>
  <si>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</si>
  <si>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</si>
  <si>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</si>
  <si>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</si>
  <si>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</si>
  <si>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</si>
  <si>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</si>
  <si>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</si>
  <si>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</si>
  <si>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</si>
  <si>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</si>
  <si>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</si>
  <si>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</si>
  <si>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</si>
  <si>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</si>
  <si>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</si>
  <si>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</si>
  <si>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</si>
  <si>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</si>
  <si>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</si>
  <si>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</si>
  <si>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</si>
  <si>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</si>
  <si>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</si>
  <si>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</si>
  <si>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</si>
  <si>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</si>
  <si>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</si>
  <si>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</si>
  <si>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</si>
  <si>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Cost</t>
  </si>
  <si>
    <t>€/min</t>
  </si>
  <si>
    <t>CUST</t>
  </si>
  <si>
    <t>COST</t>
  </si>
  <si>
    <t>CUM</t>
  </si>
  <si>
    <t>DIST</t>
  </si>
  <si>
    <t>LATENESS</t>
  </si>
  <si>
    <t>TIME</t>
  </si>
  <si>
    <t>TEST</t>
  </si>
  <si>
    <t>START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</si>
</sst>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Calibri"/>
      <family val="2"/>
      <scheme val="minor"/>
    </font>
    <font>
      <sz val="11"/>
      <color indexed="8"/>
      <name val="-webkit-standard"/>
    </font>
    <font>
      <sz val="11"/>
      <color indexed="18"/>
      <name val="-webkit-standard"/>
    </font>
    <font>
      <b/>
      <sz val="11"/>
      <color indexed="18"/>
      <name val="-webkit-standard"/>
    </font>
    <font>
      <sz val="11"/>
      <color indexed="48"/>
      <name val="-webkit-standard"/>
    </font>
    <font>
      <b/>
      <sz val="11"/>
      <color indexed="48"/>
      <name val="-webkit-standard"/>
    </font>
    <font>
      <b/>
      <i/>
      <u/>
      <sz val="13.5"/>
      <color indexed="10"/>
      <name val="-webkit-standard"/>
    </font>
    <font>
      <sz val="8"/>
      <name val="Calibri"/>
      <family val="2"/>
    </font>
    <font>
      <b/>
      <i/>
      <sz val="13.5"/>
      <color rgb="FFFF0000"/>
      <name val="-webkit-standard"/>
    </font>
    <font>
      <sz val="11"/>
      <color rgb="FF000000"/>
      <name val="-webkit-standard"/>
    </font>
    <font>
      <b/>
      <sz val="11"/>
      <color rgb="FF000099"/>
      <name val="-webkit-standard"/>
    </font>
    <font>
      <b/>
      <sz val="10"/>
      <color rgb="FF000099"/>
      <name val="Arial Unicode MS"/>
      <family val="2"/>
    </font>
    <font>
      <b/>
      <sz val="10"/>
      <color rgb="FF000000"/>
      <name val="Arial Unicode MS"/>
      <family val="2"/>
    </font>
    <font>
      <b/>
      <sz val="10"/>
      <color rgb="FF3366FF"/>
      <name val="Arial Unicode MS"/>
      <family val="2"/>
    </font>
    <font>
      <b/>
      <i/>
      <u/>
      <sz val="13.5"/>
      <color rgb="FFFF0000"/>
      <name val="-webkit-standard"/>
    </font>
    <font>
      <b/>
      <i/>
      <u/>
      <sz val="18"/>
      <color rgb="FFFF6666"/>
      <name val="Arial Unicode MS"/>
      <family val="2"/>
    </font>
    <font>
      <sz val="14"/>
      <color rgb="FF000000"/>
      <name val="-webkit-standard"/>
    </font>
    <font>
      <b/>
      <sz val="11"/>
      <color theme="8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0" fillId="0" borderId="0" xfId="0" applyFont="1" applyAlignment="1"/>
    <xf numFmtId="0" fontId="16" fillId="0" borderId="0" xfId="0" applyFont="1"/>
    <xf numFmtId="0" fontId="0" fillId="3" borderId="0" xfId="0" applyFill="1"/>
    <xf numFmtId="0" fontId="0" fillId="4" borderId="0" xfId="0" applyFill="1" applyAlignment="1">
      <alignment horizontal="center"/>
    </xf>
    <xf numFmtId="0" fontId="18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8" fillId="3" borderId="0" xfId="0" applyFont="1" applyFill="1"/>
    <xf numFmtId="2" fontId="0" fillId="3" borderId="0" xfId="0" applyNumberFormat="1" applyFill="1" applyBorder="1"/>
    <xf numFmtId="0" fontId="0" fillId="4" borderId="0" xfId="0" applyFill="1" applyBorder="1"/>
    <xf numFmtId="0" fontId="0" fillId="5" borderId="0" xfId="0" applyFill="1" applyBorder="1"/>
    <xf numFmtId="0" fontId="18" fillId="4" borderId="0" xfId="0" applyFont="1" applyFill="1" applyBorder="1" applyAlignment="1"/>
    <xf numFmtId="0" fontId="18" fillId="4" borderId="0" xfId="0" applyFont="1" applyFill="1" applyBorder="1" applyAlignment="1">
      <alignment horizontal="right"/>
    </xf>
    <xf numFmtId="0" fontId="0" fillId="6" borderId="0" xfId="0" applyFill="1" applyBorder="1"/>
    <xf numFmtId="0" fontId="19" fillId="3" borderId="0" xfId="0" applyFont="1" applyFill="1" applyBorder="1"/>
    <xf numFmtId="0" fontId="0" fillId="7" borderId="0" xfId="0" applyFill="1" applyBorder="1"/>
    <xf numFmtId="0" fontId="20" fillId="8" borderId="0" xfId="0" applyFont="1" applyFill="1"/>
    <xf numFmtId="0" fontId="18" fillId="3" borderId="0" xfId="0" applyFont="1" applyFill="1" applyBorder="1" applyAlignment="1">
      <alignment horizontal="right"/>
    </xf>
    <xf numFmtId="0" fontId="0" fillId="3" borderId="0" xfId="0" applyFill="1" applyBorder="1"/>
    <xf numFmtId="0" fontId="20" fillId="3" borderId="0" xfId="0" applyFont="1" applyFill="1"/>
    <xf numFmtId="0" fontId="0" fillId="0" borderId="0" xfId="0" applyFont="1" applyFill="1"/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17" fillId="3" borderId="0" xfId="0" applyFont="1" applyFill="1" applyBorder="1"/>
    <xf numFmtId="0" fontId="17" fillId="3" borderId="7" xfId="0" applyFont="1" applyFill="1" applyBorder="1"/>
    <xf numFmtId="0" fontId="0" fillId="8" borderId="0" xfId="0" applyFill="1" applyBorder="1" applyProtection="1">
      <protection locked="0"/>
    </xf>
    <xf numFmtId="0" fontId="0" fillId="3" borderId="0" xfId="0" applyFill="1" applyProtection="1">
      <protection locked="0"/>
    </xf>
    <xf numFmtId="0" fontId="21" fillId="3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left"/>
    </xf>
    <xf numFmtId="0" fontId="23" fillId="4" borderId="0" xfId="0" applyFont="1" applyFill="1" applyAlignment="1">
      <alignment horizontal="center" vertical="center"/>
    </xf>
    <xf numFmtId="0" fontId="18" fillId="4" borderId="1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/>
    </xf>
    <xf numFmtId="0" fontId="24" fillId="0" borderId="4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center" vertical="center"/>
      <protection locked="0"/>
    </xf>
    <xf numFmtId="0" fontId="24" fillId="0" borderId="5" xfId="0" applyFont="1" applyBorder="1" applyAlignment="1" applyProtection="1">
      <alignment horizontal="center" vertical="center"/>
      <protection locked="0"/>
    </xf>
    <xf numFmtId="0" fontId="24" fillId="0" borderId="6" xfId="0" applyFont="1" applyBorder="1" applyAlignment="1" applyProtection="1">
      <alignment horizontal="center" vertical="center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0" fontId="24" fillId="0" borderId="8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0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theme="2"/>
        </patternFill>
      </fill>
      <protection locked="0" hidden="0"/>
    </dxf>
    <dxf>
      <fill>
        <patternFill patternType="solid">
          <fgColor indexed="64"/>
          <bgColor theme="2"/>
        </patternFill>
      </fill>
      <protection locked="0" hidden="0"/>
    </dxf>
    <dxf>
      <protection locked="0" hidden="0"/>
    </dxf>
    <dxf>
      <fill>
        <patternFill patternType="solid">
          <fgColor indexed="64"/>
          <bgColor theme="2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6</xdr:col>
          <xdr:colOff>0</xdr:colOff>
          <xdr:row>8</xdr:row>
          <xdr:rowOff>15240</xdr:rowOff>
        </xdr:to>
        <xdr:sp macro="" textlink="">
          <xdr:nvSpPr>
            <xdr:cNvPr id="1025" name="Button 1" descr="RU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3:CY113" totalsRowShown="0" headerRowDxfId="104" dataDxfId="103">
  <autoFilter ref="A13:CY113" xr:uid="{00000000-0009-0000-0100-000001000000}"/>
  <sortState xmlns:xlrd2="http://schemas.microsoft.com/office/spreadsheetml/2017/richdata2" ref="A14:M113">
    <sortCondition ref="A13:A113"/>
  </sortState>
  <tableColumns count="103">
    <tableColumn id="1" xr3:uid="{00000000-0010-0000-0000-000001000000}" name="m" dataDxfId="102"/>
    <tableColumn id="115" xr3:uid="{00000000-0010-0000-0000-000073000000}" name="Cost" dataDxfId="101"/>
    <tableColumn id="2" xr3:uid="{00000000-0010-0000-0000-000002000000}" name="1" dataDxfId="100"/>
    <tableColumn id="3" xr3:uid="{00000000-0010-0000-0000-000003000000}" name="2" dataDxfId="99"/>
    <tableColumn id="4" xr3:uid="{00000000-0010-0000-0000-000004000000}" name="3" dataDxfId="98"/>
    <tableColumn id="5" xr3:uid="{00000000-0010-0000-0000-000005000000}" name="4" dataDxfId="97"/>
    <tableColumn id="6" xr3:uid="{00000000-0010-0000-0000-000006000000}" name="5" dataDxfId="96"/>
    <tableColumn id="7" xr3:uid="{00000000-0010-0000-0000-000007000000}" name="6" dataDxfId="95"/>
    <tableColumn id="8" xr3:uid="{00000000-0010-0000-0000-000008000000}" name="7" dataDxfId="94"/>
    <tableColumn id="9" xr3:uid="{00000000-0010-0000-0000-000009000000}" name="8" dataDxfId="93"/>
    <tableColumn id="10" xr3:uid="{00000000-0010-0000-0000-00000A000000}" name="9" dataDxfId="92"/>
    <tableColumn id="11" xr3:uid="{00000000-0010-0000-0000-00000B000000}" name="10" dataDxfId="91"/>
    <tableColumn id="12" xr3:uid="{00000000-0010-0000-0000-00000C000000}" name="11" dataDxfId="90"/>
    <tableColumn id="13" xr3:uid="{00000000-0010-0000-0000-00000D000000}" name="12" dataDxfId="89"/>
    <tableColumn id="14" xr3:uid="{00000000-0010-0000-0000-00000E000000}" name="13" dataDxfId="88"/>
    <tableColumn id="15" xr3:uid="{00000000-0010-0000-0000-00000F000000}" name="14" dataDxfId="87"/>
    <tableColumn id="16" xr3:uid="{00000000-0010-0000-0000-000010000000}" name="15" dataDxfId="86"/>
    <tableColumn id="17" xr3:uid="{00000000-0010-0000-0000-000011000000}" name="16" dataDxfId="85"/>
    <tableColumn id="18" xr3:uid="{00000000-0010-0000-0000-000012000000}" name="17" dataDxfId="84"/>
    <tableColumn id="19" xr3:uid="{00000000-0010-0000-0000-000013000000}" name="18" dataDxfId="83"/>
    <tableColumn id="20" xr3:uid="{00000000-0010-0000-0000-000014000000}" name="19" dataDxfId="82"/>
    <tableColumn id="21" xr3:uid="{00000000-0010-0000-0000-000015000000}" name="20" dataDxfId="81"/>
    <tableColumn id="22" xr3:uid="{00000000-0010-0000-0000-000016000000}" name="21" dataDxfId="80"/>
    <tableColumn id="23" xr3:uid="{00000000-0010-0000-0000-000017000000}" name="22" dataDxfId="79"/>
    <tableColumn id="24" xr3:uid="{00000000-0010-0000-0000-000018000000}" name="23" dataDxfId="78"/>
    <tableColumn id="25" xr3:uid="{00000000-0010-0000-0000-000019000000}" name="24" dataDxfId="77"/>
    <tableColumn id="26" xr3:uid="{00000000-0010-0000-0000-00001A000000}" name="25" dataDxfId="76"/>
    <tableColumn id="27" xr3:uid="{00000000-0010-0000-0000-00001B000000}" name="26" dataDxfId="75"/>
    <tableColumn id="28" xr3:uid="{00000000-0010-0000-0000-00001C000000}" name="27" dataDxfId="74"/>
    <tableColumn id="29" xr3:uid="{00000000-0010-0000-0000-00001D000000}" name="28" dataDxfId="73"/>
    <tableColumn id="30" xr3:uid="{00000000-0010-0000-0000-00001E000000}" name="29" dataDxfId="72"/>
    <tableColumn id="31" xr3:uid="{00000000-0010-0000-0000-00001F000000}" name="30" dataDxfId="71"/>
    <tableColumn id="32" xr3:uid="{00000000-0010-0000-0000-000020000000}" name="31" dataDxfId="70"/>
    <tableColumn id="33" xr3:uid="{00000000-0010-0000-0000-000021000000}" name="32" dataDxfId="69"/>
    <tableColumn id="34" xr3:uid="{00000000-0010-0000-0000-000022000000}" name="33" dataDxfId="68"/>
    <tableColumn id="35" xr3:uid="{00000000-0010-0000-0000-000023000000}" name="34" dataDxfId="67"/>
    <tableColumn id="36" xr3:uid="{00000000-0010-0000-0000-000024000000}" name="35" dataDxfId="66"/>
    <tableColumn id="37" xr3:uid="{00000000-0010-0000-0000-000025000000}" name="36" dataDxfId="65"/>
    <tableColumn id="38" xr3:uid="{00000000-0010-0000-0000-000026000000}" name="37" dataDxfId="64"/>
    <tableColumn id="39" xr3:uid="{00000000-0010-0000-0000-000027000000}" name="38" dataDxfId="63"/>
    <tableColumn id="40" xr3:uid="{00000000-0010-0000-0000-000028000000}" name="39" dataDxfId="62"/>
    <tableColumn id="41" xr3:uid="{00000000-0010-0000-0000-000029000000}" name="40" dataDxfId="61"/>
    <tableColumn id="42" xr3:uid="{00000000-0010-0000-0000-00002A000000}" name="41" dataDxfId="60"/>
    <tableColumn id="43" xr3:uid="{00000000-0010-0000-0000-00002B000000}" name="42" dataDxfId="59"/>
    <tableColumn id="44" xr3:uid="{00000000-0010-0000-0000-00002C000000}" name="43" dataDxfId="58"/>
    <tableColumn id="45" xr3:uid="{00000000-0010-0000-0000-00002D000000}" name="44" dataDxfId="57"/>
    <tableColumn id="46" xr3:uid="{00000000-0010-0000-0000-00002E000000}" name="45" dataDxfId="56"/>
    <tableColumn id="47" xr3:uid="{00000000-0010-0000-0000-00002F000000}" name="46" dataDxfId="55"/>
    <tableColumn id="48" xr3:uid="{00000000-0010-0000-0000-000030000000}" name="47" dataDxfId="54"/>
    <tableColumn id="49" xr3:uid="{00000000-0010-0000-0000-000031000000}" name="48" dataDxfId="53"/>
    <tableColumn id="50" xr3:uid="{00000000-0010-0000-0000-000032000000}" name="49" dataDxfId="52"/>
    <tableColumn id="51" xr3:uid="{00000000-0010-0000-0000-000033000000}" name="50" dataDxfId="51"/>
    <tableColumn id="52" xr3:uid="{00000000-0010-0000-0000-000034000000}" name="51" dataDxfId="50"/>
    <tableColumn id="53" xr3:uid="{00000000-0010-0000-0000-000035000000}" name="52" dataDxfId="49"/>
    <tableColumn id="54" xr3:uid="{00000000-0010-0000-0000-000036000000}" name="53" dataDxfId="48"/>
    <tableColumn id="55" xr3:uid="{00000000-0010-0000-0000-000037000000}" name="54" dataDxfId="47"/>
    <tableColumn id="56" xr3:uid="{00000000-0010-0000-0000-000038000000}" name="55" dataDxfId="46"/>
    <tableColumn id="57" xr3:uid="{00000000-0010-0000-0000-000039000000}" name="56" dataDxfId="45"/>
    <tableColumn id="58" xr3:uid="{00000000-0010-0000-0000-00003A000000}" name="57" dataDxfId="44"/>
    <tableColumn id="59" xr3:uid="{00000000-0010-0000-0000-00003B000000}" name="58" dataDxfId="43"/>
    <tableColumn id="60" xr3:uid="{00000000-0010-0000-0000-00003C000000}" name="59" dataDxfId="42"/>
    <tableColumn id="61" xr3:uid="{00000000-0010-0000-0000-00003D000000}" name="60" dataDxfId="41"/>
    <tableColumn id="62" xr3:uid="{00000000-0010-0000-0000-00003E000000}" name="61" dataDxfId="40"/>
    <tableColumn id="63" xr3:uid="{00000000-0010-0000-0000-00003F000000}" name="62" dataDxfId="39"/>
    <tableColumn id="64" xr3:uid="{00000000-0010-0000-0000-000040000000}" name="63" dataDxfId="38"/>
    <tableColumn id="65" xr3:uid="{00000000-0010-0000-0000-000041000000}" name="64" dataDxfId="37"/>
    <tableColumn id="66" xr3:uid="{00000000-0010-0000-0000-000042000000}" name="65" dataDxfId="36"/>
    <tableColumn id="67" xr3:uid="{00000000-0010-0000-0000-000043000000}" name="66" dataDxfId="35"/>
    <tableColumn id="68" xr3:uid="{00000000-0010-0000-0000-000044000000}" name="67" dataDxfId="34"/>
    <tableColumn id="69" xr3:uid="{00000000-0010-0000-0000-000045000000}" name="68" dataDxfId="33"/>
    <tableColumn id="70" xr3:uid="{00000000-0010-0000-0000-000046000000}" name="69" dataDxfId="32"/>
    <tableColumn id="71" xr3:uid="{00000000-0010-0000-0000-000047000000}" name="70" dataDxfId="31"/>
    <tableColumn id="72" xr3:uid="{00000000-0010-0000-0000-000048000000}" name="71" dataDxfId="30"/>
    <tableColumn id="73" xr3:uid="{00000000-0010-0000-0000-000049000000}" name="72" dataDxfId="29"/>
    <tableColumn id="74" xr3:uid="{00000000-0010-0000-0000-00004A000000}" name="73" dataDxfId="28"/>
    <tableColumn id="75" xr3:uid="{00000000-0010-0000-0000-00004B000000}" name="74" dataDxfId="27"/>
    <tableColumn id="76" xr3:uid="{00000000-0010-0000-0000-00004C000000}" name="75" dataDxfId="26"/>
    <tableColumn id="77" xr3:uid="{00000000-0010-0000-0000-00004D000000}" name="76" dataDxfId="25"/>
    <tableColumn id="78" xr3:uid="{00000000-0010-0000-0000-00004E000000}" name="77" dataDxfId="24"/>
    <tableColumn id="79" xr3:uid="{00000000-0010-0000-0000-00004F000000}" name="78" dataDxfId="23"/>
    <tableColumn id="80" xr3:uid="{00000000-0010-0000-0000-000050000000}" name="79" dataDxfId="22"/>
    <tableColumn id="81" xr3:uid="{00000000-0010-0000-0000-000051000000}" name="80" dataDxfId="21"/>
    <tableColumn id="82" xr3:uid="{00000000-0010-0000-0000-000052000000}" name="81" dataDxfId="20"/>
    <tableColumn id="83" xr3:uid="{00000000-0010-0000-0000-000053000000}" name="82" dataDxfId="19"/>
    <tableColumn id="84" xr3:uid="{00000000-0010-0000-0000-000054000000}" name="83" dataDxfId="18"/>
    <tableColumn id="85" xr3:uid="{00000000-0010-0000-0000-000055000000}" name="84" dataDxfId="17"/>
    <tableColumn id="86" xr3:uid="{00000000-0010-0000-0000-000056000000}" name="85" dataDxfId="16"/>
    <tableColumn id="87" xr3:uid="{00000000-0010-0000-0000-000057000000}" name="86" dataDxfId="15"/>
    <tableColumn id="88" xr3:uid="{00000000-0010-0000-0000-000058000000}" name="87" dataDxfId="14"/>
    <tableColumn id="89" xr3:uid="{00000000-0010-0000-0000-000059000000}" name="88" dataDxfId="13"/>
    <tableColumn id="90" xr3:uid="{00000000-0010-0000-0000-00005A000000}" name="89" dataDxfId="12"/>
    <tableColumn id="91" xr3:uid="{00000000-0010-0000-0000-00005B000000}" name="90" dataDxfId="11"/>
    <tableColumn id="92" xr3:uid="{00000000-0010-0000-0000-00005C000000}" name="91" dataDxfId="10"/>
    <tableColumn id="93" xr3:uid="{00000000-0010-0000-0000-00005D000000}" name="92" dataDxfId="9"/>
    <tableColumn id="94" xr3:uid="{00000000-0010-0000-0000-00005E000000}" name="93" dataDxfId="8"/>
    <tableColumn id="95" xr3:uid="{00000000-0010-0000-0000-00005F000000}" name="94" dataDxfId="7"/>
    <tableColumn id="96" xr3:uid="{00000000-0010-0000-0000-000060000000}" name="95" dataDxfId="6"/>
    <tableColumn id="97" xr3:uid="{00000000-0010-0000-0000-000061000000}" name="96" dataDxfId="5"/>
    <tableColumn id="98" xr3:uid="{00000000-0010-0000-0000-000062000000}" name="97" dataDxfId="4"/>
    <tableColumn id="99" xr3:uid="{00000000-0010-0000-0000-000063000000}" name="98" dataDxfId="3"/>
    <tableColumn id="100" xr3:uid="{00000000-0010-0000-0000-000064000000}" name="99" dataDxfId="2"/>
    <tableColumn id="101" xr3:uid="{00000000-0010-0000-0000-000065000000}" name="100" dataDxfId="1"/>
    <tableColumn id="102" xr3:uid="{00000000-0010-0000-0000-000066000000}" name="101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CY101" totalsRowShown="0">
  <autoFilter ref="A1:CY101" xr:uid="{00000000-0009-0000-0100-000002000000}"/>
  <sortState xmlns:xlrd2="http://schemas.microsoft.com/office/spreadsheetml/2017/richdata2" ref="A2:CY101">
    <sortCondition ref="B1:B101"/>
  </sortState>
  <tableColumns count="103">
    <tableColumn id="1" xr3:uid="{00000000-0010-0000-0100-000001000000}" name="m"/>
    <tableColumn id="2" xr3:uid="{00000000-0010-0000-0100-000002000000}" name="Cost"/>
    <tableColumn id="3" xr3:uid="{00000000-0010-0000-0100-000003000000}" name="1"/>
    <tableColumn id="4" xr3:uid="{00000000-0010-0000-0100-000004000000}" name="2"/>
    <tableColumn id="5" xr3:uid="{00000000-0010-0000-0100-000005000000}" name="3"/>
    <tableColumn id="6" xr3:uid="{00000000-0010-0000-0100-000006000000}" name="4"/>
    <tableColumn id="7" xr3:uid="{00000000-0010-0000-0100-000007000000}" name="5"/>
    <tableColumn id="8" xr3:uid="{00000000-0010-0000-0100-000008000000}" name="6"/>
    <tableColumn id="9" xr3:uid="{00000000-0010-0000-0100-000009000000}" name="7"/>
    <tableColumn id="10" xr3:uid="{00000000-0010-0000-0100-00000A000000}" name="8"/>
    <tableColumn id="11" xr3:uid="{00000000-0010-0000-0100-00000B000000}" name="9"/>
    <tableColumn id="12" xr3:uid="{00000000-0010-0000-0100-00000C000000}" name="10"/>
    <tableColumn id="13" xr3:uid="{00000000-0010-0000-0100-00000D000000}" name="11"/>
    <tableColumn id="14" xr3:uid="{00000000-0010-0000-0100-00000E000000}" name="12"/>
    <tableColumn id="15" xr3:uid="{00000000-0010-0000-0100-00000F000000}" name="13"/>
    <tableColumn id="16" xr3:uid="{00000000-0010-0000-0100-000010000000}" name="14"/>
    <tableColumn id="17" xr3:uid="{00000000-0010-0000-0100-000011000000}" name="15"/>
    <tableColumn id="18" xr3:uid="{00000000-0010-0000-0100-000012000000}" name="16"/>
    <tableColumn id="19" xr3:uid="{00000000-0010-0000-0100-000013000000}" name="17"/>
    <tableColumn id="20" xr3:uid="{00000000-0010-0000-0100-000014000000}" name="18"/>
    <tableColumn id="21" xr3:uid="{00000000-0010-0000-0100-000015000000}" name="19"/>
    <tableColumn id="22" xr3:uid="{00000000-0010-0000-0100-000016000000}" name="20"/>
    <tableColumn id="23" xr3:uid="{00000000-0010-0000-0100-000017000000}" name="21"/>
    <tableColumn id="24" xr3:uid="{00000000-0010-0000-0100-000018000000}" name="22"/>
    <tableColumn id="25" xr3:uid="{00000000-0010-0000-0100-000019000000}" name="23"/>
    <tableColumn id="26" xr3:uid="{00000000-0010-0000-0100-00001A000000}" name="24"/>
    <tableColumn id="27" xr3:uid="{00000000-0010-0000-0100-00001B000000}" name="25"/>
    <tableColumn id="28" xr3:uid="{00000000-0010-0000-0100-00001C000000}" name="26"/>
    <tableColumn id="29" xr3:uid="{00000000-0010-0000-0100-00001D000000}" name="27"/>
    <tableColumn id="30" xr3:uid="{00000000-0010-0000-0100-00001E000000}" name="28"/>
    <tableColumn id="31" xr3:uid="{00000000-0010-0000-0100-00001F000000}" name="29"/>
    <tableColumn id="32" xr3:uid="{00000000-0010-0000-0100-000020000000}" name="30"/>
    <tableColumn id="33" xr3:uid="{00000000-0010-0000-0100-000021000000}" name="31"/>
    <tableColumn id="34" xr3:uid="{00000000-0010-0000-0100-000022000000}" name="32"/>
    <tableColumn id="35" xr3:uid="{00000000-0010-0000-0100-000023000000}" name="33"/>
    <tableColumn id="36" xr3:uid="{00000000-0010-0000-0100-000024000000}" name="34"/>
    <tableColumn id="37" xr3:uid="{00000000-0010-0000-0100-000025000000}" name="35"/>
    <tableColumn id="38" xr3:uid="{00000000-0010-0000-0100-000026000000}" name="36"/>
    <tableColumn id="39" xr3:uid="{00000000-0010-0000-0100-000027000000}" name="37"/>
    <tableColumn id="40" xr3:uid="{00000000-0010-0000-0100-000028000000}" name="38"/>
    <tableColumn id="41" xr3:uid="{00000000-0010-0000-0100-000029000000}" name="39"/>
    <tableColumn id="42" xr3:uid="{00000000-0010-0000-0100-00002A000000}" name="40"/>
    <tableColumn id="43" xr3:uid="{00000000-0010-0000-0100-00002B000000}" name="41"/>
    <tableColumn id="44" xr3:uid="{00000000-0010-0000-0100-00002C000000}" name="42"/>
    <tableColumn id="45" xr3:uid="{00000000-0010-0000-0100-00002D000000}" name="43"/>
    <tableColumn id="46" xr3:uid="{00000000-0010-0000-0100-00002E000000}" name="44"/>
    <tableColumn id="47" xr3:uid="{00000000-0010-0000-0100-00002F000000}" name="45"/>
    <tableColumn id="48" xr3:uid="{00000000-0010-0000-0100-000030000000}" name="46"/>
    <tableColumn id="49" xr3:uid="{00000000-0010-0000-0100-000031000000}" name="47"/>
    <tableColumn id="50" xr3:uid="{00000000-0010-0000-0100-000032000000}" name="48"/>
    <tableColumn id="51" xr3:uid="{00000000-0010-0000-0100-000033000000}" name="49"/>
    <tableColumn id="52" xr3:uid="{00000000-0010-0000-0100-000034000000}" name="50"/>
    <tableColumn id="53" xr3:uid="{00000000-0010-0000-0100-000035000000}" name="51"/>
    <tableColumn id="54" xr3:uid="{00000000-0010-0000-0100-000036000000}" name="52"/>
    <tableColumn id="55" xr3:uid="{00000000-0010-0000-0100-000037000000}" name="53"/>
    <tableColumn id="56" xr3:uid="{00000000-0010-0000-0100-000038000000}" name="54"/>
    <tableColumn id="57" xr3:uid="{00000000-0010-0000-0100-000039000000}" name="55"/>
    <tableColumn id="58" xr3:uid="{00000000-0010-0000-0100-00003A000000}" name="56"/>
    <tableColumn id="59" xr3:uid="{00000000-0010-0000-0100-00003B000000}" name="57"/>
    <tableColumn id="60" xr3:uid="{00000000-0010-0000-0100-00003C000000}" name="58"/>
    <tableColumn id="61" xr3:uid="{00000000-0010-0000-0100-00003D000000}" name="59"/>
    <tableColumn id="62" xr3:uid="{00000000-0010-0000-0100-00003E000000}" name="60"/>
    <tableColumn id="63" xr3:uid="{00000000-0010-0000-0100-00003F000000}" name="61"/>
    <tableColumn id="64" xr3:uid="{00000000-0010-0000-0100-000040000000}" name="62"/>
    <tableColumn id="65" xr3:uid="{00000000-0010-0000-0100-000041000000}" name="63"/>
    <tableColumn id="66" xr3:uid="{00000000-0010-0000-0100-000042000000}" name="64"/>
    <tableColumn id="67" xr3:uid="{00000000-0010-0000-0100-000043000000}" name="65"/>
    <tableColumn id="68" xr3:uid="{00000000-0010-0000-0100-000044000000}" name="66"/>
    <tableColumn id="69" xr3:uid="{00000000-0010-0000-0100-000045000000}" name="67"/>
    <tableColumn id="70" xr3:uid="{00000000-0010-0000-0100-000046000000}" name="68"/>
    <tableColumn id="71" xr3:uid="{00000000-0010-0000-0100-000047000000}" name="69"/>
    <tableColumn id="72" xr3:uid="{00000000-0010-0000-0100-000048000000}" name="70"/>
    <tableColumn id="73" xr3:uid="{00000000-0010-0000-0100-000049000000}" name="71"/>
    <tableColumn id="74" xr3:uid="{00000000-0010-0000-0100-00004A000000}" name="72"/>
    <tableColumn id="75" xr3:uid="{00000000-0010-0000-0100-00004B000000}" name="73"/>
    <tableColumn id="76" xr3:uid="{00000000-0010-0000-0100-00004C000000}" name="74"/>
    <tableColumn id="77" xr3:uid="{00000000-0010-0000-0100-00004D000000}" name="75"/>
    <tableColumn id="78" xr3:uid="{00000000-0010-0000-0100-00004E000000}" name="76"/>
    <tableColumn id="79" xr3:uid="{00000000-0010-0000-0100-00004F000000}" name="77"/>
    <tableColumn id="80" xr3:uid="{00000000-0010-0000-0100-000050000000}" name="78"/>
    <tableColumn id="81" xr3:uid="{00000000-0010-0000-0100-000051000000}" name="79"/>
    <tableColumn id="82" xr3:uid="{00000000-0010-0000-0100-000052000000}" name="80"/>
    <tableColumn id="83" xr3:uid="{00000000-0010-0000-0100-000053000000}" name="81"/>
    <tableColumn id="84" xr3:uid="{00000000-0010-0000-0100-000054000000}" name="82"/>
    <tableColumn id="85" xr3:uid="{00000000-0010-0000-0100-000055000000}" name="83"/>
    <tableColumn id="86" xr3:uid="{00000000-0010-0000-0100-000056000000}" name="84"/>
    <tableColumn id="87" xr3:uid="{00000000-0010-0000-0100-000057000000}" name="85"/>
    <tableColumn id="88" xr3:uid="{00000000-0010-0000-0100-000058000000}" name="86"/>
    <tableColumn id="89" xr3:uid="{00000000-0010-0000-0100-000059000000}" name="87"/>
    <tableColumn id="90" xr3:uid="{00000000-0010-0000-0100-00005A000000}" name="88"/>
    <tableColumn id="91" xr3:uid="{00000000-0010-0000-0100-00005B000000}" name="89"/>
    <tableColumn id="92" xr3:uid="{00000000-0010-0000-0100-00005C000000}" name="90"/>
    <tableColumn id="93" xr3:uid="{00000000-0010-0000-0100-00005D000000}" name="91"/>
    <tableColumn id="94" xr3:uid="{00000000-0010-0000-0100-00005E000000}" name="92"/>
    <tableColumn id="95" xr3:uid="{00000000-0010-0000-0100-00005F000000}" name="93"/>
    <tableColumn id="96" xr3:uid="{00000000-0010-0000-0100-000060000000}" name="94"/>
    <tableColumn id="97" xr3:uid="{00000000-0010-0000-0100-000061000000}" name="95"/>
    <tableColumn id="98" xr3:uid="{00000000-0010-0000-0100-000062000000}" name="96"/>
    <tableColumn id="99" xr3:uid="{00000000-0010-0000-0100-000063000000}" name="97"/>
    <tableColumn id="100" xr3:uid="{00000000-0010-0000-0100-000064000000}" name="98"/>
    <tableColumn id="101" xr3:uid="{00000000-0010-0000-0100-000065000000}" name="99"/>
    <tableColumn id="102" xr3:uid="{00000000-0010-0000-0100-000066000000}" name="100"/>
    <tableColumn id="103" xr3:uid="{00000000-0010-0000-0100-000067000000}" name="10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Y113"/>
  <sheetViews>
    <sheetView zoomScaleNormal="100" workbookViewId="0">
      <selection activeCell="H7" sqref="H7:K8"/>
    </sheetView>
  </sheetViews>
  <sheetFormatPr defaultColWidth="0" defaultRowHeight="14.4" zeroHeight="1"/>
  <cols>
    <col min="1" max="1" width="9" customWidth="1"/>
    <col min="2" max="12" width="10.77734375" customWidth="1"/>
    <col min="13" max="13" width="12.6640625" bestFit="1" customWidth="1"/>
    <col min="14" max="103" width="10.77734375" customWidth="1"/>
    <col min="104" max="156" width="10.77734375" hidden="1" customWidth="1"/>
    <col min="157" max="16384" width="10.77734375" hidden="1"/>
  </cols>
  <sheetData>
    <row r="1" spans="1:103">
      <c r="A1" s="37" t="s">
        <v>59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17"/>
      <c r="N1" s="19" t="s">
        <v>64</v>
      </c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</row>
    <row r="2" spans="1:10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20" t="s">
        <v>164</v>
      </c>
      <c r="N2" s="33">
        <v>1</v>
      </c>
      <c r="O2" s="33">
        <v>3</v>
      </c>
      <c r="P2" s="33">
        <v>7</v>
      </c>
      <c r="Q2" s="33">
        <v>6</v>
      </c>
      <c r="R2" s="33">
        <v>9</v>
      </c>
      <c r="S2" s="33">
        <v>4</v>
      </c>
      <c r="T2" s="33">
        <v>10</v>
      </c>
      <c r="U2" s="33">
        <v>2</v>
      </c>
      <c r="V2" s="33">
        <v>5</v>
      </c>
      <c r="W2" s="33">
        <v>8</v>
      </c>
      <c r="X2" s="33">
        <v>1</v>
      </c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</row>
    <row r="3" spans="1:10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20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</row>
    <row r="4" spans="1:103" ht="15.6">
      <c r="A4" s="36" t="s">
        <v>62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25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</row>
    <row r="5" spans="1:103">
      <c r="A5" s="15" t="s">
        <v>60</v>
      </c>
      <c r="B5" s="34">
        <v>10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25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</row>
    <row r="6" spans="1:103">
      <c r="A6" s="15" t="s">
        <v>61</v>
      </c>
      <c r="B6" s="34">
        <v>100</v>
      </c>
      <c r="C6" s="11"/>
      <c r="D6" s="11"/>
      <c r="E6" s="11"/>
      <c r="F6" s="11"/>
      <c r="G6" s="11"/>
      <c r="H6" s="38" t="s">
        <v>64</v>
      </c>
      <c r="I6" s="39"/>
      <c r="J6" s="39"/>
      <c r="K6" s="40"/>
      <c r="L6" s="11"/>
      <c r="M6" s="25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</row>
    <row r="7" spans="1:103">
      <c r="A7" s="15" t="s">
        <v>65</v>
      </c>
      <c r="B7" s="34">
        <v>100</v>
      </c>
      <c r="C7" s="11"/>
      <c r="D7" s="11"/>
      <c r="E7" s="11"/>
      <c r="F7" s="11"/>
      <c r="G7" s="11"/>
      <c r="H7" s="41">
        <v>196.76770126080874</v>
      </c>
      <c r="I7" s="42"/>
      <c r="J7" s="42"/>
      <c r="K7" s="43"/>
      <c r="L7" s="11"/>
      <c r="M7" s="25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</row>
    <row r="8" spans="1:103">
      <c r="A8" s="15" t="s">
        <v>66</v>
      </c>
      <c r="B8" s="34">
        <v>0.5</v>
      </c>
      <c r="C8" s="11" t="s">
        <v>163</v>
      </c>
      <c r="D8" s="11"/>
      <c r="E8" s="11"/>
      <c r="F8" s="11"/>
      <c r="G8" s="11"/>
      <c r="H8" s="44"/>
      <c r="I8" s="45"/>
      <c r="J8" s="45"/>
      <c r="K8" s="46"/>
      <c r="L8" s="11"/>
      <c r="M8" s="25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</row>
    <row r="9" spans="1:103">
      <c r="A9" s="15" t="s">
        <v>69</v>
      </c>
      <c r="B9" s="34">
        <v>60</v>
      </c>
      <c r="C9" s="11" t="s">
        <v>70</v>
      </c>
      <c r="D9" s="11"/>
      <c r="E9" s="11"/>
      <c r="F9" s="11"/>
      <c r="G9" s="11"/>
      <c r="H9" s="11"/>
      <c r="I9" s="11"/>
      <c r="J9" s="11"/>
      <c r="K9" s="11"/>
      <c r="L9" s="11"/>
      <c r="M9" s="2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</row>
    <row r="10" spans="1:103">
      <c r="A10" s="15" t="s">
        <v>67</v>
      </c>
      <c r="B10" s="34" t="s">
        <v>68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27"/>
      <c r="N10" s="16"/>
      <c r="O10" s="16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</row>
    <row r="11" spans="1:103">
      <c r="A11" s="35" t="s">
        <v>63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</row>
    <row r="12" spans="1:103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</row>
    <row r="13" spans="1:103">
      <c r="A13" s="29" t="s">
        <v>0</v>
      </c>
      <c r="B13" s="29" t="s">
        <v>162</v>
      </c>
      <c r="C13" s="29" t="s">
        <v>1</v>
      </c>
      <c r="D13" s="29" t="s">
        <v>2</v>
      </c>
      <c r="E13" s="29" t="s">
        <v>3</v>
      </c>
      <c r="F13" s="29" t="s">
        <v>4</v>
      </c>
      <c r="G13" s="29" t="s">
        <v>5</v>
      </c>
      <c r="H13" s="29" t="s">
        <v>6</v>
      </c>
      <c r="I13" s="29" t="s">
        <v>7</v>
      </c>
      <c r="J13" s="29" t="s">
        <v>8</v>
      </c>
      <c r="K13" s="29" t="s">
        <v>9</v>
      </c>
      <c r="L13" s="29" t="s">
        <v>10</v>
      </c>
      <c r="M13" s="29" t="s">
        <v>71</v>
      </c>
      <c r="N13" s="29" t="s">
        <v>72</v>
      </c>
      <c r="O13" s="29" t="s">
        <v>73</v>
      </c>
      <c r="P13" s="29" t="s">
        <v>74</v>
      </c>
      <c r="Q13" s="29" t="s">
        <v>75</v>
      </c>
      <c r="R13" s="29" t="s">
        <v>76</v>
      </c>
      <c r="S13" s="29" t="s">
        <v>77</v>
      </c>
      <c r="T13" s="29" t="s">
        <v>78</v>
      </c>
      <c r="U13" s="29" t="s">
        <v>79</v>
      </c>
      <c r="V13" s="29" t="s">
        <v>80</v>
      </c>
      <c r="W13" s="29" t="s">
        <v>81</v>
      </c>
      <c r="X13" s="29" t="s">
        <v>82</v>
      </c>
      <c r="Y13" s="29" t="s">
        <v>83</v>
      </c>
      <c r="Z13" s="29" t="s">
        <v>84</v>
      </c>
      <c r="AA13" s="29" t="s">
        <v>85</v>
      </c>
      <c r="AB13" s="29" t="s">
        <v>86</v>
      </c>
      <c r="AC13" s="29" t="s">
        <v>87</v>
      </c>
      <c r="AD13" s="29" t="s">
        <v>88</v>
      </c>
      <c r="AE13" s="29" t="s">
        <v>89</v>
      </c>
      <c r="AF13" s="29" t="s">
        <v>90</v>
      </c>
      <c r="AG13" s="29" t="s">
        <v>91</v>
      </c>
      <c r="AH13" s="29" t="s">
        <v>92</v>
      </c>
      <c r="AI13" s="29" t="s">
        <v>93</v>
      </c>
      <c r="AJ13" s="29" t="s">
        <v>94</v>
      </c>
      <c r="AK13" s="29" t="s">
        <v>95</v>
      </c>
      <c r="AL13" s="29" t="s">
        <v>96</v>
      </c>
      <c r="AM13" s="29" t="s">
        <v>97</v>
      </c>
      <c r="AN13" s="29" t="s">
        <v>98</v>
      </c>
      <c r="AO13" s="29" t="s">
        <v>99</v>
      </c>
      <c r="AP13" s="29" t="s">
        <v>100</v>
      </c>
      <c r="AQ13" s="29" t="s">
        <v>101</v>
      </c>
      <c r="AR13" s="29" t="s">
        <v>102</v>
      </c>
      <c r="AS13" s="29" t="s">
        <v>103</v>
      </c>
      <c r="AT13" s="29" t="s">
        <v>104</v>
      </c>
      <c r="AU13" s="29" t="s">
        <v>105</v>
      </c>
      <c r="AV13" s="29" t="s">
        <v>106</v>
      </c>
      <c r="AW13" s="29" t="s">
        <v>107</v>
      </c>
      <c r="AX13" s="29" t="s">
        <v>108</v>
      </c>
      <c r="AY13" s="29" t="s">
        <v>109</v>
      </c>
      <c r="AZ13" s="29" t="s">
        <v>110</v>
      </c>
      <c r="BA13" s="29" t="s">
        <v>111</v>
      </c>
      <c r="BB13" s="29" t="s">
        <v>112</v>
      </c>
      <c r="BC13" s="29" t="s">
        <v>113</v>
      </c>
      <c r="BD13" s="29" t="s">
        <v>114</v>
      </c>
      <c r="BE13" s="29" t="s">
        <v>115</v>
      </c>
      <c r="BF13" s="29" t="s">
        <v>116</v>
      </c>
      <c r="BG13" s="29" t="s">
        <v>117</v>
      </c>
      <c r="BH13" s="29" t="s">
        <v>118</v>
      </c>
      <c r="BI13" s="29" t="s">
        <v>119</v>
      </c>
      <c r="BJ13" s="29" t="s">
        <v>120</v>
      </c>
      <c r="BK13" s="29" t="s">
        <v>121</v>
      </c>
      <c r="BL13" s="29" t="s">
        <v>122</v>
      </c>
      <c r="BM13" s="29" t="s">
        <v>123</v>
      </c>
      <c r="BN13" s="29" t="s">
        <v>124</v>
      </c>
      <c r="BO13" s="29" t="s">
        <v>125</v>
      </c>
      <c r="BP13" s="29" t="s">
        <v>126</v>
      </c>
      <c r="BQ13" s="29" t="s">
        <v>127</v>
      </c>
      <c r="BR13" s="29" t="s">
        <v>128</v>
      </c>
      <c r="BS13" s="29" t="s">
        <v>129</v>
      </c>
      <c r="BT13" s="29" t="s">
        <v>130</v>
      </c>
      <c r="BU13" s="29" t="s">
        <v>131</v>
      </c>
      <c r="BV13" s="29" t="s">
        <v>132</v>
      </c>
      <c r="BW13" s="29" t="s">
        <v>133</v>
      </c>
      <c r="BX13" s="29" t="s">
        <v>134</v>
      </c>
      <c r="BY13" s="29" t="s">
        <v>135</v>
      </c>
      <c r="BZ13" s="29" t="s">
        <v>136</v>
      </c>
      <c r="CA13" s="29" t="s">
        <v>137</v>
      </c>
      <c r="CB13" s="29" t="s">
        <v>138</v>
      </c>
      <c r="CC13" s="29" t="s">
        <v>139</v>
      </c>
      <c r="CD13" s="29" t="s">
        <v>140</v>
      </c>
      <c r="CE13" s="29" t="s">
        <v>141</v>
      </c>
      <c r="CF13" s="29" t="s">
        <v>142</v>
      </c>
      <c r="CG13" s="29" t="s">
        <v>143</v>
      </c>
      <c r="CH13" s="29" t="s">
        <v>144</v>
      </c>
      <c r="CI13" s="29" t="s">
        <v>145</v>
      </c>
      <c r="CJ13" s="29" t="s">
        <v>146</v>
      </c>
      <c r="CK13" s="29" t="s">
        <v>147</v>
      </c>
      <c r="CL13" s="29" t="s">
        <v>148</v>
      </c>
      <c r="CM13" s="29" t="s">
        <v>149</v>
      </c>
      <c r="CN13" s="29" t="s">
        <v>150</v>
      </c>
      <c r="CO13" s="29" t="s">
        <v>151</v>
      </c>
      <c r="CP13" s="29" t="s">
        <v>152</v>
      </c>
      <c r="CQ13" s="29" t="s">
        <v>153</v>
      </c>
      <c r="CR13" s="29" t="s">
        <v>154</v>
      </c>
      <c r="CS13" s="29" t="s">
        <v>155</v>
      </c>
      <c r="CT13" s="29" t="s">
        <v>156</v>
      </c>
      <c r="CU13" s="29" t="s">
        <v>157</v>
      </c>
      <c r="CV13" s="29" t="s">
        <v>158</v>
      </c>
      <c r="CW13" s="29" t="s">
        <v>159</v>
      </c>
      <c r="CX13" s="29" t="s">
        <v>160</v>
      </c>
      <c r="CY13" s="29" t="s">
        <v>161</v>
      </c>
    </row>
    <row r="14" spans="1:103">
      <c r="A14" s="29">
        <v>1</v>
      </c>
      <c r="B14" s="29">
        <v>196.76770126080874</v>
      </c>
      <c r="C14" s="30">
        <v>1</v>
      </c>
      <c r="D14" s="30">
        <v>3</v>
      </c>
      <c r="E14" s="30">
        <v>7</v>
      </c>
      <c r="F14" s="30">
        <v>6</v>
      </c>
      <c r="G14" s="30">
        <v>9</v>
      </c>
      <c r="H14" s="30">
        <v>4</v>
      </c>
      <c r="I14" s="30">
        <v>10</v>
      </c>
      <c r="J14" s="30">
        <v>2</v>
      </c>
      <c r="K14" s="30">
        <v>5</v>
      </c>
      <c r="L14" s="30">
        <v>8</v>
      </c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</row>
    <row r="15" spans="1:103">
      <c r="A15" s="29">
        <v>2</v>
      </c>
      <c r="B15" s="29">
        <v>196.76770126080874</v>
      </c>
      <c r="C15" s="30">
        <v>1</v>
      </c>
      <c r="D15" s="30">
        <v>3</v>
      </c>
      <c r="E15" s="30">
        <v>7</v>
      </c>
      <c r="F15" s="30">
        <v>6</v>
      </c>
      <c r="G15" s="30">
        <v>9</v>
      </c>
      <c r="H15" s="30">
        <v>4</v>
      </c>
      <c r="I15" s="30">
        <v>10</v>
      </c>
      <c r="J15" s="30">
        <v>2</v>
      </c>
      <c r="K15" s="30">
        <v>5</v>
      </c>
      <c r="L15" s="30">
        <v>8</v>
      </c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</row>
    <row r="16" spans="1:103">
      <c r="A16" s="29">
        <v>3</v>
      </c>
      <c r="B16" s="29">
        <v>196.76770126080874</v>
      </c>
      <c r="C16" s="30">
        <v>1</v>
      </c>
      <c r="D16" s="30">
        <v>3</v>
      </c>
      <c r="E16" s="30">
        <v>7</v>
      </c>
      <c r="F16" s="30">
        <v>6</v>
      </c>
      <c r="G16" s="30">
        <v>9</v>
      </c>
      <c r="H16" s="30">
        <v>4</v>
      </c>
      <c r="I16" s="30">
        <v>10</v>
      </c>
      <c r="J16" s="30">
        <v>2</v>
      </c>
      <c r="K16" s="30">
        <v>5</v>
      </c>
      <c r="L16" s="30">
        <v>8</v>
      </c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</row>
    <row r="17" spans="1:103">
      <c r="A17" s="29">
        <v>4</v>
      </c>
      <c r="B17" s="29">
        <v>196.76770126080874</v>
      </c>
      <c r="C17" s="30">
        <v>1</v>
      </c>
      <c r="D17" s="30">
        <v>3</v>
      </c>
      <c r="E17" s="30">
        <v>7</v>
      </c>
      <c r="F17" s="30">
        <v>6</v>
      </c>
      <c r="G17" s="30">
        <v>9</v>
      </c>
      <c r="H17" s="30">
        <v>4</v>
      </c>
      <c r="I17" s="30">
        <v>10</v>
      </c>
      <c r="J17" s="30">
        <v>2</v>
      </c>
      <c r="K17" s="30">
        <v>5</v>
      </c>
      <c r="L17" s="30">
        <v>8</v>
      </c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</row>
    <row r="18" spans="1:103">
      <c r="A18" s="29">
        <v>5</v>
      </c>
      <c r="B18" s="29">
        <v>196.76770126080874</v>
      </c>
      <c r="C18" s="30">
        <v>1</v>
      </c>
      <c r="D18" s="30">
        <v>3</v>
      </c>
      <c r="E18" s="30">
        <v>7</v>
      </c>
      <c r="F18" s="30">
        <v>6</v>
      </c>
      <c r="G18" s="30">
        <v>9</v>
      </c>
      <c r="H18" s="30">
        <v>4</v>
      </c>
      <c r="I18" s="30">
        <v>10</v>
      </c>
      <c r="J18" s="30">
        <v>2</v>
      </c>
      <c r="K18" s="30">
        <v>5</v>
      </c>
      <c r="L18" s="30">
        <v>8</v>
      </c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</row>
    <row r="19" spans="1:103">
      <c r="A19" s="29">
        <v>6</v>
      </c>
      <c r="B19" s="29">
        <v>196.76770126080874</v>
      </c>
      <c r="C19" s="30">
        <v>1</v>
      </c>
      <c r="D19" s="30">
        <v>3</v>
      </c>
      <c r="E19" s="30">
        <v>7</v>
      </c>
      <c r="F19" s="30">
        <v>6</v>
      </c>
      <c r="G19" s="30">
        <v>9</v>
      </c>
      <c r="H19" s="30">
        <v>4</v>
      </c>
      <c r="I19" s="30">
        <v>10</v>
      </c>
      <c r="J19" s="30">
        <v>2</v>
      </c>
      <c r="K19" s="30">
        <v>5</v>
      </c>
      <c r="L19" s="30">
        <v>8</v>
      </c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</row>
    <row r="20" spans="1:103">
      <c r="A20" s="29">
        <v>7</v>
      </c>
      <c r="B20" s="29">
        <v>196.76770126080874</v>
      </c>
      <c r="C20" s="30">
        <v>1</v>
      </c>
      <c r="D20" s="30">
        <v>3</v>
      </c>
      <c r="E20" s="30">
        <v>7</v>
      </c>
      <c r="F20" s="30">
        <v>6</v>
      </c>
      <c r="G20" s="30">
        <v>9</v>
      </c>
      <c r="H20" s="30">
        <v>4</v>
      </c>
      <c r="I20" s="30">
        <v>10</v>
      </c>
      <c r="J20" s="30">
        <v>2</v>
      </c>
      <c r="K20" s="30">
        <v>5</v>
      </c>
      <c r="L20" s="30">
        <v>8</v>
      </c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</row>
    <row r="21" spans="1:103">
      <c r="A21" s="29">
        <v>8</v>
      </c>
      <c r="B21" s="29">
        <v>196.76770126080874</v>
      </c>
      <c r="C21" s="30">
        <v>1</v>
      </c>
      <c r="D21" s="30">
        <v>3</v>
      </c>
      <c r="E21" s="30">
        <v>7</v>
      </c>
      <c r="F21" s="30">
        <v>6</v>
      </c>
      <c r="G21" s="30">
        <v>9</v>
      </c>
      <c r="H21" s="30">
        <v>4</v>
      </c>
      <c r="I21" s="30">
        <v>10</v>
      </c>
      <c r="J21" s="30">
        <v>2</v>
      </c>
      <c r="K21" s="30">
        <v>5</v>
      </c>
      <c r="L21" s="30">
        <v>8</v>
      </c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</row>
    <row r="22" spans="1:103">
      <c r="A22" s="29">
        <v>9</v>
      </c>
      <c r="B22" s="29">
        <v>196.76770126080874</v>
      </c>
      <c r="C22" s="30">
        <v>1</v>
      </c>
      <c r="D22" s="30">
        <v>3</v>
      </c>
      <c r="E22" s="30">
        <v>7</v>
      </c>
      <c r="F22" s="30">
        <v>6</v>
      </c>
      <c r="G22" s="30">
        <v>9</v>
      </c>
      <c r="H22" s="30">
        <v>4</v>
      </c>
      <c r="I22" s="30">
        <v>10</v>
      </c>
      <c r="J22" s="30">
        <v>2</v>
      </c>
      <c r="K22" s="30">
        <v>5</v>
      </c>
      <c r="L22" s="30">
        <v>8</v>
      </c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</row>
    <row r="23" spans="1:103">
      <c r="A23" s="29">
        <v>10</v>
      </c>
      <c r="B23" s="29">
        <v>196.76770126080874</v>
      </c>
      <c r="C23" s="30">
        <v>1</v>
      </c>
      <c r="D23" s="30">
        <v>3</v>
      </c>
      <c r="E23" s="30">
        <v>7</v>
      </c>
      <c r="F23" s="30">
        <v>6</v>
      </c>
      <c r="G23" s="30">
        <v>9</v>
      </c>
      <c r="H23" s="30">
        <v>4</v>
      </c>
      <c r="I23" s="30">
        <v>10</v>
      </c>
      <c r="J23" s="30">
        <v>2</v>
      </c>
      <c r="K23" s="30">
        <v>5</v>
      </c>
      <c r="L23" s="30">
        <v>8</v>
      </c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</row>
    <row r="24" spans="1:103">
      <c r="A24" s="29">
        <v>11</v>
      </c>
      <c r="B24" s="29">
        <v>196.76770126080874</v>
      </c>
      <c r="C24" s="30">
        <v>1</v>
      </c>
      <c r="D24" s="30">
        <v>3</v>
      </c>
      <c r="E24" s="30">
        <v>7</v>
      </c>
      <c r="F24" s="30">
        <v>6</v>
      </c>
      <c r="G24" s="30">
        <v>9</v>
      </c>
      <c r="H24" s="30">
        <v>4</v>
      </c>
      <c r="I24" s="30">
        <v>10</v>
      </c>
      <c r="J24" s="30">
        <v>2</v>
      </c>
      <c r="K24" s="30">
        <v>5</v>
      </c>
      <c r="L24" s="30">
        <v>8</v>
      </c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</row>
    <row r="25" spans="1:103">
      <c r="A25" s="29">
        <v>12</v>
      </c>
      <c r="B25" s="29">
        <v>196.76770126080874</v>
      </c>
      <c r="C25" s="30">
        <v>1</v>
      </c>
      <c r="D25" s="30">
        <v>3</v>
      </c>
      <c r="E25" s="30">
        <v>7</v>
      </c>
      <c r="F25" s="30">
        <v>6</v>
      </c>
      <c r="G25" s="30">
        <v>9</v>
      </c>
      <c r="H25" s="30">
        <v>4</v>
      </c>
      <c r="I25" s="30">
        <v>10</v>
      </c>
      <c r="J25" s="30">
        <v>2</v>
      </c>
      <c r="K25" s="30">
        <v>5</v>
      </c>
      <c r="L25" s="30">
        <v>8</v>
      </c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</row>
    <row r="26" spans="1:103">
      <c r="A26" s="29">
        <v>13</v>
      </c>
      <c r="B26" s="29">
        <v>196.76770126080874</v>
      </c>
      <c r="C26" s="30">
        <v>1</v>
      </c>
      <c r="D26" s="30">
        <v>3</v>
      </c>
      <c r="E26" s="30">
        <v>7</v>
      </c>
      <c r="F26" s="30">
        <v>6</v>
      </c>
      <c r="G26" s="30">
        <v>9</v>
      </c>
      <c r="H26" s="30">
        <v>4</v>
      </c>
      <c r="I26" s="30">
        <v>10</v>
      </c>
      <c r="J26" s="30">
        <v>2</v>
      </c>
      <c r="K26" s="30">
        <v>5</v>
      </c>
      <c r="L26" s="30">
        <v>8</v>
      </c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</row>
    <row r="27" spans="1:103">
      <c r="A27" s="29">
        <v>14</v>
      </c>
      <c r="B27" s="29">
        <v>196.76770126080874</v>
      </c>
      <c r="C27" s="30">
        <v>1</v>
      </c>
      <c r="D27" s="30">
        <v>3</v>
      </c>
      <c r="E27" s="30">
        <v>7</v>
      </c>
      <c r="F27" s="30">
        <v>6</v>
      </c>
      <c r="G27" s="30">
        <v>9</v>
      </c>
      <c r="H27" s="30">
        <v>4</v>
      </c>
      <c r="I27" s="30">
        <v>10</v>
      </c>
      <c r="J27" s="30">
        <v>2</v>
      </c>
      <c r="K27" s="30">
        <v>5</v>
      </c>
      <c r="L27" s="30">
        <v>8</v>
      </c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</row>
    <row r="28" spans="1:103">
      <c r="A28" s="29">
        <v>15</v>
      </c>
      <c r="B28" s="29">
        <v>196.76770126080874</v>
      </c>
      <c r="C28" s="30">
        <v>1</v>
      </c>
      <c r="D28" s="30">
        <v>3</v>
      </c>
      <c r="E28" s="30">
        <v>7</v>
      </c>
      <c r="F28" s="30">
        <v>6</v>
      </c>
      <c r="G28" s="30">
        <v>9</v>
      </c>
      <c r="H28" s="30">
        <v>4</v>
      </c>
      <c r="I28" s="30">
        <v>10</v>
      </c>
      <c r="J28" s="30">
        <v>2</v>
      </c>
      <c r="K28" s="30">
        <v>5</v>
      </c>
      <c r="L28" s="30">
        <v>8</v>
      </c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</row>
    <row r="29" spans="1:103">
      <c r="A29" s="29">
        <v>16</v>
      </c>
      <c r="B29" s="29">
        <v>196.76770126080874</v>
      </c>
      <c r="C29" s="30">
        <v>1</v>
      </c>
      <c r="D29" s="30">
        <v>3</v>
      </c>
      <c r="E29" s="30">
        <v>7</v>
      </c>
      <c r="F29" s="30">
        <v>6</v>
      </c>
      <c r="G29" s="30">
        <v>9</v>
      </c>
      <c r="H29" s="30">
        <v>4</v>
      </c>
      <c r="I29" s="30">
        <v>10</v>
      </c>
      <c r="J29" s="30">
        <v>2</v>
      </c>
      <c r="K29" s="30">
        <v>5</v>
      </c>
      <c r="L29" s="30">
        <v>8</v>
      </c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</row>
    <row r="30" spans="1:103">
      <c r="A30" s="29">
        <v>17</v>
      </c>
      <c r="B30" s="29">
        <v>196.76770126080874</v>
      </c>
      <c r="C30" s="30">
        <v>1</v>
      </c>
      <c r="D30" s="30">
        <v>3</v>
      </c>
      <c r="E30" s="30">
        <v>7</v>
      </c>
      <c r="F30" s="30">
        <v>6</v>
      </c>
      <c r="G30" s="30">
        <v>9</v>
      </c>
      <c r="H30" s="30">
        <v>4</v>
      </c>
      <c r="I30" s="30">
        <v>10</v>
      </c>
      <c r="J30" s="30">
        <v>2</v>
      </c>
      <c r="K30" s="30">
        <v>5</v>
      </c>
      <c r="L30" s="30">
        <v>8</v>
      </c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</row>
    <row r="31" spans="1:103">
      <c r="A31" s="29">
        <v>18</v>
      </c>
      <c r="B31" s="29">
        <v>196.76770126080874</v>
      </c>
      <c r="C31" s="30">
        <v>1</v>
      </c>
      <c r="D31" s="30">
        <v>3</v>
      </c>
      <c r="E31" s="30">
        <v>7</v>
      </c>
      <c r="F31" s="30">
        <v>6</v>
      </c>
      <c r="G31" s="30">
        <v>9</v>
      </c>
      <c r="H31" s="30">
        <v>4</v>
      </c>
      <c r="I31" s="30">
        <v>10</v>
      </c>
      <c r="J31" s="30">
        <v>2</v>
      </c>
      <c r="K31" s="30">
        <v>5</v>
      </c>
      <c r="L31" s="30">
        <v>8</v>
      </c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</row>
    <row r="32" spans="1:103">
      <c r="A32" s="29">
        <v>19</v>
      </c>
      <c r="B32" s="29">
        <v>196.76770126080874</v>
      </c>
      <c r="C32" s="30">
        <v>1</v>
      </c>
      <c r="D32" s="30">
        <v>3</v>
      </c>
      <c r="E32" s="30">
        <v>7</v>
      </c>
      <c r="F32" s="30">
        <v>6</v>
      </c>
      <c r="G32" s="30">
        <v>9</v>
      </c>
      <c r="H32" s="30">
        <v>4</v>
      </c>
      <c r="I32" s="30">
        <v>10</v>
      </c>
      <c r="J32" s="30">
        <v>2</v>
      </c>
      <c r="K32" s="30">
        <v>5</v>
      </c>
      <c r="L32" s="30">
        <v>8</v>
      </c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</row>
    <row r="33" spans="1:103">
      <c r="A33" s="29">
        <v>20</v>
      </c>
      <c r="B33" s="29">
        <v>196.76770126080874</v>
      </c>
      <c r="C33" s="30">
        <v>1</v>
      </c>
      <c r="D33" s="30">
        <v>3</v>
      </c>
      <c r="E33" s="30">
        <v>7</v>
      </c>
      <c r="F33" s="30">
        <v>6</v>
      </c>
      <c r="G33" s="30">
        <v>9</v>
      </c>
      <c r="H33" s="30">
        <v>4</v>
      </c>
      <c r="I33" s="30">
        <v>10</v>
      </c>
      <c r="J33" s="30">
        <v>2</v>
      </c>
      <c r="K33" s="30">
        <v>5</v>
      </c>
      <c r="L33" s="30">
        <v>8</v>
      </c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</row>
    <row r="34" spans="1:103">
      <c r="A34" s="29">
        <v>21</v>
      </c>
      <c r="B34" s="29">
        <v>196.76770126080874</v>
      </c>
      <c r="C34" s="30">
        <v>1</v>
      </c>
      <c r="D34" s="30">
        <v>3</v>
      </c>
      <c r="E34" s="30">
        <v>7</v>
      </c>
      <c r="F34" s="30">
        <v>6</v>
      </c>
      <c r="G34" s="30">
        <v>9</v>
      </c>
      <c r="H34" s="30">
        <v>4</v>
      </c>
      <c r="I34" s="30">
        <v>10</v>
      </c>
      <c r="J34" s="30">
        <v>2</v>
      </c>
      <c r="K34" s="30">
        <v>5</v>
      </c>
      <c r="L34" s="30">
        <v>8</v>
      </c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</row>
    <row r="35" spans="1:103">
      <c r="A35" s="29">
        <v>22</v>
      </c>
      <c r="B35" s="29">
        <v>196.76770126080874</v>
      </c>
      <c r="C35" s="30">
        <v>1</v>
      </c>
      <c r="D35" s="30">
        <v>3</v>
      </c>
      <c r="E35" s="30">
        <v>7</v>
      </c>
      <c r="F35" s="30">
        <v>6</v>
      </c>
      <c r="G35" s="30">
        <v>9</v>
      </c>
      <c r="H35" s="30">
        <v>4</v>
      </c>
      <c r="I35" s="30">
        <v>10</v>
      </c>
      <c r="J35" s="30">
        <v>2</v>
      </c>
      <c r="K35" s="30">
        <v>5</v>
      </c>
      <c r="L35" s="30">
        <v>8</v>
      </c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</row>
    <row r="36" spans="1:103">
      <c r="A36" s="29">
        <v>23</v>
      </c>
      <c r="B36" s="29">
        <v>196.76770126080874</v>
      </c>
      <c r="C36" s="30">
        <v>1</v>
      </c>
      <c r="D36" s="30">
        <v>3</v>
      </c>
      <c r="E36" s="30">
        <v>7</v>
      </c>
      <c r="F36" s="30">
        <v>6</v>
      </c>
      <c r="G36" s="30">
        <v>9</v>
      </c>
      <c r="H36" s="30">
        <v>4</v>
      </c>
      <c r="I36" s="30">
        <v>10</v>
      </c>
      <c r="J36" s="30">
        <v>2</v>
      </c>
      <c r="K36" s="30">
        <v>5</v>
      </c>
      <c r="L36" s="30">
        <v>8</v>
      </c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</row>
    <row r="37" spans="1:103">
      <c r="A37" s="29">
        <v>24</v>
      </c>
      <c r="B37" s="29">
        <v>196.76770126080874</v>
      </c>
      <c r="C37" s="30">
        <v>1</v>
      </c>
      <c r="D37" s="30">
        <v>3</v>
      </c>
      <c r="E37" s="30">
        <v>7</v>
      </c>
      <c r="F37" s="30">
        <v>6</v>
      </c>
      <c r="G37" s="30">
        <v>9</v>
      </c>
      <c r="H37" s="30">
        <v>4</v>
      </c>
      <c r="I37" s="30">
        <v>10</v>
      </c>
      <c r="J37" s="30">
        <v>2</v>
      </c>
      <c r="K37" s="30">
        <v>5</v>
      </c>
      <c r="L37" s="30">
        <v>8</v>
      </c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</row>
    <row r="38" spans="1:103">
      <c r="A38" s="29">
        <v>25</v>
      </c>
      <c r="B38" s="29">
        <v>196.76770126080874</v>
      </c>
      <c r="C38" s="30">
        <v>1</v>
      </c>
      <c r="D38" s="30">
        <v>3</v>
      </c>
      <c r="E38" s="30">
        <v>7</v>
      </c>
      <c r="F38" s="30">
        <v>6</v>
      </c>
      <c r="G38" s="30">
        <v>9</v>
      </c>
      <c r="H38" s="30">
        <v>4</v>
      </c>
      <c r="I38" s="30">
        <v>10</v>
      </c>
      <c r="J38" s="30">
        <v>2</v>
      </c>
      <c r="K38" s="30">
        <v>5</v>
      </c>
      <c r="L38" s="30">
        <v>8</v>
      </c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</row>
    <row r="39" spans="1:103">
      <c r="A39" s="29">
        <v>26</v>
      </c>
      <c r="B39" s="29">
        <v>196.76770126080874</v>
      </c>
      <c r="C39" s="30">
        <v>1</v>
      </c>
      <c r="D39" s="30">
        <v>3</v>
      </c>
      <c r="E39" s="30">
        <v>7</v>
      </c>
      <c r="F39" s="30">
        <v>6</v>
      </c>
      <c r="G39" s="30">
        <v>9</v>
      </c>
      <c r="H39" s="30">
        <v>4</v>
      </c>
      <c r="I39" s="30">
        <v>10</v>
      </c>
      <c r="J39" s="30">
        <v>2</v>
      </c>
      <c r="K39" s="30">
        <v>5</v>
      </c>
      <c r="L39" s="30">
        <v>8</v>
      </c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</row>
    <row r="40" spans="1:103">
      <c r="A40" s="29">
        <v>27</v>
      </c>
      <c r="B40" s="29">
        <v>196.76770126080874</v>
      </c>
      <c r="C40" s="30">
        <v>1</v>
      </c>
      <c r="D40" s="30">
        <v>3</v>
      </c>
      <c r="E40" s="30">
        <v>7</v>
      </c>
      <c r="F40" s="30">
        <v>6</v>
      </c>
      <c r="G40" s="30">
        <v>9</v>
      </c>
      <c r="H40" s="30">
        <v>4</v>
      </c>
      <c r="I40" s="30">
        <v>10</v>
      </c>
      <c r="J40" s="30">
        <v>2</v>
      </c>
      <c r="K40" s="30">
        <v>5</v>
      </c>
      <c r="L40" s="30">
        <v>8</v>
      </c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</row>
    <row r="41" spans="1:103">
      <c r="A41" s="29">
        <v>28</v>
      </c>
      <c r="B41" s="29">
        <v>196.76770126080874</v>
      </c>
      <c r="C41" s="30">
        <v>1</v>
      </c>
      <c r="D41" s="30">
        <v>3</v>
      </c>
      <c r="E41" s="30">
        <v>7</v>
      </c>
      <c r="F41" s="30">
        <v>6</v>
      </c>
      <c r="G41" s="30">
        <v>9</v>
      </c>
      <c r="H41" s="30">
        <v>4</v>
      </c>
      <c r="I41" s="30">
        <v>10</v>
      </c>
      <c r="J41" s="30">
        <v>2</v>
      </c>
      <c r="K41" s="30">
        <v>5</v>
      </c>
      <c r="L41" s="30">
        <v>8</v>
      </c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</row>
    <row r="42" spans="1:103">
      <c r="A42" s="29">
        <v>29</v>
      </c>
      <c r="B42" s="29">
        <v>196.76770126080874</v>
      </c>
      <c r="C42" s="30">
        <v>1</v>
      </c>
      <c r="D42" s="30">
        <v>3</v>
      </c>
      <c r="E42" s="30">
        <v>7</v>
      </c>
      <c r="F42" s="30">
        <v>6</v>
      </c>
      <c r="G42" s="30">
        <v>9</v>
      </c>
      <c r="H42" s="30">
        <v>4</v>
      </c>
      <c r="I42" s="30">
        <v>10</v>
      </c>
      <c r="J42" s="30">
        <v>2</v>
      </c>
      <c r="K42" s="30">
        <v>5</v>
      </c>
      <c r="L42" s="30">
        <v>8</v>
      </c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</row>
    <row r="43" spans="1:103">
      <c r="A43" s="29">
        <v>30</v>
      </c>
      <c r="B43" s="29">
        <v>196.76770126080874</v>
      </c>
      <c r="C43" s="30">
        <v>1</v>
      </c>
      <c r="D43" s="30">
        <v>3</v>
      </c>
      <c r="E43" s="30">
        <v>7</v>
      </c>
      <c r="F43" s="30">
        <v>6</v>
      </c>
      <c r="G43" s="30">
        <v>9</v>
      </c>
      <c r="H43" s="30">
        <v>4</v>
      </c>
      <c r="I43" s="30">
        <v>10</v>
      </c>
      <c r="J43" s="30">
        <v>2</v>
      </c>
      <c r="K43" s="30">
        <v>5</v>
      </c>
      <c r="L43" s="30">
        <v>8</v>
      </c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</row>
    <row r="44" spans="1:103">
      <c r="A44" s="29">
        <v>31</v>
      </c>
      <c r="B44" s="29">
        <v>196.76770126080874</v>
      </c>
      <c r="C44" s="30">
        <v>1</v>
      </c>
      <c r="D44" s="30">
        <v>3</v>
      </c>
      <c r="E44" s="30">
        <v>7</v>
      </c>
      <c r="F44" s="30">
        <v>6</v>
      </c>
      <c r="G44" s="30">
        <v>9</v>
      </c>
      <c r="H44" s="30">
        <v>4</v>
      </c>
      <c r="I44" s="30">
        <v>10</v>
      </c>
      <c r="J44" s="30">
        <v>2</v>
      </c>
      <c r="K44" s="30">
        <v>5</v>
      </c>
      <c r="L44" s="30">
        <v>8</v>
      </c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</row>
    <row r="45" spans="1:103">
      <c r="A45" s="29">
        <v>32</v>
      </c>
      <c r="B45" s="29">
        <v>196.76770126080874</v>
      </c>
      <c r="C45" s="30">
        <v>1</v>
      </c>
      <c r="D45" s="30">
        <v>3</v>
      </c>
      <c r="E45" s="30">
        <v>7</v>
      </c>
      <c r="F45" s="30">
        <v>6</v>
      </c>
      <c r="G45" s="30">
        <v>9</v>
      </c>
      <c r="H45" s="30">
        <v>4</v>
      </c>
      <c r="I45" s="30">
        <v>10</v>
      </c>
      <c r="J45" s="30">
        <v>2</v>
      </c>
      <c r="K45" s="30">
        <v>5</v>
      </c>
      <c r="L45" s="30">
        <v>8</v>
      </c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</row>
    <row r="46" spans="1:103">
      <c r="A46" s="29">
        <v>33</v>
      </c>
      <c r="B46" s="29">
        <v>196.76770126080874</v>
      </c>
      <c r="C46" s="30">
        <v>1</v>
      </c>
      <c r="D46" s="30">
        <v>3</v>
      </c>
      <c r="E46" s="30">
        <v>7</v>
      </c>
      <c r="F46" s="30">
        <v>6</v>
      </c>
      <c r="G46" s="30">
        <v>9</v>
      </c>
      <c r="H46" s="30">
        <v>4</v>
      </c>
      <c r="I46" s="30">
        <v>10</v>
      </c>
      <c r="J46" s="30">
        <v>2</v>
      </c>
      <c r="K46" s="30">
        <v>5</v>
      </c>
      <c r="L46" s="30">
        <v>8</v>
      </c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</row>
    <row r="47" spans="1:103">
      <c r="A47" s="29">
        <v>34</v>
      </c>
      <c r="B47" s="29">
        <v>196.76770126080874</v>
      </c>
      <c r="C47" s="30">
        <v>1</v>
      </c>
      <c r="D47" s="30">
        <v>3</v>
      </c>
      <c r="E47" s="30">
        <v>7</v>
      </c>
      <c r="F47" s="30">
        <v>6</v>
      </c>
      <c r="G47" s="30">
        <v>9</v>
      </c>
      <c r="H47" s="30">
        <v>4</v>
      </c>
      <c r="I47" s="30">
        <v>10</v>
      </c>
      <c r="J47" s="30">
        <v>2</v>
      </c>
      <c r="K47" s="30">
        <v>5</v>
      </c>
      <c r="L47" s="30">
        <v>8</v>
      </c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</row>
    <row r="48" spans="1:103">
      <c r="A48" s="29">
        <v>35</v>
      </c>
      <c r="B48" s="29">
        <v>196.76770126080874</v>
      </c>
      <c r="C48" s="30">
        <v>1</v>
      </c>
      <c r="D48" s="30">
        <v>3</v>
      </c>
      <c r="E48" s="30">
        <v>7</v>
      </c>
      <c r="F48" s="30">
        <v>6</v>
      </c>
      <c r="G48" s="30">
        <v>9</v>
      </c>
      <c r="H48" s="30">
        <v>4</v>
      </c>
      <c r="I48" s="30">
        <v>10</v>
      </c>
      <c r="J48" s="30">
        <v>2</v>
      </c>
      <c r="K48" s="30">
        <v>5</v>
      </c>
      <c r="L48" s="30">
        <v>8</v>
      </c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</row>
    <row r="49" spans="1:103">
      <c r="A49" s="29">
        <v>36</v>
      </c>
      <c r="B49" s="29">
        <v>196.76770126080874</v>
      </c>
      <c r="C49" s="30">
        <v>1</v>
      </c>
      <c r="D49" s="30">
        <v>3</v>
      </c>
      <c r="E49" s="30">
        <v>7</v>
      </c>
      <c r="F49" s="30">
        <v>6</v>
      </c>
      <c r="G49" s="30">
        <v>9</v>
      </c>
      <c r="H49" s="30">
        <v>4</v>
      </c>
      <c r="I49" s="30">
        <v>10</v>
      </c>
      <c r="J49" s="30">
        <v>2</v>
      </c>
      <c r="K49" s="30">
        <v>5</v>
      </c>
      <c r="L49" s="30">
        <v>8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</row>
    <row r="50" spans="1:103">
      <c r="A50" s="29">
        <v>37</v>
      </c>
      <c r="B50" s="29">
        <v>196.76770126080874</v>
      </c>
      <c r="C50" s="30">
        <v>1</v>
      </c>
      <c r="D50" s="30">
        <v>3</v>
      </c>
      <c r="E50" s="30">
        <v>7</v>
      </c>
      <c r="F50" s="30">
        <v>6</v>
      </c>
      <c r="G50" s="30">
        <v>9</v>
      </c>
      <c r="H50" s="30">
        <v>4</v>
      </c>
      <c r="I50" s="30">
        <v>10</v>
      </c>
      <c r="J50" s="30">
        <v>2</v>
      </c>
      <c r="K50" s="30">
        <v>5</v>
      </c>
      <c r="L50" s="30">
        <v>8</v>
      </c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</row>
    <row r="51" spans="1:103">
      <c r="A51" s="29">
        <v>38</v>
      </c>
      <c r="B51" s="29">
        <v>196.76770126080874</v>
      </c>
      <c r="C51" s="30">
        <v>1</v>
      </c>
      <c r="D51" s="30">
        <v>3</v>
      </c>
      <c r="E51" s="30">
        <v>7</v>
      </c>
      <c r="F51" s="30">
        <v>6</v>
      </c>
      <c r="G51" s="30">
        <v>9</v>
      </c>
      <c r="H51" s="30">
        <v>4</v>
      </c>
      <c r="I51" s="30">
        <v>10</v>
      </c>
      <c r="J51" s="30">
        <v>2</v>
      </c>
      <c r="K51" s="30">
        <v>5</v>
      </c>
      <c r="L51" s="30">
        <v>8</v>
      </c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</row>
    <row r="52" spans="1:103">
      <c r="A52" s="29">
        <v>39</v>
      </c>
      <c r="B52" s="29">
        <v>196.76770126080874</v>
      </c>
      <c r="C52" s="30">
        <v>1</v>
      </c>
      <c r="D52" s="30">
        <v>3</v>
      </c>
      <c r="E52" s="30">
        <v>7</v>
      </c>
      <c r="F52" s="30">
        <v>6</v>
      </c>
      <c r="G52" s="30">
        <v>9</v>
      </c>
      <c r="H52" s="30">
        <v>4</v>
      </c>
      <c r="I52" s="30">
        <v>10</v>
      </c>
      <c r="J52" s="30">
        <v>2</v>
      </c>
      <c r="K52" s="30">
        <v>5</v>
      </c>
      <c r="L52" s="30">
        <v>8</v>
      </c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</row>
    <row r="53" spans="1:103">
      <c r="A53" s="29">
        <v>40</v>
      </c>
      <c r="B53" s="29">
        <v>196.76770126080874</v>
      </c>
      <c r="C53" s="30">
        <v>1</v>
      </c>
      <c r="D53" s="30">
        <v>3</v>
      </c>
      <c r="E53" s="30">
        <v>7</v>
      </c>
      <c r="F53" s="30">
        <v>6</v>
      </c>
      <c r="G53" s="30">
        <v>9</v>
      </c>
      <c r="H53" s="30">
        <v>4</v>
      </c>
      <c r="I53" s="30">
        <v>10</v>
      </c>
      <c r="J53" s="30">
        <v>2</v>
      </c>
      <c r="K53" s="30">
        <v>5</v>
      </c>
      <c r="L53" s="30">
        <v>8</v>
      </c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</row>
    <row r="54" spans="1:103">
      <c r="A54" s="29">
        <v>41</v>
      </c>
      <c r="B54" s="29">
        <v>196.76770126080874</v>
      </c>
      <c r="C54" s="30">
        <v>1</v>
      </c>
      <c r="D54" s="30">
        <v>3</v>
      </c>
      <c r="E54" s="30">
        <v>7</v>
      </c>
      <c r="F54" s="30">
        <v>6</v>
      </c>
      <c r="G54" s="30">
        <v>9</v>
      </c>
      <c r="H54" s="30">
        <v>4</v>
      </c>
      <c r="I54" s="30">
        <v>10</v>
      </c>
      <c r="J54" s="30">
        <v>2</v>
      </c>
      <c r="K54" s="30">
        <v>5</v>
      </c>
      <c r="L54" s="30">
        <v>8</v>
      </c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</row>
    <row r="55" spans="1:103">
      <c r="A55" s="29">
        <v>42</v>
      </c>
      <c r="B55" s="29">
        <v>196.76770126080874</v>
      </c>
      <c r="C55" s="30">
        <v>1</v>
      </c>
      <c r="D55" s="30">
        <v>3</v>
      </c>
      <c r="E55" s="30">
        <v>7</v>
      </c>
      <c r="F55" s="30">
        <v>6</v>
      </c>
      <c r="G55" s="30">
        <v>9</v>
      </c>
      <c r="H55" s="30">
        <v>4</v>
      </c>
      <c r="I55" s="30">
        <v>10</v>
      </c>
      <c r="J55" s="30">
        <v>2</v>
      </c>
      <c r="K55" s="30">
        <v>5</v>
      </c>
      <c r="L55" s="30">
        <v>8</v>
      </c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</row>
    <row r="56" spans="1:103">
      <c r="A56" s="29">
        <v>43</v>
      </c>
      <c r="B56" s="29">
        <v>196.76770126080874</v>
      </c>
      <c r="C56" s="30">
        <v>1</v>
      </c>
      <c r="D56" s="30">
        <v>3</v>
      </c>
      <c r="E56" s="30">
        <v>7</v>
      </c>
      <c r="F56" s="30">
        <v>6</v>
      </c>
      <c r="G56" s="30">
        <v>9</v>
      </c>
      <c r="H56" s="30">
        <v>4</v>
      </c>
      <c r="I56" s="30">
        <v>10</v>
      </c>
      <c r="J56" s="30">
        <v>2</v>
      </c>
      <c r="K56" s="30">
        <v>5</v>
      </c>
      <c r="L56" s="30">
        <v>8</v>
      </c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</row>
    <row r="57" spans="1:103">
      <c r="A57" s="29">
        <v>44</v>
      </c>
      <c r="B57" s="29">
        <v>196.76770126080874</v>
      </c>
      <c r="C57" s="30">
        <v>1</v>
      </c>
      <c r="D57" s="30">
        <v>3</v>
      </c>
      <c r="E57" s="30">
        <v>7</v>
      </c>
      <c r="F57" s="30">
        <v>6</v>
      </c>
      <c r="G57" s="30">
        <v>9</v>
      </c>
      <c r="H57" s="30">
        <v>4</v>
      </c>
      <c r="I57" s="30">
        <v>10</v>
      </c>
      <c r="J57" s="30">
        <v>2</v>
      </c>
      <c r="K57" s="30">
        <v>5</v>
      </c>
      <c r="L57" s="30">
        <v>8</v>
      </c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</row>
    <row r="58" spans="1:103">
      <c r="A58" s="29">
        <v>45</v>
      </c>
      <c r="B58" s="29">
        <v>196.76770126080874</v>
      </c>
      <c r="C58" s="30">
        <v>1</v>
      </c>
      <c r="D58" s="30">
        <v>3</v>
      </c>
      <c r="E58" s="30">
        <v>7</v>
      </c>
      <c r="F58" s="30">
        <v>6</v>
      </c>
      <c r="G58" s="30">
        <v>9</v>
      </c>
      <c r="H58" s="30">
        <v>4</v>
      </c>
      <c r="I58" s="30">
        <v>10</v>
      </c>
      <c r="J58" s="30">
        <v>2</v>
      </c>
      <c r="K58" s="30">
        <v>5</v>
      </c>
      <c r="L58" s="30">
        <v>8</v>
      </c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</row>
    <row r="59" spans="1:103">
      <c r="A59" s="29">
        <v>46</v>
      </c>
      <c r="B59" s="29">
        <v>196.76770126080874</v>
      </c>
      <c r="C59" s="30">
        <v>1</v>
      </c>
      <c r="D59" s="30">
        <v>3</v>
      </c>
      <c r="E59" s="30">
        <v>7</v>
      </c>
      <c r="F59" s="30">
        <v>6</v>
      </c>
      <c r="G59" s="30">
        <v>9</v>
      </c>
      <c r="H59" s="30">
        <v>4</v>
      </c>
      <c r="I59" s="30">
        <v>10</v>
      </c>
      <c r="J59" s="30">
        <v>2</v>
      </c>
      <c r="K59" s="30">
        <v>5</v>
      </c>
      <c r="L59" s="30">
        <v>8</v>
      </c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</row>
    <row r="60" spans="1:103">
      <c r="A60" s="29">
        <v>47</v>
      </c>
      <c r="B60" s="29">
        <v>196.76770126080874</v>
      </c>
      <c r="C60" s="30">
        <v>1</v>
      </c>
      <c r="D60" s="30">
        <v>3</v>
      </c>
      <c r="E60" s="30">
        <v>7</v>
      </c>
      <c r="F60" s="30">
        <v>6</v>
      </c>
      <c r="G60" s="30">
        <v>9</v>
      </c>
      <c r="H60" s="30">
        <v>4</v>
      </c>
      <c r="I60" s="30">
        <v>10</v>
      </c>
      <c r="J60" s="30">
        <v>2</v>
      </c>
      <c r="K60" s="30">
        <v>5</v>
      </c>
      <c r="L60" s="30">
        <v>8</v>
      </c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</row>
    <row r="61" spans="1:103">
      <c r="A61" s="29">
        <v>48</v>
      </c>
      <c r="B61" s="29">
        <v>196.76770126080874</v>
      </c>
      <c r="C61" s="30">
        <v>1</v>
      </c>
      <c r="D61" s="30">
        <v>3</v>
      </c>
      <c r="E61" s="30">
        <v>7</v>
      </c>
      <c r="F61" s="30">
        <v>6</v>
      </c>
      <c r="G61" s="30">
        <v>9</v>
      </c>
      <c r="H61" s="30">
        <v>4</v>
      </c>
      <c r="I61" s="30">
        <v>10</v>
      </c>
      <c r="J61" s="30">
        <v>2</v>
      </c>
      <c r="K61" s="30">
        <v>5</v>
      </c>
      <c r="L61" s="30">
        <v>8</v>
      </c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</row>
    <row r="62" spans="1:103">
      <c r="A62" s="29">
        <v>49</v>
      </c>
      <c r="B62" s="29">
        <v>196.76770126080874</v>
      </c>
      <c r="C62" s="30">
        <v>1</v>
      </c>
      <c r="D62" s="30">
        <v>3</v>
      </c>
      <c r="E62" s="30">
        <v>7</v>
      </c>
      <c r="F62" s="30">
        <v>6</v>
      </c>
      <c r="G62" s="30">
        <v>9</v>
      </c>
      <c r="H62" s="30">
        <v>4</v>
      </c>
      <c r="I62" s="30">
        <v>10</v>
      </c>
      <c r="J62" s="30">
        <v>2</v>
      </c>
      <c r="K62" s="30">
        <v>5</v>
      </c>
      <c r="L62" s="30">
        <v>8</v>
      </c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</row>
    <row r="63" spans="1:103">
      <c r="A63" s="29">
        <v>50</v>
      </c>
      <c r="B63" s="29">
        <v>196.76770126080874</v>
      </c>
      <c r="C63" s="30">
        <v>1</v>
      </c>
      <c r="D63" s="30">
        <v>3</v>
      </c>
      <c r="E63" s="30">
        <v>7</v>
      </c>
      <c r="F63" s="30">
        <v>6</v>
      </c>
      <c r="G63" s="30">
        <v>9</v>
      </c>
      <c r="H63" s="30">
        <v>4</v>
      </c>
      <c r="I63" s="30">
        <v>10</v>
      </c>
      <c r="J63" s="30">
        <v>2</v>
      </c>
      <c r="K63" s="30">
        <v>5</v>
      </c>
      <c r="L63" s="30">
        <v>8</v>
      </c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</row>
    <row r="64" spans="1:103">
      <c r="A64" s="29">
        <v>51</v>
      </c>
      <c r="B64" s="29">
        <v>196.76770126080874</v>
      </c>
      <c r="C64" s="30">
        <v>1</v>
      </c>
      <c r="D64" s="30">
        <v>3</v>
      </c>
      <c r="E64" s="30">
        <v>7</v>
      </c>
      <c r="F64" s="30">
        <v>6</v>
      </c>
      <c r="G64" s="30">
        <v>9</v>
      </c>
      <c r="H64" s="30">
        <v>4</v>
      </c>
      <c r="I64" s="30">
        <v>10</v>
      </c>
      <c r="J64" s="30">
        <v>2</v>
      </c>
      <c r="K64" s="30">
        <v>5</v>
      </c>
      <c r="L64" s="30">
        <v>8</v>
      </c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0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</row>
    <row r="65" spans="1:103">
      <c r="A65" s="29">
        <v>52</v>
      </c>
      <c r="B65" s="29">
        <v>196.76770126080874</v>
      </c>
      <c r="C65" s="30">
        <v>1</v>
      </c>
      <c r="D65" s="30">
        <v>3</v>
      </c>
      <c r="E65" s="30">
        <v>7</v>
      </c>
      <c r="F65" s="30">
        <v>6</v>
      </c>
      <c r="G65" s="30">
        <v>9</v>
      </c>
      <c r="H65" s="30">
        <v>4</v>
      </c>
      <c r="I65" s="30">
        <v>10</v>
      </c>
      <c r="J65" s="30">
        <v>2</v>
      </c>
      <c r="K65" s="30">
        <v>5</v>
      </c>
      <c r="L65" s="30">
        <v>8</v>
      </c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</row>
    <row r="66" spans="1:103">
      <c r="A66" s="29">
        <v>53</v>
      </c>
      <c r="B66" s="29">
        <v>196.76770126080874</v>
      </c>
      <c r="C66" s="30">
        <v>1</v>
      </c>
      <c r="D66" s="30">
        <v>3</v>
      </c>
      <c r="E66" s="30">
        <v>7</v>
      </c>
      <c r="F66" s="30">
        <v>6</v>
      </c>
      <c r="G66" s="30">
        <v>9</v>
      </c>
      <c r="H66" s="30">
        <v>4</v>
      </c>
      <c r="I66" s="30">
        <v>10</v>
      </c>
      <c r="J66" s="30">
        <v>2</v>
      </c>
      <c r="K66" s="30">
        <v>5</v>
      </c>
      <c r="L66" s="30">
        <v>8</v>
      </c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</row>
    <row r="67" spans="1:103">
      <c r="A67" s="29">
        <v>54</v>
      </c>
      <c r="B67" s="29">
        <v>196.76770126080874</v>
      </c>
      <c r="C67" s="30">
        <v>1</v>
      </c>
      <c r="D67" s="30">
        <v>3</v>
      </c>
      <c r="E67" s="30">
        <v>7</v>
      </c>
      <c r="F67" s="30">
        <v>6</v>
      </c>
      <c r="G67" s="30">
        <v>9</v>
      </c>
      <c r="H67" s="30">
        <v>4</v>
      </c>
      <c r="I67" s="30">
        <v>10</v>
      </c>
      <c r="J67" s="30">
        <v>2</v>
      </c>
      <c r="K67" s="30">
        <v>5</v>
      </c>
      <c r="L67" s="30">
        <v>8</v>
      </c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</row>
    <row r="68" spans="1:103">
      <c r="A68" s="29">
        <v>55</v>
      </c>
      <c r="B68" s="29">
        <v>196.76770126080874</v>
      </c>
      <c r="C68" s="30">
        <v>1</v>
      </c>
      <c r="D68" s="30">
        <v>3</v>
      </c>
      <c r="E68" s="30">
        <v>7</v>
      </c>
      <c r="F68" s="30">
        <v>6</v>
      </c>
      <c r="G68" s="30">
        <v>9</v>
      </c>
      <c r="H68" s="30">
        <v>4</v>
      </c>
      <c r="I68" s="30">
        <v>10</v>
      </c>
      <c r="J68" s="30">
        <v>2</v>
      </c>
      <c r="K68" s="30">
        <v>5</v>
      </c>
      <c r="L68" s="30">
        <v>8</v>
      </c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</row>
    <row r="69" spans="1:103">
      <c r="A69" s="29">
        <v>56</v>
      </c>
      <c r="B69" s="29">
        <v>196.76770126080874</v>
      </c>
      <c r="C69" s="30">
        <v>1</v>
      </c>
      <c r="D69" s="30">
        <v>3</v>
      </c>
      <c r="E69" s="30">
        <v>7</v>
      </c>
      <c r="F69" s="30">
        <v>6</v>
      </c>
      <c r="G69" s="30">
        <v>9</v>
      </c>
      <c r="H69" s="30">
        <v>4</v>
      </c>
      <c r="I69" s="30">
        <v>10</v>
      </c>
      <c r="J69" s="30">
        <v>2</v>
      </c>
      <c r="K69" s="30">
        <v>5</v>
      </c>
      <c r="L69" s="30">
        <v>8</v>
      </c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</row>
    <row r="70" spans="1:103">
      <c r="A70" s="29">
        <v>57</v>
      </c>
      <c r="B70" s="29">
        <v>196.76770126080874</v>
      </c>
      <c r="C70" s="30">
        <v>1</v>
      </c>
      <c r="D70" s="30">
        <v>3</v>
      </c>
      <c r="E70" s="30">
        <v>7</v>
      </c>
      <c r="F70" s="30">
        <v>6</v>
      </c>
      <c r="G70" s="30">
        <v>9</v>
      </c>
      <c r="H70" s="30">
        <v>4</v>
      </c>
      <c r="I70" s="30">
        <v>10</v>
      </c>
      <c r="J70" s="30">
        <v>2</v>
      </c>
      <c r="K70" s="30">
        <v>5</v>
      </c>
      <c r="L70" s="30">
        <v>8</v>
      </c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</row>
    <row r="71" spans="1:103">
      <c r="A71" s="29">
        <v>58</v>
      </c>
      <c r="B71" s="29">
        <v>196.76770126080874</v>
      </c>
      <c r="C71" s="30">
        <v>1</v>
      </c>
      <c r="D71" s="30">
        <v>3</v>
      </c>
      <c r="E71" s="30">
        <v>7</v>
      </c>
      <c r="F71" s="30">
        <v>6</v>
      </c>
      <c r="G71" s="30">
        <v>9</v>
      </c>
      <c r="H71" s="30">
        <v>4</v>
      </c>
      <c r="I71" s="30">
        <v>10</v>
      </c>
      <c r="J71" s="30">
        <v>2</v>
      </c>
      <c r="K71" s="30">
        <v>5</v>
      </c>
      <c r="L71" s="30">
        <v>8</v>
      </c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</row>
    <row r="72" spans="1:103">
      <c r="A72" s="29">
        <v>59</v>
      </c>
      <c r="B72" s="29">
        <v>196.76770126080874</v>
      </c>
      <c r="C72" s="30">
        <v>1</v>
      </c>
      <c r="D72" s="30">
        <v>3</v>
      </c>
      <c r="E72" s="30">
        <v>7</v>
      </c>
      <c r="F72" s="30">
        <v>6</v>
      </c>
      <c r="G72" s="30">
        <v>9</v>
      </c>
      <c r="H72" s="30">
        <v>4</v>
      </c>
      <c r="I72" s="30">
        <v>10</v>
      </c>
      <c r="J72" s="30">
        <v>2</v>
      </c>
      <c r="K72" s="30">
        <v>5</v>
      </c>
      <c r="L72" s="30">
        <v>8</v>
      </c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</row>
    <row r="73" spans="1:103">
      <c r="A73" s="29">
        <v>60</v>
      </c>
      <c r="B73" s="29">
        <v>196.76770126080874</v>
      </c>
      <c r="C73" s="30">
        <v>1</v>
      </c>
      <c r="D73" s="30">
        <v>3</v>
      </c>
      <c r="E73" s="30">
        <v>7</v>
      </c>
      <c r="F73" s="30">
        <v>6</v>
      </c>
      <c r="G73" s="30">
        <v>9</v>
      </c>
      <c r="H73" s="30">
        <v>4</v>
      </c>
      <c r="I73" s="30">
        <v>10</v>
      </c>
      <c r="J73" s="30">
        <v>2</v>
      </c>
      <c r="K73" s="30">
        <v>5</v>
      </c>
      <c r="L73" s="30">
        <v>8</v>
      </c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</row>
    <row r="74" spans="1:103">
      <c r="A74" s="29">
        <v>61</v>
      </c>
      <c r="B74" s="29">
        <v>196.76770126080874</v>
      </c>
      <c r="C74" s="30">
        <v>1</v>
      </c>
      <c r="D74" s="30">
        <v>3</v>
      </c>
      <c r="E74" s="30">
        <v>7</v>
      </c>
      <c r="F74" s="30">
        <v>6</v>
      </c>
      <c r="G74" s="30">
        <v>9</v>
      </c>
      <c r="H74" s="30">
        <v>4</v>
      </c>
      <c r="I74" s="30">
        <v>10</v>
      </c>
      <c r="J74" s="30">
        <v>2</v>
      </c>
      <c r="K74" s="30">
        <v>5</v>
      </c>
      <c r="L74" s="30">
        <v>8</v>
      </c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</row>
    <row r="75" spans="1:103">
      <c r="A75" s="29">
        <v>62</v>
      </c>
      <c r="B75" s="29">
        <v>196.76770126080874</v>
      </c>
      <c r="C75" s="30">
        <v>1</v>
      </c>
      <c r="D75" s="30">
        <v>3</v>
      </c>
      <c r="E75" s="30">
        <v>7</v>
      </c>
      <c r="F75" s="30">
        <v>6</v>
      </c>
      <c r="G75" s="30">
        <v>9</v>
      </c>
      <c r="H75" s="30">
        <v>4</v>
      </c>
      <c r="I75" s="30">
        <v>10</v>
      </c>
      <c r="J75" s="30">
        <v>2</v>
      </c>
      <c r="K75" s="30">
        <v>5</v>
      </c>
      <c r="L75" s="30">
        <v>8</v>
      </c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</row>
    <row r="76" spans="1:103">
      <c r="A76" s="29">
        <v>63</v>
      </c>
      <c r="B76" s="29">
        <v>196.76770126080874</v>
      </c>
      <c r="C76" s="30">
        <v>1</v>
      </c>
      <c r="D76" s="30">
        <v>3</v>
      </c>
      <c r="E76" s="30">
        <v>7</v>
      </c>
      <c r="F76" s="30">
        <v>6</v>
      </c>
      <c r="G76" s="30">
        <v>9</v>
      </c>
      <c r="H76" s="30">
        <v>4</v>
      </c>
      <c r="I76" s="30">
        <v>10</v>
      </c>
      <c r="J76" s="30">
        <v>2</v>
      </c>
      <c r="K76" s="30">
        <v>5</v>
      </c>
      <c r="L76" s="30">
        <v>8</v>
      </c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0"/>
      <c r="BI76" s="30"/>
      <c r="BJ76" s="30"/>
      <c r="BK76" s="30"/>
      <c r="BL76" s="30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</row>
    <row r="77" spans="1:103">
      <c r="A77" s="29">
        <v>64</v>
      </c>
      <c r="B77" s="29">
        <v>196.76770126080874</v>
      </c>
      <c r="C77" s="30">
        <v>1</v>
      </c>
      <c r="D77" s="30">
        <v>3</v>
      </c>
      <c r="E77" s="30">
        <v>7</v>
      </c>
      <c r="F77" s="30">
        <v>6</v>
      </c>
      <c r="G77" s="30">
        <v>9</v>
      </c>
      <c r="H77" s="30">
        <v>4</v>
      </c>
      <c r="I77" s="30">
        <v>10</v>
      </c>
      <c r="J77" s="30">
        <v>2</v>
      </c>
      <c r="K77" s="30">
        <v>5</v>
      </c>
      <c r="L77" s="30">
        <v>8</v>
      </c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</row>
    <row r="78" spans="1:103">
      <c r="A78" s="29">
        <v>65</v>
      </c>
      <c r="B78" s="29">
        <v>196.76770126080874</v>
      </c>
      <c r="C78" s="30">
        <v>1</v>
      </c>
      <c r="D78" s="30">
        <v>3</v>
      </c>
      <c r="E78" s="30">
        <v>7</v>
      </c>
      <c r="F78" s="30">
        <v>6</v>
      </c>
      <c r="G78" s="30">
        <v>9</v>
      </c>
      <c r="H78" s="30">
        <v>4</v>
      </c>
      <c r="I78" s="30">
        <v>10</v>
      </c>
      <c r="J78" s="30">
        <v>2</v>
      </c>
      <c r="K78" s="30">
        <v>5</v>
      </c>
      <c r="L78" s="30">
        <v>8</v>
      </c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/>
      <c r="BM78" s="30"/>
      <c r="BN78" s="30"/>
      <c r="BO78" s="30"/>
      <c r="BP78" s="30"/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</row>
    <row r="79" spans="1:103">
      <c r="A79" s="29">
        <v>66</v>
      </c>
      <c r="B79" s="29">
        <v>196.76770126080874</v>
      </c>
      <c r="C79" s="30">
        <v>1</v>
      </c>
      <c r="D79" s="30">
        <v>3</v>
      </c>
      <c r="E79" s="30">
        <v>7</v>
      </c>
      <c r="F79" s="30">
        <v>6</v>
      </c>
      <c r="G79" s="30">
        <v>9</v>
      </c>
      <c r="H79" s="30">
        <v>4</v>
      </c>
      <c r="I79" s="30">
        <v>10</v>
      </c>
      <c r="J79" s="30">
        <v>2</v>
      </c>
      <c r="K79" s="30">
        <v>5</v>
      </c>
      <c r="L79" s="30">
        <v>8</v>
      </c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/>
      <c r="BM79" s="30"/>
      <c r="BN79" s="30"/>
      <c r="BO79" s="30"/>
      <c r="BP79" s="30"/>
      <c r="BQ79" s="30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</row>
    <row r="80" spans="1:103">
      <c r="A80" s="29">
        <v>67</v>
      </c>
      <c r="B80" s="29">
        <v>196.76770126080874</v>
      </c>
      <c r="C80" s="30">
        <v>1</v>
      </c>
      <c r="D80" s="30">
        <v>3</v>
      </c>
      <c r="E80" s="30">
        <v>7</v>
      </c>
      <c r="F80" s="30">
        <v>6</v>
      </c>
      <c r="G80" s="30">
        <v>9</v>
      </c>
      <c r="H80" s="30">
        <v>4</v>
      </c>
      <c r="I80" s="30">
        <v>10</v>
      </c>
      <c r="J80" s="30">
        <v>2</v>
      </c>
      <c r="K80" s="30">
        <v>5</v>
      </c>
      <c r="L80" s="30">
        <v>8</v>
      </c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</row>
    <row r="81" spans="1:103">
      <c r="A81" s="29">
        <v>68</v>
      </c>
      <c r="B81" s="29">
        <v>196.76770126080874</v>
      </c>
      <c r="C81" s="30">
        <v>1</v>
      </c>
      <c r="D81" s="30">
        <v>3</v>
      </c>
      <c r="E81" s="30">
        <v>7</v>
      </c>
      <c r="F81" s="30">
        <v>6</v>
      </c>
      <c r="G81" s="30">
        <v>9</v>
      </c>
      <c r="H81" s="30">
        <v>4</v>
      </c>
      <c r="I81" s="30">
        <v>10</v>
      </c>
      <c r="J81" s="30">
        <v>2</v>
      </c>
      <c r="K81" s="30">
        <v>5</v>
      </c>
      <c r="L81" s="30">
        <v>8</v>
      </c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</row>
    <row r="82" spans="1:103">
      <c r="A82" s="29">
        <v>69</v>
      </c>
      <c r="B82" s="29">
        <v>196.76770126080874</v>
      </c>
      <c r="C82" s="30">
        <v>1</v>
      </c>
      <c r="D82" s="30">
        <v>3</v>
      </c>
      <c r="E82" s="30">
        <v>7</v>
      </c>
      <c r="F82" s="30">
        <v>6</v>
      </c>
      <c r="G82" s="30">
        <v>9</v>
      </c>
      <c r="H82" s="30">
        <v>4</v>
      </c>
      <c r="I82" s="30">
        <v>10</v>
      </c>
      <c r="J82" s="30">
        <v>2</v>
      </c>
      <c r="K82" s="30">
        <v>5</v>
      </c>
      <c r="L82" s="30">
        <v>8</v>
      </c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0"/>
      <c r="BI82" s="30"/>
      <c r="BJ82" s="30"/>
      <c r="BK82" s="30"/>
      <c r="BL82" s="30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</row>
    <row r="83" spans="1:103">
      <c r="A83" s="29">
        <v>70</v>
      </c>
      <c r="B83" s="29">
        <v>196.76770126080874</v>
      </c>
      <c r="C83" s="30">
        <v>1</v>
      </c>
      <c r="D83" s="30">
        <v>3</v>
      </c>
      <c r="E83" s="30">
        <v>7</v>
      </c>
      <c r="F83" s="30">
        <v>6</v>
      </c>
      <c r="G83" s="30">
        <v>9</v>
      </c>
      <c r="H83" s="30">
        <v>4</v>
      </c>
      <c r="I83" s="30">
        <v>10</v>
      </c>
      <c r="J83" s="30">
        <v>2</v>
      </c>
      <c r="K83" s="30">
        <v>5</v>
      </c>
      <c r="L83" s="30">
        <v>8</v>
      </c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</row>
    <row r="84" spans="1:103">
      <c r="A84" s="29">
        <v>71</v>
      </c>
      <c r="B84" s="29">
        <v>196.76770126080874</v>
      </c>
      <c r="C84" s="30">
        <v>1</v>
      </c>
      <c r="D84" s="30">
        <v>3</v>
      </c>
      <c r="E84" s="30">
        <v>7</v>
      </c>
      <c r="F84" s="30">
        <v>6</v>
      </c>
      <c r="G84" s="30">
        <v>9</v>
      </c>
      <c r="H84" s="30">
        <v>4</v>
      </c>
      <c r="I84" s="30">
        <v>10</v>
      </c>
      <c r="J84" s="30">
        <v>2</v>
      </c>
      <c r="K84" s="30">
        <v>5</v>
      </c>
      <c r="L84" s="30">
        <v>8</v>
      </c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</row>
    <row r="85" spans="1:103">
      <c r="A85" s="29">
        <v>72</v>
      </c>
      <c r="B85" s="29">
        <v>196.76770126080874</v>
      </c>
      <c r="C85" s="30">
        <v>1</v>
      </c>
      <c r="D85" s="30">
        <v>3</v>
      </c>
      <c r="E85" s="30">
        <v>7</v>
      </c>
      <c r="F85" s="30">
        <v>6</v>
      </c>
      <c r="G85" s="30">
        <v>9</v>
      </c>
      <c r="H85" s="30">
        <v>4</v>
      </c>
      <c r="I85" s="30">
        <v>10</v>
      </c>
      <c r="J85" s="30">
        <v>2</v>
      </c>
      <c r="K85" s="30">
        <v>5</v>
      </c>
      <c r="L85" s="30">
        <v>8</v>
      </c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/>
      <c r="BK85" s="30"/>
      <c r="BL85" s="30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</row>
    <row r="86" spans="1:103">
      <c r="A86" s="29">
        <v>73</v>
      </c>
      <c r="B86" s="29">
        <v>196.76770126080874</v>
      </c>
      <c r="C86" s="30">
        <v>1</v>
      </c>
      <c r="D86" s="30">
        <v>3</v>
      </c>
      <c r="E86" s="30">
        <v>7</v>
      </c>
      <c r="F86" s="30">
        <v>6</v>
      </c>
      <c r="G86" s="30">
        <v>9</v>
      </c>
      <c r="H86" s="30">
        <v>4</v>
      </c>
      <c r="I86" s="30">
        <v>10</v>
      </c>
      <c r="J86" s="30">
        <v>2</v>
      </c>
      <c r="K86" s="30">
        <v>5</v>
      </c>
      <c r="L86" s="30">
        <v>8</v>
      </c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</row>
    <row r="87" spans="1:103">
      <c r="A87" s="29">
        <v>74</v>
      </c>
      <c r="B87" s="29">
        <v>196.76770126080874</v>
      </c>
      <c r="C87" s="30">
        <v>1</v>
      </c>
      <c r="D87" s="30">
        <v>3</v>
      </c>
      <c r="E87" s="30">
        <v>7</v>
      </c>
      <c r="F87" s="30">
        <v>6</v>
      </c>
      <c r="G87" s="30">
        <v>9</v>
      </c>
      <c r="H87" s="30">
        <v>4</v>
      </c>
      <c r="I87" s="30">
        <v>10</v>
      </c>
      <c r="J87" s="30">
        <v>2</v>
      </c>
      <c r="K87" s="30">
        <v>5</v>
      </c>
      <c r="L87" s="30">
        <v>8</v>
      </c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</row>
    <row r="88" spans="1:103">
      <c r="A88" s="29">
        <v>75</v>
      </c>
      <c r="B88" s="29">
        <v>196.76770126080874</v>
      </c>
      <c r="C88" s="30">
        <v>1</v>
      </c>
      <c r="D88" s="30">
        <v>3</v>
      </c>
      <c r="E88" s="30">
        <v>7</v>
      </c>
      <c r="F88" s="30">
        <v>6</v>
      </c>
      <c r="G88" s="30">
        <v>9</v>
      </c>
      <c r="H88" s="30">
        <v>4</v>
      </c>
      <c r="I88" s="30">
        <v>10</v>
      </c>
      <c r="J88" s="30">
        <v>2</v>
      </c>
      <c r="K88" s="30">
        <v>5</v>
      </c>
      <c r="L88" s="30">
        <v>8</v>
      </c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</row>
    <row r="89" spans="1:103">
      <c r="A89" s="29">
        <v>76</v>
      </c>
      <c r="B89" s="29">
        <v>196.76770126080874</v>
      </c>
      <c r="C89" s="30">
        <v>1</v>
      </c>
      <c r="D89" s="30">
        <v>3</v>
      </c>
      <c r="E89" s="30">
        <v>7</v>
      </c>
      <c r="F89" s="30">
        <v>6</v>
      </c>
      <c r="G89" s="30">
        <v>9</v>
      </c>
      <c r="H89" s="30">
        <v>4</v>
      </c>
      <c r="I89" s="30">
        <v>10</v>
      </c>
      <c r="J89" s="30">
        <v>2</v>
      </c>
      <c r="K89" s="30">
        <v>5</v>
      </c>
      <c r="L89" s="30">
        <v>8</v>
      </c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</row>
    <row r="90" spans="1:103">
      <c r="A90" s="29">
        <v>77</v>
      </c>
      <c r="B90" s="29">
        <v>196.76770126080874</v>
      </c>
      <c r="C90" s="30">
        <v>1</v>
      </c>
      <c r="D90" s="30">
        <v>3</v>
      </c>
      <c r="E90" s="30">
        <v>7</v>
      </c>
      <c r="F90" s="30">
        <v>6</v>
      </c>
      <c r="G90" s="30">
        <v>9</v>
      </c>
      <c r="H90" s="30">
        <v>4</v>
      </c>
      <c r="I90" s="30">
        <v>10</v>
      </c>
      <c r="J90" s="30">
        <v>2</v>
      </c>
      <c r="K90" s="30">
        <v>5</v>
      </c>
      <c r="L90" s="30">
        <v>8</v>
      </c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</row>
    <row r="91" spans="1:103">
      <c r="A91" s="29">
        <v>78</v>
      </c>
      <c r="B91" s="29">
        <v>196.76770126080874</v>
      </c>
      <c r="C91" s="30">
        <v>1</v>
      </c>
      <c r="D91" s="30">
        <v>3</v>
      </c>
      <c r="E91" s="30">
        <v>7</v>
      </c>
      <c r="F91" s="30">
        <v>6</v>
      </c>
      <c r="G91" s="30">
        <v>9</v>
      </c>
      <c r="H91" s="30">
        <v>4</v>
      </c>
      <c r="I91" s="30">
        <v>10</v>
      </c>
      <c r="J91" s="30">
        <v>2</v>
      </c>
      <c r="K91" s="30">
        <v>5</v>
      </c>
      <c r="L91" s="30">
        <v>8</v>
      </c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  <c r="CT91" s="30"/>
      <c r="CU91" s="30"/>
      <c r="CV91" s="30"/>
      <c r="CW91" s="30"/>
      <c r="CX91" s="30"/>
      <c r="CY91" s="30"/>
    </row>
    <row r="92" spans="1:103">
      <c r="A92" s="29">
        <v>79</v>
      </c>
      <c r="B92" s="29">
        <v>196.76770126080874</v>
      </c>
      <c r="C92" s="30">
        <v>1</v>
      </c>
      <c r="D92" s="30">
        <v>3</v>
      </c>
      <c r="E92" s="30">
        <v>7</v>
      </c>
      <c r="F92" s="30">
        <v>6</v>
      </c>
      <c r="G92" s="30">
        <v>9</v>
      </c>
      <c r="H92" s="30">
        <v>4</v>
      </c>
      <c r="I92" s="30">
        <v>10</v>
      </c>
      <c r="J92" s="30">
        <v>2</v>
      </c>
      <c r="K92" s="30">
        <v>5</v>
      </c>
      <c r="L92" s="30">
        <v>8</v>
      </c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</row>
    <row r="93" spans="1:103">
      <c r="A93" s="29">
        <v>80</v>
      </c>
      <c r="B93" s="29">
        <v>196.76770126080874</v>
      </c>
      <c r="C93" s="30">
        <v>1</v>
      </c>
      <c r="D93" s="30">
        <v>3</v>
      </c>
      <c r="E93" s="30">
        <v>7</v>
      </c>
      <c r="F93" s="30">
        <v>6</v>
      </c>
      <c r="G93" s="30">
        <v>9</v>
      </c>
      <c r="H93" s="30">
        <v>4</v>
      </c>
      <c r="I93" s="30">
        <v>10</v>
      </c>
      <c r="J93" s="30">
        <v>2</v>
      </c>
      <c r="K93" s="30">
        <v>5</v>
      </c>
      <c r="L93" s="30">
        <v>8</v>
      </c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</row>
    <row r="94" spans="1:103">
      <c r="A94" s="29">
        <v>81</v>
      </c>
      <c r="B94" s="29">
        <v>196.76770126080874</v>
      </c>
      <c r="C94" s="30">
        <v>1</v>
      </c>
      <c r="D94" s="30">
        <v>3</v>
      </c>
      <c r="E94" s="30">
        <v>7</v>
      </c>
      <c r="F94" s="30">
        <v>6</v>
      </c>
      <c r="G94" s="30">
        <v>9</v>
      </c>
      <c r="H94" s="30">
        <v>4</v>
      </c>
      <c r="I94" s="30">
        <v>10</v>
      </c>
      <c r="J94" s="30">
        <v>2</v>
      </c>
      <c r="K94" s="30">
        <v>5</v>
      </c>
      <c r="L94" s="30">
        <v>8</v>
      </c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  <c r="CT94" s="30"/>
      <c r="CU94" s="30"/>
      <c r="CV94" s="30"/>
      <c r="CW94" s="30"/>
      <c r="CX94" s="30"/>
      <c r="CY94" s="30"/>
    </row>
    <row r="95" spans="1:103">
      <c r="A95" s="29">
        <v>82</v>
      </c>
      <c r="B95" s="29">
        <v>196.76770126080874</v>
      </c>
      <c r="C95" s="30">
        <v>1</v>
      </c>
      <c r="D95" s="30">
        <v>3</v>
      </c>
      <c r="E95" s="30">
        <v>7</v>
      </c>
      <c r="F95" s="30">
        <v>6</v>
      </c>
      <c r="G95" s="30">
        <v>9</v>
      </c>
      <c r="H95" s="30">
        <v>4</v>
      </c>
      <c r="I95" s="30">
        <v>10</v>
      </c>
      <c r="J95" s="30">
        <v>2</v>
      </c>
      <c r="K95" s="30">
        <v>5</v>
      </c>
      <c r="L95" s="30">
        <v>8</v>
      </c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  <c r="CT95" s="30"/>
      <c r="CU95" s="30"/>
      <c r="CV95" s="30"/>
      <c r="CW95" s="30"/>
      <c r="CX95" s="30"/>
      <c r="CY95" s="30"/>
    </row>
    <row r="96" spans="1:103">
      <c r="A96" s="29">
        <v>83</v>
      </c>
      <c r="B96" s="29">
        <v>196.76770126080874</v>
      </c>
      <c r="C96" s="30">
        <v>1</v>
      </c>
      <c r="D96" s="30">
        <v>3</v>
      </c>
      <c r="E96" s="30">
        <v>7</v>
      </c>
      <c r="F96" s="30">
        <v>6</v>
      </c>
      <c r="G96" s="30">
        <v>9</v>
      </c>
      <c r="H96" s="30">
        <v>4</v>
      </c>
      <c r="I96" s="30">
        <v>10</v>
      </c>
      <c r="J96" s="30">
        <v>2</v>
      </c>
      <c r="K96" s="30">
        <v>5</v>
      </c>
      <c r="L96" s="30">
        <v>8</v>
      </c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</row>
    <row r="97" spans="1:103">
      <c r="A97" s="29">
        <v>84</v>
      </c>
      <c r="B97" s="29">
        <v>196.76770126080874</v>
      </c>
      <c r="C97" s="30">
        <v>1</v>
      </c>
      <c r="D97" s="30">
        <v>3</v>
      </c>
      <c r="E97" s="30">
        <v>7</v>
      </c>
      <c r="F97" s="30">
        <v>6</v>
      </c>
      <c r="G97" s="30">
        <v>9</v>
      </c>
      <c r="H97" s="30">
        <v>4</v>
      </c>
      <c r="I97" s="30">
        <v>10</v>
      </c>
      <c r="J97" s="30">
        <v>2</v>
      </c>
      <c r="K97" s="30">
        <v>5</v>
      </c>
      <c r="L97" s="30">
        <v>8</v>
      </c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  <c r="CT97" s="30"/>
      <c r="CU97" s="30"/>
      <c r="CV97" s="30"/>
      <c r="CW97" s="30"/>
      <c r="CX97" s="30"/>
      <c r="CY97" s="30"/>
    </row>
    <row r="98" spans="1:103">
      <c r="A98" s="29">
        <v>85</v>
      </c>
      <c r="B98" s="29">
        <v>196.76770126080874</v>
      </c>
      <c r="C98" s="30">
        <v>1</v>
      </c>
      <c r="D98" s="30">
        <v>3</v>
      </c>
      <c r="E98" s="30">
        <v>7</v>
      </c>
      <c r="F98" s="30">
        <v>6</v>
      </c>
      <c r="G98" s="30">
        <v>9</v>
      </c>
      <c r="H98" s="30">
        <v>4</v>
      </c>
      <c r="I98" s="30">
        <v>10</v>
      </c>
      <c r="J98" s="30">
        <v>2</v>
      </c>
      <c r="K98" s="30">
        <v>5</v>
      </c>
      <c r="L98" s="30">
        <v>8</v>
      </c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</row>
    <row r="99" spans="1:103">
      <c r="A99" s="29">
        <v>86</v>
      </c>
      <c r="B99" s="29">
        <v>196.76770126080874</v>
      </c>
      <c r="C99" s="30">
        <v>1</v>
      </c>
      <c r="D99" s="30">
        <v>3</v>
      </c>
      <c r="E99" s="30">
        <v>7</v>
      </c>
      <c r="F99" s="30">
        <v>6</v>
      </c>
      <c r="G99" s="30">
        <v>9</v>
      </c>
      <c r="H99" s="30">
        <v>4</v>
      </c>
      <c r="I99" s="30">
        <v>10</v>
      </c>
      <c r="J99" s="30">
        <v>2</v>
      </c>
      <c r="K99" s="30">
        <v>5</v>
      </c>
      <c r="L99" s="30">
        <v>8</v>
      </c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</row>
    <row r="100" spans="1:103">
      <c r="A100" s="29">
        <v>87</v>
      </c>
      <c r="B100" s="29">
        <v>196.76770126080874</v>
      </c>
      <c r="C100" s="30">
        <v>1</v>
      </c>
      <c r="D100" s="30">
        <v>3</v>
      </c>
      <c r="E100" s="30">
        <v>7</v>
      </c>
      <c r="F100" s="30">
        <v>6</v>
      </c>
      <c r="G100" s="30">
        <v>9</v>
      </c>
      <c r="H100" s="30">
        <v>4</v>
      </c>
      <c r="I100" s="30">
        <v>10</v>
      </c>
      <c r="J100" s="30">
        <v>2</v>
      </c>
      <c r="K100" s="30">
        <v>5</v>
      </c>
      <c r="L100" s="30">
        <v>8</v>
      </c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  <c r="BJ100" s="30"/>
      <c r="BK100" s="30"/>
      <c r="BL100" s="30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  <c r="CT100" s="30"/>
      <c r="CU100" s="30"/>
      <c r="CV100" s="30"/>
      <c r="CW100" s="30"/>
      <c r="CX100" s="30"/>
      <c r="CY100" s="30"/>
    </row>
    <row r="101" spans="1:103">
      <c r="A101" s="29">
        <v>88</v>
      </c>
      <c r="B101" s="29">
        <v>196.76770126080874</v>
      </c>
      <c r="C101" s="30">
        <v>1</v>
      </c>
      <c r="D101" s="30">
        <v>3</v>
      </c>
      <c r="E101" s="30">
        <v>7</v>
      </c>
      <c r="F101" s="30">
        <v>6</v>
      </c>
      <c r="G101" s="30">
        <v>9</v>
      </c>
      <c r="H101" s="30">
        <v>4</v>
      </c>
      <c r="I101" s="30">
        <v>10</v>
      </c>
      <c r="J101" s="30">
        <v>2</v>
      </c>
      <c r="K101" s="30">
        <v>5</v>
      </c>
      <c r="L101" s="30">
        <v>8</v>
      </c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</row>
    <row r="102" spans="1:103">
      <c r="A102" s="29">
        <v>89</v>
      </c>
      <c r="B102" s="29">
        <v>196.76770126080874</v>
      </c>
      <c r="C102" s="30">
        <v>1</v>
      </c>
      <c r="D102" s="30">
        <v>3</v>
      </c>
      <c r="E102" s="30">
        <v>7</v>
      </c>
      <c r="F102" s="30">
        <v>6</v>
      </c>
      <c r="G102" s="30">
        <v>9</v>
      </c>
      <c r="H102" s="30">
        <v>4</v>
      </c>
      <c r="I102" s="30">
        <v>10</v>
      </c>
      <c r="J102" s="30">
        <v>2</v>
      </c>
      <c r="K102" s="30">
        <v>5</v>
      </c>
      <c r="L102" s="30">
        <v>8</v>
      </c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</row>
    <row r="103" spans="1:103">
      <c r="A103" s="29">
        <v>90</v>
      </c>
      <c r="B103" s="29">
        <v>196.76770126080874</v>
      </c>
      <c r="C103" s="30">
        <v>1</v>
      </c>
      <c r="D103" s="30">
        <v>3</v>
      </c>
      <c r="E103" s="30">
        <v>7</v>
      </c>
      <c r="F103" s="30">
        <v>6</v>
      </c>
      <c r="G103" s="30">
        <v>9</v>
      </c>
      <c r="H103" s="30">
        <v>4</v>
      </c>
      <c r="I103" s="30">
        <v>10</v>
      </c>
      <c r="J103" s="30">
        <v>2</v>
      </c>
      <c r="K103" s="30">
        <v>5</v>
      </c>
      <c r="L103" s="30">
        <v>8</v>
      </c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  <c r="BJ103" s="30"/>
      <c r="BK103" s="30"/>
      <c r="BL103" s="30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  <c r="CT103" s="30"/>
      <c r="CU103" s="30"/>
      <c r="CV103" s="30"/>
      <c r="CW103" s="30"/>
      <c r="CX103" s="30"/>
      <c r="CY103" s="30"/>
    </row>
    <row r="104" spans="1:103">
      <c r="A104" s="29">
        <v>91</v>
      </c>
      <c r="B104" s="29">
        <v>196.76770126080874</v>
      </c>
      <c r="C104" s="30">
        <v>1</v>
      </c>
      <c r="D104" s="30">
        <v>3</v>
      </c>
      <c r="E104" s="30">
        <v>7</v>
      </c>
      <c r="F104" s="30">
        <v>6</v>
      </c>
      <c r="G104" s="30">
        <v>9</v>
      </c>
      <c r="H104" s="30">
        <v>4</v>
      </c>
      <c r="I104" s="30">
        <v>10</v>
      </c>
      <c r="J104" s="30">
        <v>2</v>
      </c>
      <c r="K104" s="30">
        <v>5</v>
      </c>
      <c r="L104" s="30">
        <v>8</v>
      </c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</row>
    <row r="105" spans="1:103">
      <c r="A105" s="29">
        <v>92</v>
      </c>
      <c r="B105" s="29">
        <v>196.76770126080874</v>
      </c>
      <c r="C105" s="30">
        <v>1</v>
      </c>
      <c r="D105" s="30">
        <v>3</v>
      </c>
      <c r="E105" s="30">
        <v>7</v>
      </c>
      <c r="F105" s="30">
        <v>6</v>
      </c>
      <c r="G105" s="30">
        <v>9</v>
      </c>
      <c r="H105" s="30">
        <v>4</v>
      </c>
      <c r="I105" s="30">
        <v>10</v>
      </c>
      <c r="J105" s="30">
        <v>2</v>
      </c>
      <c r="K105" s="30">
        <v>5</v>
      </c>
      <c r="L105" s="30">
        <v>8</v>
      </c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</row>
    <row r="106" spans="1:103">
      <c r="A106" s="29">
        <v>93</v>
      </c>
      <c r="B106" s="29">
        <v>196.76770126080874</v>
      </c>
      <c r="C106" s="30">
        <v>1</v>
      </c>
      <c r="D106" s="30">
        <v>3</v>
      </c>
      <c r="E106" s="30">
        <v>7</v>
      </c>
      <c r="F106" s="30">
        <v>6</v>
      </c>
      <c r="G106" s="30">
        <v>9</v>
      </c>
      <c r="H106" s="30">
        <v>4</v>
      </c>
      <c r="I106" s="30">
        <v>10</v>
      </c>
      <c r="J106" s="30">
        <v>2</v>
      </c>
      <c r="K106" s="30">
        <v>5</v>
      </c>
      <c r="L106" s="30">
        <v>8</v>
      </c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  <c r="CT106" s="30"/>
      <c r="CU106" s="30"/>
      <c r="CV106" s="30"/>
      <c r="CW106" s="30"/>
      <c r="CX106" s="30"/>
      <c r="CY106" s="30"/>
    </row>
    <row r="107" spans="1:103">
      <c r="A107" s="29">
        <v>94</v>
      </c>
      <c r="B107" s="29">
        <v>196.76770126080874</v>
      </c>
      <c r="C107" s="30">
        <v>1</v>
      </c>
      <c r="D107" s="30">
        <v>3</v>
      </c>
      <c r="E107" s="30">
        <v>7</v>
      </c>
      <c r="F107" s="30">
        <v>6</v>
      </c>
      <c r="G107" s="30">
        <v>9</v>
      </c>
      <c r="H107" s="30">
        <v>4</v>
      </c>
      <c r="I107" s="30">
        <v>10</v>
      </c>
      <c r="J107" s="30">
        <v>2</v>
      </c>
      <c r="K107" s="30">
        <v>5</v>
      </c>
      <c r="L107" s="30">
        <v>8</v>
      </c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</row>
    <row r="108" spans="1:103">
      <c r="A108" s="29">
        <v>95</v>
      </c>
      <c r="B108" s="29">
        <v>196.76770126080874</v>
      </c>
      <c r="C108" s="30">
        <v>1</v>
      </c>
      <c r="D108" s="30">
        <v>3</v>
      </c>
      <c r="E108" s="30">
        <v>7</v>
      </c>
      <c r="F108" s="30">
        <v>6</v>
      </c>
      <c r="G108" s="30">
        <v>9</v>
      </c>
      <c r="H108" s="30">
        <v>4</v>
      </c>
      <c r="I108" s="30">
        <v>10</v>
      </c>
      <c r="J108" s="30">
        <v>2</v>
      </c>
      <c r="K108" s="30">
        <v>5</v>
      </c>
      <c r="L108" s="30">
        <v>8</v>
      </c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</row>
    <row r="109" spans="1:103">
      <c r="A109" s="29">
        <v>96</v>
      </c>
      <c r="B109" s="29">
        <v>196.76770126080874</v>
      </c>
      <c r="C109" s="30">
        <v>1</v>
      </c>
      <c r="D109" s="30">
        <v>3</v>
      </c>
      <c r="E109" s="30">
        <v>7</v>
      </c>
      <c r="F109" s="30">
        <v>6</v>
      </c>
      <c r="G109" s="30">
        <v>9</v>
      </c>
      <c r="H109" s="30">
        <v>4</v>
      </c>
      <c r="I109" s="30">
        <v>10</v>
      </c>
      <c r="J109" s="30">
        <v>2</v>
      </c>
      <c r="K109" s="30">
        <v>5</v>
      </c>
      <c r="L109" s="30">
        <v>8</v>
      </c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  <c r="CT109" s="30"/>
      <c r="CU109" s="30"/>
      <c r="CV109" s="30"/>
      <c r="CW109" s="30"/>
      <c r="CX109" s="30"/>
      <c r="CY109" s="30"/>
    </row>
    <row r="110" spans="1:103">
      <c r="A110" s="29">
        <v>97</v>
      </c>
      <c r="B110" s="29">
        <v>196.76770126080874</v>
      </c>
      <c r="C110" s="30">
        <v>1</v>
      </c>
      <c r="D110" s="30">
        <v>3</v>
      </c>
      <c r="E110" s="30">
        <v>7</v>
      </c>
      <c r="F110" s="30">
        <v>6</v>
      </c>
      <c r="G110" s="30">
        <v>9</v>
      </c>
      <c r="H110" s="30">
        <v>4</v>
      </c>
      <c r="I110" s="30">
        <v>10</v>
      </c>
      <c r="J110" s="30">
        <v>2</v>
      </c>
      <c r="K110" s="30">
        <v>5</v>
      </c>
      <c r="L110" s="30">
        <v>8</v>
      </c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</row>
    <row r="111" spans="1:103">
      <c r="A111" s="29">
        <v>98</v>
      </c>
      <c r="B111" s="29">
        <v>196.76770126080874</v>
      </c>
      <c r="C111" s="30">
        <v>1</v>
      </c>
      <c r="D111" s="30">
        <v>3</v>
      </c>
      <c r="E111" s="30">
        <v>7</v>
      </c>
      <c r="F111" s="30">
        <v>6</v>
      </c>
      <c r="G111" s="30">
        <v>9</v>
      </c>
      <c r="H111" s="30">
        <v>4</v>
      </c>
      <c r="I111" s="30">
        <v>10</v>
      </c>
      <c r="J111" s="30">
        <v>2</v>
      </c>
      <c r="K111" s="30">
        <v>5</v>
      </c>
      <c r="L111" s="30">
        <v>8</v>
      </c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</row>
    <row r="112" spans="1:103">
      <c r="A112" s="29">
        <v>99</v>
      </c>
      <c r="B112" s="29">
        <v>196.76770126080874</v>
      </c>
      <c r="C112" s="30">
        <v>1</v>
      </c>
      <c r="D112" s="30">
        <v>3</v>
      </c>
      <c r="E112" s="30">
        <v>7</v>
      </c>
      <c r="F112" s="30">
        <v>6</v>
      </c>
      <c r="G112" s="30">
        <v>9</v>
      </c>
      <c r="H112" s="30">
        <v>4</v>
      </c>
      <c r="I112" s="30">
        <v>10</v>
      </c>
      <c r="J112" s="30">
        <v>2</v>
      </c>
      <c r="K112" s="30">
        <v>5</v>
      </c>
      <c r="L112" s="30">
        <v>8</v>
      </c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  <c r="BJ112" s="30"/>
      <c r="BK112" s="30"/>
      <c r="BL112" s="30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  <c r="CT112" s="30"/>
      <c r="CU112" s="30"/>
      <c r="CV112" s="30"/>
      <c r="CW112" s="30"/>
      <c r="CX112" s="30"/>
      <c r="CY112" s="30"/>
    </row>
    <row r="113" spans="1:103">
      <c r="A113" s="29">
        <v>100</v>
      </c>
      <c r="B113" s="29">
        <v>196.76770126080874</v>
      </c>
      <c r="C113" s="30">
        <v>1</v>
      </c>
      <c r="D113" s="30">
        <v>3</v>
      </c>
      <c r="E113" s="30">
        <v>7</v>
      </c>
      <c r="F113" s="30">
        <v>6</v>
      </c>
      <c r="G113" s="30">
        <v>9</v>
      </c>
      <c r="H113" s="30">
        <v>4</v>
      </c>
      <c r="I113" s="30">
        <v>10</v>
      </c>
      <c r="J113" s="30">
        <v>2</v>
      </c>
      <c r="K113" s="30">
        <v>5</v>
      </c>
      <c r="L113" s="30">
        <v>8</v>
      </c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</row>
  </sheetData>
  <sheetProtection sheet="1" objects="1" scenarios="1" selectLockedCells="1"/>
  <mergeCells count="5">
    <mergeCell ref="A11:L12"/>
    <mergeCell ref="A4:L4"/>
    <mergeCell ref="A1:L3"/>
    <mergeCell ref="H6:K6"/>
    <mergeCell ref="H7:K8"/>
  </mergeCells>
  <phoneticPr fontId="7" type="noConversion"/>
  <conditionalFormatting sqref="N10:O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 altText="RUN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8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CY101"/>
  <sheetViews>
    <sheetView topLeftCell="A64" zoomScale="83" workbookViewId="0"/>
  </sheetViews>
  <sheetFormatPr defaultColWidth="10.77734375" defaultRowHeight="14.4" zeroHeight="1"/>
  <cols>
    <col min="1" max="2" width="10.77734375" customWidth="1"/>
    <col min="3" max="103" width="6.109375" customWidth="1"/>
    <col min="104" max="256" width="0" hidden="1" customWidth="1"/>
  </cols>
  <sheetData>
    <row r="1" spans="1:103">
      <c r="A1" t="s">
        <v>0</v>
      </c>
      <c r="B1" t="s">
        <v>162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71</v>
      </c>
      <c r="N1" t="s">
        <v>72</v>
      </c>
      <c r="O1" t="s">
        <v>73</v>
      </c>
      <c r="P1" t="s">
        <v>74</v>
      </c>
      <c r="Q1" t="s">
        <v>75</v>
      </c>
      <c r="R1" t="s">
        <v>76</v>
      </c>
      <c r="S1" t="s">
        <v>77</v>
      </c>
      <c r="T1" t="s">
        <v>78</v>
      </c>
      <c r="U1" t="s">
        <v>79</v>
      </c>
      <c r="V1" t="s">
        <v>80</v>
      </c>
      <c r="W1" t="s">
        <v>81</v>
      </c>
      <c r="X1" t="s">
        <v>82</v>
      </c>
      <c r="Y1" t="s">
        <v>83</v>
      </c>
      <c r="Z1" t="s">
        <v>84</v>
      </c>
      <c r="AA1" t="s">
        <v>85</v>
      </c>
      <c r="AB1" t="s">
        <v>86</v>
      </c>
      <c r="AC1" t="s">
        <v>87</v>
      </c>
      <c r="AD1" t="s">
        <v>88</v>
      </c>
      <c r="AE1" t="s">
        <v>89</v>
      </c>
      <c r="AF1" t="s">
        <v>90</v>
      </c>
      <c r="AG1" t="s">
        <v>91</v>
      </c>
      <c r="AH1" t="s">
        <v>92</v>
      </c>
      <c r="AI1" t="s">
        <v>93</v>
      </c>
      <c r="AJ1" t="s">
        <v>94</v>
      </c>
      <c r="AK1" t="s">
        <v>95</v>
      </c>
      <c r="AL1" t="s">
        <v>96</v>
      </c>
      <c r="AM1" t="s">
        <v>97</v>
      </c>
      <c r="AN1" t="s">
        <v>98</v>
      </c>
      <c r="AO1" t="s">
        <v>99</v>
      </c>
      <c r="AP1" t="s">
        <v>100</v>
      </c>
      <c r="AQ1" t="s">
        <v>101</v>
      </c>
      <c r="AR1" t="s">
        <v>102</v>
      </c>
      <c r="AS1" t="s">
        <v>103</v>
      </c>
      <c r="AT1" t="s">
        <v>104</v>
      </c>
      <c r="AU1" t="s">
        <v>105</v>
      </c>
      <c r="AV1" t="s">
        <v>106</v>
      </c>
      <c r="AW1" t="s">
        <v>107</v>
      </c>
      <c r="AX1" t="s">
        <v>108</v>
      </c>
      <c r="AY1" t="s">
        <v>109</v>
      </c>
      <c r="AZ1" t="s">
        <v>110</v>
      </c>
      <c r="BA1" t="s">
        <v>111</v>
      </c>
      <c r="BB1" t="s">
        <v>112</v>
      </c>
      <c r="BC1" t="s">
        <v>113</v>
      </c>
      <c r="BD1" t="s">
        <v>114</v>
      </c>
      <c r="BE1" t="s">
        <v>115</v>
      </c>
      <c r="BF1" t="s">
        <v>116</v>
      </c>
      <c r="BG1" t="s">
        <v>117</v>
      </c>
      <c r="BH1" t="s">
        <v>118</v>
      </c>
      <c r="BI1" t="s">
        <v>119</v>
      </c>
      <c r="BJ1" t="s">
        <v>120</v>
      </c>
      <c r="BK1" t="s">
        <v>121</v>
      </c>
      <c r="BL1" t="s">
        <v>122</v>
      </c>
      <c r="BM1" t="s">
        <v>123</v>
      </c>
      <c r="BN1" t="s">
        <v>124</v>
      </c>
      <c r="BO1" t="s">
        <v>125</v>
      </c>
      <c r="BP1" t="s">
        <v>126</v>
      </c>
      <c r="BQ1" t="s">
        <v>127</v>
      </c>
      <c r="BR1" t="s">
        <v>128</v>
      </c>
      <c r="BS1" t="s">
        <v>129</v>
      </c>
      <c r="BT1" t="s">
        <v>130</v>
      </c>
      <c r="BU1" t="s">
        <v>131</v>
      </c>
      <c r="BV1" t="s">
        <v>132</v>
      </c>
      <c r="BW1" t="s">
        <v>133</v>
      </c>
      <c r="BX1" t="s">
        <v>134</v>
      </c>
      <c r="BY1" t="s">
        <v>135</v>
      </c>
      <c r="BZ1" t="s">
        <v>136</v>
      </c>
      <c r="CA1" t="s">
        <v>137</v>
      </c>
      <c r="CB1" t="s">
        <v>138</v>
      </c>
      <c r="CC1" t="s">
        <v>139</v>
      </c>
      <c r="CD1" t="s">
        <v>140</v>
      </c>
      <c r="CE1" t="s">
        <v>141</v>
      </c>
      <c r="CF1" t="s">
        <v>142</v>
      </c>
      <c r="CG1" t="s">
        <v>143</v>
      </c>
      <c r="CH1" t="s">
        <v>144</v>
      </c>
      <c r="CI1" t="s">
        <v>145</v>
      </c>
      <c r="CJ1" t="s">
        <v>146</v>
      </c>
      <c r="CK1" t="s">
        <v>147</v>
      </c>
      <c r="CL1" t="s">
        <v>148</v>
      </c>
      <c r="CM1" t="s">
        <v>149</v>
      </c>
      <c r="CN1" t="s">
        <v>150</v>
      </c>
      <c r="CO1" t="s">
        <v>151</v>
      </c>
      <c r="CP1" t="s">
        <v>152</v>
      </c>
      <c r="CQ1" t="s">
        <v>153</v>
      </c>
      <c r="CR1" t="s">
        <v>154</v>
      </c>
      <c r="CS1" t="s">
        <v>155</v>
      </c>
      <c r="CT1" t="s">
        <v>156</v>
      </c>
      <c r="CU1" t="s">
        <v>157</v>
      </c>
      <c r="CV1" t="s">
        <v>158</v>
      </c>
      <c r="CW1" t="s">
        <v>159</v>
      </c>
      <c r="CX1" t="s">
        <v>160</v>
      </c>
      <c r="CY1" t="s">
        <v>161</v>
      </c>
    </row>
    <row r="2" spans="1:103">
      <c r="A2">
        <v>76</v>
      </c>
      <c r="B2">
        <v>827.58041906372398</v>
      </c>
      <c r="C2">
        <v>1</v>
      </c>
      <c r="D2">
        <v>2</v>
      </c>
      <c r="E2">
        <v>10</v>
      </c>
      <c r="F2">
        <v>4</v>
      </c>
      <c r="G2">
        <v>9</v>
      </c>
      <c r="H2">
        <v>6</v>
      </c>
      <c r="I2">
        <v>8</v>
      </c>
      <c r="J2">
        <v>3</v>
      </c>
      <c r="K2">
        <v>7</v>
      </c>
      <c r="L2">
        <v>5</v>
      </c>
    </row>
    <row r="3" spans="1:103">
      <c r="A3">
        <v>33</v>
      </c>
      <c r="B3">
        <v>779.56576451574369</v>
      </c>
      <c r="C3">
        <v>1</v>
      </c>
      <c r="D3">
        <v>9</v>
      </c>
      <c r="E3">
        <v>6</v>
      </c>
      <c r="F3">
        <v>2</v>
      </c>
      <c r="G3">
        <v>7</v>
      </c>
      <c r="H3">
        <v>3</v>
      </c>
      <c r="I3">
        <v>4</v>
      </c>
      <c r="J3">
        <v>5</v>
      </c>
      <c r="K3">
        <v>8</v>
      </c>
      <c r="L3">
        <v>10</v>
      </c>
    </row>
    <row r="4" spans="1:103">
      <c r="A4">
        <v>37</v>
      </c>
      <c r="B4">
        <v>305.10535835997513</v>
      </c>
      <c r="C4">
        <v>1</v>
      </c>
      <c r="D4">
        <v>3</v>
      </c>
      <c r="E4">
        <v>6</v>
      </c>
      <c r="F4">
        <v>10</v>
      </c>
      <c r="G4">
        <v>4</v>
      </c>
      <c r="H4">
        <v>7</v>
      </c>
      <c r="I4">
        <v>5</v>
      </c>
      <c r="J4">
        <v>9</v>
      </c>
      <c r="K4">
        <v>8</v>
      </c>
      <c r="L4">
        <v>2</v>
      </c>
    </row>
    <row r="5" spans="1:103">
      <c r="A5">
        <v>85</v>
      </c>
      <c r="B5">
        <v>932.62333646049535</v>
      </c>
      <c r="C5">
        <v>1</v>
      </c>
      <c r="D5">
        <v>2</v>
      </c>
      <c r="E5">
        <v>5</v>
      </c>
      <c r="F5">
        <v>6</v>
      </c>
      <c r="G5">
        <v>8</v>
      </c>
      <c r="H5">
        <v>10</v>
      </c>
      <c r="I5">
        <v>3</v>
      </c>
      <c r="J5">
        <v>7</v>
      </c>
      <c r="K5">
        <v>9</v>
      </c>
      <c r="L5">
        <v>4</v>
      </c>
    </row>
    <row r="6" spans="1:103">
      <c r="A6">
        <v>67</v>
      </c>
      <c r="B6">
        <v>672.29242390705656</v>
      </c>
      <c r="C6">
        <v>1</v>
      </c>
      <c r="D6">
        <v>7</v>
      </c>
      <c r="E6">
        <v>8</v>
      </c>
      <c r="F6">
        <v>9</v>
      </c>
      <c r="G6">
        <v>3</v>
      </c>
      <c r="H6">
        <v>10</v>
      </c>
      <c r="I6">
        <v>4</v>
      </c>
      <c r="J6">
        <v>2</v>
      </c>
      <c r="K6">
        <v>5</v>
      </c>
      <c r="L6">
        <v>6</v>
      </c>
    </row>
    <row r="7" spans="1:103">
      <c r="A7">
        <v>23</v>
      </c>
      <c r="B7">
        <v>740.04007646711261</v>
      </c>
      <c r="C7">
        <v>1</v>
      </c>
      <c r="D7">
        <v>6</v>
      </c>
      <c r="E7">
        <v>8</v>
      </c>
      <c r="F7">
        <v>5</v>
      </c>
      <c r="G7">
        <v>3</v>
      </c>
      <c r="H7">
        <v>4</v>
      </c>
      <c r="I7">
        <v>2</v>
      </c>
      <c r="J7">
        <v>7</v>
      </c>
      <c r="K7">
        <v>9</v>
      </c>
      <c r="L7">
        <v>10</v>
      </c>
    </row>
    <row r="8" spans="1:103">
      <c r="A8">
        <v>8</v>
      </c>
      <c r="B8">
        <v>871.55393122408032</v>
      </c>
      <c r="C8">
        <v>1</v>
      </c>
      <c r="D8">
        <v>2</v>
      </c>
      <c r="E8">
        <v>3</v>
      </c>
      <c r="F8">
        <v>4</v>
      </c>
      <c r="G8">
        <v>5</v>
      </c>
      <c r="H8">
        <v>8</v>
      </c>
      <c r="I8">
        <v>9</v>
      </c>
      <c r="J8">
        <v>10</v>
      </c>
      <c r="K8">
        <v>6</v>
      </c>
      <c r="L8">
        <v>7</v>
      </c>
    </row>
    <row r="9" spans="1:103">
      <c r="A9">
        <v>30</v>
      </c>
      <c r="B9">
        <v>346.52505949642051</v>
      </c>
      <c r="C9">
        <v>1</v>
      </c>
      <c r="D9">
        <v>10</v>
      </c>
      <c r="E9">
        <v>3</v>
      </c>
      <c r="F9">
        <v>6</v>
      </c>
      <c r="G9">
        <v>7</v>
      </c>
      <c r="H9">
        <v>8</v>
      </c>
      <c r="I9">
        <v>9</v>
      </c>
      <c r="J9">
        <v>2</v>
      </c>
      <c r="K9">
        <v>4</v>
      </c>
      <c r="L9">
        <v>5</v>
      </c>
    </row>
    <row r="10" spans="1:103">
      <c r="A10">
        <v>4</v>
      </c>
      <c r="B10">
        <v>606.3222666111775</v>
      </c>
      <c r="C10">
        <v>1</v>
      </c>
      <c r="D10">
        <v>7</v>
      </c>
      <c r="E10">
        <v>2</v>
      </c>
      <c r="F10">
        <v>10</v>
      </c>
      <c r="G10">
        <v>3</v>
      </c>
      <c r="H10">
        <v>4</v>
      </c>
      <c r="I10">
        <v>5</v>
      </c>
      <c r="J10">
        <v>8</v>
      </c>
      <c r="K10">
        <v>9</v>
      </c>
      <c r="L10">
        <v>6</v>
      </c>
    </row>
    <row r="11" spans="1:103">
      <c r="A11">
        <v>60</v>
      </c>
      <c r="B11">
        <v>633.77655306578322</v>
      </c>
      <c r="C11">
        <v>1</v>
      </c>
      <c r="D11">
        <v>9</v>
      </c>
      <c r="E11">
        <v>4</v>
      </c>
      <c r="F11">
        <v>6</v>
      </c>
      <c r="G11">
        <v>7</v>
      </c>
      <c r="H11">
        <v>8</v>
      </c>
      <c r="I11">
        <v>10</v>
      </c>
      <c r="J11">
        <v>5</v>
      </c>
      <c r="K11">
        <v>2</v>
      </c>
      <c r="L11">
        <v>3</v>
      </c>
    </row>
    <row r="12" spans="1:103">
      <c r="A12">
        <v>20</v>
      </c>
      <c r="B12">
        <v>690.7784912388131</v>
      </c>
      <c r="C12">
        <v>1</v>
      </c>
      <c r="D12">
        <v>4</v>
      </c>
      <c r="E12">
        <v>7</v>
      </c>
      <c r="F12">
        <v>2</v>
      </c>
      <c r="G12">
        <v>5</v>
      </c>
      <c r="H12">
        <v>8</v>
      </c>
      <c r="I12">
        <v>6</v>
      </c>
      <c r="J12">
        <v>9</v>
      </c>
      <c r="K12">
        <v>10</v>
      </c>
      <c r="L12">
        <v>3</v>
      </c>
    </row>
    <row r="13" spans="1:103">
      <c r="A13">
        <v>19</v>
      </c>
      <c r="B13">
        <v>299.77189119749659</v>
      </c>
      <c r="C13">
        <v>1</v>
      </c>
      <c r="D13">
        <v>6</v>
      </c>
      <c r="E13">
        <v>3</v>
      </c>
      <c r="F13">
        <v>7</v>
      </c>
      <c r="G13">
        <v>4</v>
      </c>
      <c r="H13">
        <v>5</v>
      </c>
      <c r="I13">
        <v>10</v>
      </c>
      <c r="J13">
        <v>9</v>
      </c>
      <c r="K13">
        <v>8</v>
      </c>
      <c r="L13">
        <v>2</v>
      </c>
    </row>
    <row r="14" spans="1:103">
      <c r="A14">
        <v>28</v>
      </c>
      <c r="B14">
        <v>294.3170661645409</v>
      </c>
      <c r="C14">
        <v>1</v>
      </c>
      <c r="D14">
        <v>6</v>
      </c>
      <c r="E14">
        <v>7</v>
      </c>
      <c r="F14">
        <v>10</v>
      </c>
      <c r="G14">
        <v>3</v>
      </c>
      <c r="H14">
        <v>4</v>
      </c>
      <c r="I14">
        <v>9</v>
      </c>
      <c r="J14">
        <v>2</v>
      </c>
      <c r="K14">
        <v>5</v>
      </c>
      <c r="L14">
        <v>8</v>
      </c>
    </row>
    <row r="15" spans="1:103">
      <c r="A15">
        <v>47</v>
      </c>
      <c r="B15">
        <v>220.20032037634604</v>
      </c>
      <c r="C15">
        <v>1</v>
      </c>
      <c r="D15">
        <v>3</v>
      </c>
      <c r="E15">
        <v>7</v>
      </c>
      <c r="F15">
        <v>6</v>
      </c>
      <c r="G15">
        <v>4</v>
      </c>
      <c r="H15">
        <v>10</v>
      </c>
      <c r="I15">
        <v>5</v>
      </c>
      <c r="J15">
        <v>9</v>
      </c>
      <c r="K15">
        <v>8</v>
      </c>
      <c r="L15">
        <v>2</v>
      </c>
    </row>
    <row r="16" spans="1:103">
      <c r="A16">
        <v>17</v>
      </c>
      <c r="B16">
        <v>358.21704797244138</v>
      </c>
      <c r="C16">
        <v>1</v>
      </c>
      <c r="D16">
        <v>6</v>
      </c>
      <c r="E16">
        <v>3</v>
      </c>
      <c r="F16">
        <v>10</v>
      </c>
      <c r="G16">
        <v>4</v>
      </c>
      <c r="H16">
        <v>5</v>
      </c>
      <c r="I16">
        <v>9</v>
      </c>
      <c r="J16">
        <v>7</v>
      </c>
      <c r="K16">
        <v>2</v>
      </c>
      <c r="L16">
        <v>8</v>
      </c>
    </row>
    <row r="17" spans="1:12">
      <c r="A17">
        <v>45</v>
      </c>
      <c r="B17">
        <v>474.32979960402696</v>
      </c>
      <c r="C17">
        <v>1</v>
      </c>
      <c r="D17">
        <v>3</v>
      </c>
      <c r="E17">
        <v>6</v>
      </c>
      <c r="F17">
        <v>5</v>
      </c>
      <c r="G17">
        <v>8</v>
      </c>
      <c r="H17">
        <v>2</v>
      </c>
      <c r="I17">
        <v>4</v>
      </c>
      <c r="J17">
        <v>7</v>
      </c>
      <c r="K17">
        <v>9</v>
      </c>
      <c r="L17">
        <v>10</v>
      </c>
    </row>
    <row r="18" spans="1:12">
      <c r="A18">
        <v>15</v>
      </c>
      <c r="B18">
        <v>741.36218929908671</v>
      </c>
      <c r="C18">
        <v>1</v>
      </c>
      <c r="D18">
        <v>2</v>
      </c>
      <c r="E18">
        <v>10</v>
      </c>
      <c r="F18">
        <v>4</v>
      </c>
      <c r="G18">
        <v>3</v>
      </c>
      <c r="H18">
        <v>5</v>
      </c>
      <c r="I18">
        <v>6</v>
      </c>
      <c r="J18">
        <v>7</v>
      </c>
      <c r="K18">
        <v>8</v>
      </c>
      <c r="L18">
        <v>9</v>
      </c>
    </row>
    <row r="19" spans="1:12">
      <c r="A19">
        <v>34</v>
      </c>
      <c r="B19">
        <v>1064.2988749515266</v>
      </c>
      <c r="C19">
        <v>1</v>
      </c>
      <c r="D19">
        <v>8</v>
      </c>
      <c r="E19">
        <v>2</v>
      </c>
      <c r="F19">
        <v>7</v>
      </c>
      <c r="G19">
        <v>3</v>
      </c>
      <c r="H19">
        <v>4</v>
      </c>
      <c r="I19">
        <v>5</v>
      </c>
      <c r="J19">
        <v>6</v>
      </c>
      <c r="K19">
        <v>9</v>
      </c>
      <c r="L19">
        <v>10</v>
      </c>
    </row>
    <row r="20" spans="1:12">
      <c r="A20">
        <v>2</v>
      </c>
      <c r="B20">
        <v>592.12284512675569</v>
      </c>
      <c r="C20">
        <v>1</v>
      </c>
      <c r="D20">
        <v>7</v>
      </c>
      <c r="E20">
        <v>10</v>
      </c>
      <c r="F20">
        <v>5</v>
      </c>
      <c r="G20">
        <v>9</v>
      </c>
      <c r="H20">
        <v>3</v>
      </c>
      <c r="I20">
        <v>6</v>
      </c>
      <c r="J20">
        <v>8</v>
      </c>
      <c r="K20">
        <v>2</v>
      </c>
      <c r="L20">
        <v>4</v>
      </c>
    </row>
    <row r="21" spans="1:12">
      <c r="A21">
        <v>41</v>
      </c>
      <c r="B21">
        <v>314.2240951145148</v>
      </c>
      <c r="C21">
        <v>1</v>
      </c>
      <c r="D21">
        <v>6</v>
      </c>
      <c r="E21">
        <v>7</v>
      </c>
      <c r="F21">
        <v>10</v>
      </c>
      <c r="G21">
        <v>3</v>
      </c>
      <c r="H21">
        <v>5</v>
      </c>
      <c r="I21">
        <v>4</v>
      </c>
      <c r="J21">
        <v>2</v>
      </c>
      <c r="K21">
        <v>9</v>
      </c>
      <c r="L21">
        <v>8</v>
      </c>
    </row>
    <row r="22" spans="1:12">
      <c r="A22">
        <v>54</v>
      </c>
      <c r="B22">
        <v>987.06082813097896</v>
      </c>
      <c r="C22">
        <v>1</v>
      </c>
      <c r="D22">
        <v>2</v>
      </c>
      <c r="E22">
        <v>10</v>
      </c>
      <c r="F22">
        <v>9</v>
      </c>
      <c r="G22">
        <v>8</v>
      </c>
      <c r="H22">
        <v>3</v>
      </c>
      <c r="I22">
        <v>4</v>
      </c>
      <c r="J22">
        <v>7</v>
      </c>
      <c r="K22">
        <v>5</v>
      </c>
      <c r="L22">
        <v>6</v>
      </c>
    </row>
    <row r="23" spans="1:12">
      <c r="A23">
        <v>90</v>
      </c>
      <c r="B23">
        <v>675.24102895418923</v>
      </c>
      <c r="C23">
        <v>1</v>
      </c>
      <c r="D23">
        <v>4</v>
      </c>
      <c r="E23">
        <v>6</v>
      </c>
      <c r="F23">
        <v>5</v>
      </c>
      <c r="G23">
        <v>7</v>
      </c>
      <c r="H23">
        <v>3</v>
      </c>
      <c r="I23">
        <v>9</v>
      </c>
      <c r="J23">
        <v>8</v>
      </c>
      <c r="K23">
        <v>2</v>
      </c>
      <c r="L23">
        <v>10</v>
      </c>
    </row>
    <row r="24" spans="1:12">
      <c r="A24">
        <v>49</v>
      </c>
      <c r="B24">
        <v>714.56624787425221</v>
      </c>
      <c r="C24">
        <v>1</v>
      </c>
      <c r="D24">
        <v>4</v>
      </c>
      <c r="E24">
        <v>5</v>
      </c>
      <c r="F24">
        <v>7</v>
      </c>
      <c r="G24">
        <v>6</v>
      </c>
      <c r="H24">
        <v>8</v>
      </c>
      <c r="I24">
        <v>2</v>
      </c>
      <c r="J24">
        <v>3</v>
      </c>
      <c r="K24">
        <v>9</v>
      </c>
      <c r="L24">
        <v>10</v>
      </c>
    </row>
    <row r="25" spans="1:12">
      <c r="A25">
        <v>48</v>
      </c>
      <c r="B25">
        <v>359.85871950623715</v>
      </c>
      <c r="C25">
        <v>1</v>
      </c>
      <c r="D25">
        <v>3</v>
      </c>
      <c r="E25">
        <v>6</v>
      </c>
      <c r="F25">
        <v>10</v>
      </c>
      <c r="G25">
        <v>4</v>
      </c>
      <c r="H25">
        <v>5</v>
      </c>
      <c r="I25">
        <v>9</v>
      </c>
      <c r="J25">
        <v>7</v>
      </c>
      <c r="K25">
        <v>2</v>
      </c>
      <c r="L25">
        <v>8</v>
      </c>
    </row>
    <row r="26" spans="1:12">
      <c r="A26">
        <v>59</v>
      </c>
      <c r="B26">
        <v>838.7504220735791</v>
      </c>
      <c r="C26">
        <v>1</v>
      </c>
      <c r="D26">
        <v>5</v>
      </c>
      <c r="E26">
        <v>9</v>
      </c>
      <c r="F26">
        <v>4</v>
      </c>
      <c r="G26">
        <v>10</v>
      </c>
      <c r="H26">
        <v>8</v>
      </c>
      <c r="I26">
        <v>7</v>
      </c>
      <c r="J26">
        <v>2</v>
      </c>
      <c r="K26">
        <v>6</v>
      </c>
      <c r="L26">
        <v>3</v>
      </c>
    </row>
    <row r="27" spans="1:12">
      <c r="A27">
        <v>70</v>
      </c>
      <c r="B27">
        <v>267.35812823942121</v>
      </c>
      <c r="C27">
        <v>1</v>
      </c>
      <c r="D27">
        <v>6</v>
      </c>
      <c r="E27">
        <v>7</v>
      </c>
      <c r="F27">
        <v>3</v>
      </c>
      <c r="G27">
        <v>4</v>
      </c>
      <c r="H27">
        <v>10</v>
      </c>
      <c r="I27">
        <v>5</v>
      </c>
      <c r="J27">
        <v>9</v>
      </c>
      <c r="K27">
        <v>2</v>
      </c>
      <c r="L27">
        <v>8</v>
      </c>
    </row>
    <row r="28" spans="1:12">
      <c r="A28">
        <v>18</v>
      </c>
      <c r="B28">
        <v>269.70433670523374</v>
      </c>
      <c r="C28">
        <v>1</v>
      </c>
      <c r="D28">
        <v>6</v>
      </c>
      <c r="E28">
        <v>3</v>
      </c>
      <c r="F28">
        <v>7</v>
      </c>
      <c r="G28">
        <v>4</v>
      </c>
      <c r="H28">
        <v>10</v>
      </c>
      <c r="I28">
        <v>5</v>
      </c>
      <c r="J28">
        <v>2</v>
      </c>
      <c r="K28">
        <v>8</v>
      </c>
      <c r="L28">
        <v>9</v>
      </c>
    </row>
    <row r="29" spans="1:12">
      <c r="A29">
        <v>57</v>
      </c>
      <c r="B29">
        <v>278.31277749040464</v>
      </c>
      <c r="C29">
        <v>1</v>
      </c>
      <c r="D29">
        <v>3</v>
      </c>
      <c r="E29">
        <v>7</v>
      </c>
      <c r="F29">
        <v>6</v>
      </c>
      <c r="G29">
        <v>5</v>
      </c>
      <c r="H29">
        <v>4</v>
      </c>
      <c r="I29">
        <v>9</v>
      </c>
      <c r="J29">
        <v>8</v>
      </c>
      <c r="K29">
        <v>10</v>
      </c>
      <c r="L29">
        <v>2</v>
      </c>
    </row>
    <row r="30" spans="1:12">
      <c r="A30">
        <v>92</v>
      </c>
      <c r="B30">
        <v>748.36103501315711</v>
      </c>
      <c r="C30">
        <v>1</v>
      </c>
      <c r="D30">
        <v>7</v>
      </c>
      <c r="E30">
        <v>8</v>
      </c>
      <c r="F30">
        <v>10</v>
      </c>
      <c r="G30">
        <v>4</v>
      </c>
      <c r="H30">
        <v>9</v>
      </c>
      <c r="I30">
        <v>6</v>
      </c>
      <c r="J30">
        <v>2</v>
      </c>
      <c r="K30">
        <v>3</v>
      </c>
      <c r="L30">
        <v>5</v>
      </c>
    </row>
    <row r="31" spans="1:12">
      <c r="A31">
        <v>13</v>
      </c>
      <c r="B31">
        <v>723.57528965323866</v>
      </c>
      <c r="C31">
        <v>1</v>
      </c>
      <c r="D31">
        <v>7</v>
      </c>
      <c r="E31">
        <v>4</v>
      </c>
      <c r="F31">
        <v>8</v>
      </c>
      <c r="G31">
        <v>5</v>
      </c>
      <c r="H31">
        <v>6</v>
      </c>
      <c r="I31">
        <v>2</v>
      </c>
      <c r="J31">
        <v>9</v>
      </c>
      <c r="K31">
        <v>3</v>
      </c>
      <c r="L31">
        <v>10</v>
      </c>
    </row>
    <row r="32" spans="1:12">
      <c r="A32">
        <v>10</v>
      </c>
      <c r="B32">
        <v>710.45570664515014</v>
      </c>
      <c r="C32">
        <v>1</v>
      </c>
      <c r="D32">
        <v>7</v>
      </c>
      <c r="E32">
        <v>2</v>
      </c>
      <c r="F32">
        <v>5</v>
      </c>
      <c r="G32">
        <v>9</v>
      </c>
      <c r="H32">
        <v>6</v>
      </c>
      <c r="I32">
        <v>8</v>
      </c>
      <c r="J32">
        <v>4</v>
      </c>
      <c r="K32">
        <v>3</v>
      </c>
      <c r="L32">
        <v>10</v>
      </c>
    </row>
    <row r="33" spans="1:12">
      <c r="A33">
        <v>83</v>
      </c>
      <c r="B33">
        <v>299.93689841314017</v>
      </c>
      <c r="C33">
        <v>1</v>
      </c>
      <c r="D33">
        <v>3</v>
      </c>
      <c r="E33">
        <v>6</v>
      </c>
      <c r="F33">
        <v>10</v>
      </c>
      <c r="G33">
        <v>7</v>
      </c>
      <c r="H33">
        <v>4</v>
      </c>
      <c r="I33">
        <v>5</v>
      </c>
      <c r="J33">
        <v>9</v>
      </c>
      <c r="K33">
        <v>2</v>
      </c>
      <c r="L33">
        <v>8</v>
      </c>
    </row>
    <row r="34" spans="1:12">
      <c r="A34">
        <v>71</v>
      </c>
      <c r="B34">
        <v>855.07852226755563</v>
      </c>
      <c r="C34">
        <v>1</v>
      </c>
      <c r="D34">
        <v>10</v>
      </c>
      <c r="E34">
        <v>9</v>
      </c>
      <c r="F34">
        <v>2</v>
      </c>
      <c r="G34">
        <v>3</v>
      </c>
      <c r="H34">
        <v>8</v>
      </c>
      <c r="I34">
        <v>4</v>
      </c>
      <c r="J34">
        <v>6</v>
      </c>
      <c r="K34">
        <v>7</v>
      </c>
      <c r="L34">
        <v>5</v>
      </c>
    </row>
    <row r="35" spans="1:12">
      <c r="A35">
        <v>14</v>
      </c>
      <c r="B35">
        <v>954.00336765375607</v>
      </c>
      <c r="C35">
        <v>1</v>
      </c>
      <c r="D35">
        <v>2</v>
      </c>
      <c r="E35">
        <v>6</v>
      </c>
      <c r="F35">
        <v>4</v>
      </c>
      <c r="G35">
        <v>7</v>
      </c>
      <c r="H35">
        <v>5</v>
      </c>
      <c r="I35">
        <v>8</v>
      </c>
      <c r="J35">
        <v>9</v>
      </c>
      <c r="K35">
        <v>3</v>
      </c>
      <c r="L35">
        <v>10</v>
      </c>
    </row>
    <row r="36" spans="1:12">
      <c r="A36">
        <v>89</v>
      </c>
      <c r="B36">
        <v>897.50138556580805</v>
      </c>
      <c r="C36">
        <v>1</v>
      </c>
      <c r="D36">
        <v>8</v>
      </c>
      <c r="E36">
        <v>9</v>
      </c>
      <c r="F36">
        <v>10</v>
      </c>
      <c r="G36">
        <v>4</v>
      </c>
      <c r="H36">
        <v>3</v>
      </c>
      <c r="I36">
        <v>5</v>
      </c>
      <c r="J36">
        <v>2</v>
      </c>
      <c r="K36">
        <v>6</v>
      </c>
      <c r="L36">
        <v>7</v>
      </c>
    </row>
    <row r="37" spans="1:12">
      <c r="A37">
        <v>81</v>
      </c>
      <c r="B37">
        <v>669.4954825162564</v>
      </c>
      <c r="C37">
        <v>1</v>
      </c>
      <c r="D37">
        <v>3</v>
      </c>
      <c r="E37">
        <v>2</v>
      </c>
      <c r="F37">
        <v>5</v>
      </c>
      <c r="G37">
        <v>8</v>
      </c>
      <c r="H37">
        <v>9</v>
      </c>
      <c r="I37">
        <v>4</v>
      </c>
      <c r="J37">
        <v>10</v>
      </c>
      <c r="K37">
        <v>7</v>
      </c>
      <c r="L37">
        <v>6</v>
      </c>
    </row>
    <row r="38" spans="1:12">
      <c r="A38">
        <v>58</v>
      </c>
      <c r="B38">
        <v>601.53233699198756</v>
      </c>
      <c r="C38">
        <v>1</v>
      </c>
      <c r="D38">
        <v>7</v>
      </c>
      <c r="E38">
        <v>4</v>
      </c>
      <c r="F38">
        <v>10</v>
      </c>
      <c r="G38">
        <v>2</v>
      </c>
      <c r="H38">
        <v>9</v>
      </c>
      <c r="I38">
        <v>6</v>
      </c>
      <c r="J38">
        <v>3</v>
      </c>
      <c r="K38">
        <v>8</v>
      </c>
      <c r="L38">
        <v>5</v>
      </c>
    </row>
    <row r="39" spans="1:12">
      <c r="A39">
        <v>100</v>
      </c>
      <c r="B39">
        <v>509.67286126972306</v>
      </c>
      <c r="C39">
        <v>1</v>
      </c>
      <c r="D39">
        <v>7</v>
      </c>
      <c r="E39">
        <v>6</v>
      </c>
      <c r="F39">
        <v>8</v>
      </c>
      <c r="G39">
        <v>5</v>
      </c>
      <c r="H39">
        <v>9</v>
      </c>
      <c r="I39">
        <v>4</v>
      </c>
      <c r="J39">
        <v>10</v>
      </c>
      <c r="K39">
        <v>3</v>
      </c>
      <c r="L39">
        <v>2</v>
      </c>
    </row>
    <row r="40" spans="1:12">
      <c r="A40">
        <v>26</v>
      </c>
      <c r="B40">
        <v>752.97702699757474</v>
      </c>
      <c r="C40">
        <v>1</v>
      </c>
      <c r="D40">
        <v>5</v>
      </c>
      <c r="E40">
        <v>10</v>
      </c>
      <c r="F40">
        <v>2</v>
      </c>
      <c r="G40">
        <v>7</v>
      </c>
      <c r="H40">
        <v>9</v>
      </c>
      <c r="I40">
        <v>3</v>
      </c>
      <c r="J40">
        <v>4</v>
      </c>
      <c r="K40">
        <v>6</v>
      </c>
      <c r="L40">
        <v>8</v>
      </c>
    </row>
    <row r="41" spans="1:12">
      <c r="A41">
        <v>55</v>
      </c>
      <c r="B41">
        <v>763.81298992350639</v>
      </c>
      <c r="C41">
        <v>1</v>
      </c>
      <c r="D41">
        <v>4</v>
      </c>
      <c r="E41">
        <v>5</v>
      </c>
      <c r="F41">
        <v>6</v>
      </c>
      <c r="G41">
        <v>3</v>
      </c>
      <c r="H41">
        <v>7</v>
      </c>
      <c r="I41">
        <v>2</v>
      </c>
      <c r="J41">
        <v>8</v>
      </c>
      <c r="K41">
        <v>9</v>
      </c>
      <c r="L41">
        <v>10</v>
      </c>
    </row>
    <row r="42" spans="1:12">
      <c r="A42">
        <v>29</v>
      </c>
      <c r="B42">
        <v>798.07025575450791</v>
      </c>
      <c r="C42">
        <v>1</v>
      </c>
      <c r="D42">
        <v>2</v>
      </c>
      <c r="E42">
        <v>4</v>
      </c>
      <c r="F42">
        <v>10</v>
      </c>
      <c r="G42">
        <v>9</v>
      </c>
      <c r="H42">
        <v>6</v>
      </c>
      <c r="I42">
        <v>7</v>
      </c>
      <c r="J42">
        <v>3</v>
      </c>
      <c r="K42">
        <v>8</v>
      </c>
      <c r="L42">
        <v>5</v>
      </c>
    </row>
    <row r="43" spans="1:12">
      <c r="A43">
        <v>12</v>
      </c>
      <c r="B43">
        <v>621.22093005163447</v>
      </c>
      <c r="C43">
        <v>1</v>
      </c>
      <c r="D43">
        <v>4</v>
      </c>
      <c r="E43">
        <v>10</v>
      </c>
      <c r="F43">
        <v>7</v>
      </c>
      <c r="G43">
        <v>3</v>
      </c>
      <c r="H43">
        <v>8</v>
      </c>
      <c r="I43">
        <v>5</v>
      </c>
      <c r="J43">
        <v>9</v>
      </c>
      <c r="K43">
        <v>6</v>
      </c>
      <c r="L43">
        <v>2</v>
      </c>
    </row>
    <row r="44" spans="1:12">
      <c r="A44">
        <v>93</v>
      </c>
      <c r="B44">
        <v>334.18663855128364</v>
      </c>
      <c r="C44">
        <v>1</v>
      </c>
      <c r="D44">
        <v>6</v>
      </c>
      <c r="E44">
        <v>7</v>
      </c>
      <c r="F44">
        <v>3</v>
      </c>
      <c r="G44">
        <v>9</v>
      </c>
      <c r="H44">
        <v>4</v>
      </c>
      <c r="I44">
        <v>8</v>
      </c>
      <c r="J44">
        <v>10</v>
      </c>
      <c r="K44">
        <v>2</v>
      </c>
      <c r="L44">
        <v>5</v>
      </c>
    </row>
    <row r="45" spans="1:12">
      <c r="A45">
        <v>50</v>
      </c>
      <c r="B45">
        <v>307.36476279444094</v>
      </c>
      <c r="C45">
        <v>1</v>
      </c>
      <c r="D45">
        <v>3</v>
      </c>
      <c r="E45">
        <v>6</v>
      </c>
      <c r="F45">
        <v>10</v>
      </c>
      <c r="G45">
        <v>4</v>
      </c>
      <c r="H45">
        <v>7</v>
      </c>
      <c r="I45">
        <v>9</v>
      </c>
      <c r="J45">
        <v>5</v>
      </c>
      <c r="K45">
        <v>2</v>
      </c>
      <c r="L45">
        <v>8</v>
      </c>
    </row>
    <row r="46" spans="1:12">
      <c r="A46">
        <v>99</v>
      </c>
      <c r="B46">
        <v>375.74528069431284</v>
      </c>
      <c r="C46">
        <v>1</v>
      </c>
      <c r="D46">
        <v>3</v>
      </c>
      <c r="E46">
        <v>7</v>
      </c>
      <c r="F46">
        <v>10</v>
      </c>
      <c r="G46">
        <v>4</v>
      </c>
      <c r="H46">
        <v>5</v>
      </c>
      <c r="I46">
        <v>9</v>
      </c>
      <c r="J46">
        <v>2</v>
      </c>
      <c r="K46">
        <v>8</v>
      </c>
      <c r="L46">
        <v>6</v>
      </c>
    </row>
    <row r="47" spans="1:12">
      <c r="A47">
        <v>51</v>
      </c>
      <c r="B47">
        <v>730.7129367542733</v>
      </c>
      <c r="C47">
        <v>1</v>
      </c>
      <c r="D47">
        <v>2</v>
      </c>
      <c r="E47">
        <v>4</v>
      </c>
      <c r="F47">
        <v>10</v>
      </c>
      <c r="G47">
        <v>3</v>
      </c>
      <c r="H47">
        <v>5</v>
      </c>
      <c r="I47">
        <v>9</v>
      </c>
      <c r="J47">
        <v>7</v>
      </c>
      <c r="K47">
        <v>6</v>
      </c>
      <c r="L47">
        <v>8</v>
      </c>
    </row>
    <row r="48" spans="1:12">
      <c r="A48">
        <v>82</v>
      </c>
      <c r="B48">
        <v>622.91880167657496</v>
      </c>
      <c r="C48">
        <v>1</v>
      </c>
      <c r="D48">
        <v>6</v>
      </c>
      <c r="E48">
        <v>5</v>
      </c>
      <c r="F48">
        <v>9</v>
      </c>
      <c r="G48">
        <v>2</v>
      </c>
      <c r="H48">
        <v>3</v>
      </c>
      <c r="I48">
        <v>10</v>
      </c>
      <c r="J48">
        <v>7</v>
      </c>
      <c r="K48">
        <v>8</v>
      </c>
      <c r="L48">
        <v>4</v>
      </c>
    </row>
    <row r="49" spans="1:12">
      <c r="A49">
        <v>11</v>
      </c>
      <c r="B49">
        <v>320.82925459322831</v>
      </c>
      <c r="C49">
        <v>1</v>
      </c>
      <c r="D49">
        <v>6</v>
      </c>
      <c r="E49">
        <v>7</v>
      </c>
      <c r="F49">
        <v>10</v>
      </c>
      <c r="G49">
        <v>3</v>
      </c>
      <c r="H49">
        <v>4</v>
      </c>
      <c r="I49">
        <v>5</v>
      </c>
      <c r="J49">
        <v>9</v>
      </c>
      <c r="K49">
        <v>2</v>
      </c>
      <c r="L49">
        <v>8</v>
      </c>
    </row>
    <row r="50" spans="1:12">
      <c r="A50">
        <v>7</v>
      </c>
      <c r="B50">
        <v>550.03604795933541</v>
      </c>
      <c r="C50">
        <v>1</v>
      </c>
      <c r="D50">
        <v>9</v>
      </c>
      <c r="E50">
        <v>6</v>
      </c>
      <c r="F50">
        <v>4</v>
      </c>
      <c r="G50">
        <v>3</v>
      </c>
      <c r="H50">
        <v>5</v>
      </c>
      <c r="I50">
        <v>7</v>
      </c>
      <c r="J50">
        <v>10</v>
      </c>
      <c r="K50">
        <v>8</v>
      </c>
      <c r="L50">
        <v>2</v>
      </c>
    </row>
    <row r="51" spans="1:12">
      <c r="A51">
        <v>88</v>
      </c>
      <c r="B51">
        <v>232.02933627682904</v>
      </c>
      <c r="C51">
        <v>1</v>
      </c>
      <c r="D51">
        <v>3</v>
      </c>
      <c r="E51">
        <v>6</v>
      </c>
      <c r="F51">
        <v>7</v>
      </c>
      <c r="G51">
        <v>10</v>
      </c>
      <c r="H51">
        <v>4</v>
      </c>
      <c r="I51">
        <v>9</v>
      </c>
      <c r="J51">
        <v>2</v>
      </c>
      <c r="K51">
        <v>5</v>
      </c>
      <c r="L51">
        <v>8</v>
      </c>
    </row>
    <row r="52" spans="1:12">
      <c r="A52">
        <v>3</v>
      </c>
      <c r="B52">
        <v>812.855512999712</v>
      </c>
      <c r="C52">
        <v>1</v>
      </c>
      <c r="D52">
        <v>4</v>
      </c>
      <c r="E52">
        <v>2</v>
      </c>
      <c r="F52">
        <v>3</v>
      </c>
      <c r="G52">
        <v>9</v>
      </c>
      <c r="H52">
        <v>5</v>
      </c>
      <c r="I52">
        <v>6</v>
      </c>
      <c r="J52">
        <v>7</v>
      </c>
      <c r="K52">
        <v>8</v>
      </c>
      <c r="L52">
        <v>10</v>
      </c>
    </row>
    <row r="53" spans="1:12">
      <c r="A53">
        <v>52</v>
      </c>
      <c r="B53">
        <v>724.15351867437596</v>
      </c>
      <c r="C53">
        <v>1</v>
      </c>
      <c r="D53">
        <v>6</v>
      </c>
      <c r="E53">
        <v>2</v>
      </c>
      <c r="F53">
        <v>5</v>
      </c>
      <c r="G53">
        <v>8</v>
      </c>
      <c r="H53">
        <v>7</v>
      </c>
      <c r="I53">
        <v>9</v>
      </c>
      <c r="J53">
        <v>10</v>
      </c>
      <c r="K53">
        <v>3</v>
      </c>
      <c r="L53">
        <v>4</v>
      </c>
    </row>
    <row r="54" spans="1:12">
      <c r="A54">
        <v>73</v>
      </c>
      <c r="B54">
        <v>696.46744460737921</v>
      </c>
      <c r="C54">
        <v>1</v>
      </c>
      <c r="D54">
        <v>4</v>
      </c>
      <c r="E54">
        <v>5</v>
      </c>
      <c r="F54">
        <v>6</v>
      </c>
      <c r="G54">
        <v>7</v>
      </c>
      <c r="H54">
        <v>10</v>
      </c>
      <c r="I54">
        <v>9</v>
      </c>
      <c r="J54">
        <v>8</v>
      </c>
      <c r="K54">
        <v>2</v>
      </c>
      <c r="L54">
        <v>3</v>
      </c>
    </row>
    <row r="55" spans="1:12">
      <c r="A55">
        <v>78</v>
      </c>
      <c r="B55">
        <v>858.97146018269814</v>
      </c>
      <c r="C55">
        <v>1</v>
      </c>
      <c r="D55">
        <v>2</v>
      </c>
      <c r="E55">
        <v>4</v>
      </c>
      <c r="F55">
        <v>10</v>
      </c>
      <c r="G55">
        <v>9</v>
      </c>
      <c r="H55">
        <v>5</v>
      </c>
      <c r="I55">
        <v>6</v>
      </c>
      <c r="J55">
        <v>7</v>
      </c>
      <c r="K55">
        <v>3</v>
      </c>
      <c r="L55">
        <v>8</v>
      </c>
    </row>
    <row r="56" spans="1:12">
      <c r="A56">
        <v>91</v>
      </c>
      <c r="B56">
        <v>417.45771138655687</v>
      </c>
      <c r="C56">
        <v>1</v>
      </c>
      <c r="D56">
        <v>3</v>
      </c>
      <c r="E56">
        <v>6</v>
      </c>
      <c r="F56">
        <v>9</v>
      </c>
      <c r="G56">
        <v>2</v>
      </c>
      <c r="H56">
        <v>4</v>
      </c>
      <c r="I56">
        <v>10</v>
      </c>
      <c r="J56">
        <v>5</v>
      </c>
      <c r="K56">
        <v>7</v>
      </c>
      <c r="L56">
        <v>8</v>
      </c>
    </row>
    <row r="57" spans="1:12">
      <c r="A57">
        <v>98</v>
      </c>
      <c r="B57">
        <v>470.23573454184987</v>
      </c>
      <c r="C57">
        <v>1</v>
      </c>
      <c r="D57">
        <v>10</v>
      </c>
      <c r="E57">
        <v>7</v>
      </c>
      <c r="F57">
        <v>3</v>
      </c>
      <c r="G57">
        <v>5</v>
      </c>
      <c r="H57">
        <v>4</v>
      </c>
      <c r="I57">
        <v>2</v>
      </c>
      <c r="J57">
        <v>6</v>
      </c>
      <c r="K57">
        <v>8</v>
      </c>
      <c r="L57">
        <v>9</v>
      </c>
    </row>
    <row r="58" spans="1:12">
      <c r="A58">
        <v>80</v>
      </c>
      <c r="B58">
        <v>369.06422476182337</v>
      </c>
      <c r="C58">
        <v>1</v>
      </c>
      <c r="D58">
        <v>10</v>
      </c>
      <c r="E58">
        <v>6</v>
      </c>
      <c r="F58">
        <v>7</v>
      </c>
      <c r="G58">
        <v>3</v>
      </c>
      <c r="H58">
        <v>2</v>
      </c>
      <c r="I58">
        <v>4</v>
      </c>
      <c r="J58">
        <v>5</v>
      </c>
      <c r="K58">
        <v>8</v>
      </c>
      <c r="L58">
        <v>9</v>
      </c>
    </row>
    <row r="59" spans="1:12">
      <c r="A59">
        <v>66</v>
      </c>
      <c r="B59">
        <v>833.01480824242776</v>
      </c>
      <c r="C59">
        <v>1</v>
      </c>
      <c r="D59">
        <v>4</v>
      </c>
      <c r="E59">
        <v>2</v>
      </c>
      <c r="F59">
        <v>3</v>
      </c>
      <c r="G59">
        <v>9</v>
      </c>
      <c r="H59">
        <v>5</v>
      </c>
      <c r="I59">
        <v>6</v>
      </c>
      <c r="J59">
        <v>7</v>
      </c>
      <c r="K59">
        <v>10</v>
      </c>
      <c r="L59">
        <v>8</v>
      </c>
    </row>
    <row r="60" spans="1:12">
      <c r="A60">
        <v>6</v>
      </c>
      <c r="B60">
        <v>479.37705752606962</v>
      </c>
      <c r="C60">
        <v>1</v>
      </c>
      <c r="D60">
        <v>6</v>
      </c>
      <c r="E60">
        <v>7</v>
      </c>
      <c r="F60">
        <v>5</v>
      </c>
      <c r="G60">
        <v>4</v>
      </c>
      <c r="H60">
        <v>8</v>
      </c>
      <c r="I60">
        <v>9</v>
      </c>
      <c r="J60">
        <v>3</v>
      </c>
      <c r="K60">
        <v>10</v>
      </c>
      <c r="L60">
        <v>2</v>
      </c>
    </row>
    <row r="61" spans="1:12">
      <c r="A61">
        <v>75</v>
      </c>
      <c r="B61">
        <v>856.34600843903911</v>
      </c>
      <c r="C61">
        <v>1</v>
      </c>
      <c r="D61">
        <v>2</v>
      </c>
      <c r="E61">
        <v>9</v>
      </c>
      <c r="F61">
        <v>10</v>
      </c>
      <c r="G61">
        <v>4</v>
      </c>
      <c r="H61">
        <v>3</v>
      </c>
      <c r="I61">
        <v>5</v>
      </c>
      <c r="J61">
        <v>6</v>
      </c>
      <c r="K61">
        <v>7</v>
      </c>
      <c r="L61">
        <v>8</v>
      </c>
    </row>
    <row r="62" spans="1:12">
      <c r="A62">
        <v>61</v>
      </c>
      <c r="B62">
        <v>745.40122886824827</v>
      </c>
      <c r="C62">
        <v>1</v>
      </c>
      <c r="D62">
        <v>2</v>
      </c>
      <c r="E62">
        <v>4</v>
      </c>
      <c r="F62">
        <v>3</v>
      </c>
      <c r="G62">
        <v>9</v>
      </c>
      <c r="H62">
        <v>6</v>
      </c>
      <c r="I62">
        <v>7</v>
      </c>
      <c r="J62">
        <v>8</v>
      </c>
      <c r="K62">
        <v>5</v>
      </c>
      <c r="L62">
        <v>10</v>
      </c>
    </row>
    <row r="63" spans="1:12">
      <c r="A63">
        <v>42</v>
      </c>
      <c r="B63">
        <v>584.60242879932343</v>
      </c>
      <c r="C63">
        <v>1</v>
      </c>
      <c r="D63">
        <v>9</v>
      </c>
      <c r="E63">
        <v>6</v>
      </c>
      <c r="F63">
        <v>4</v>
      </c>
      <c r="G63">
        <v>10</v>
      </c>
      <c r="H63">
        <v>2</v>
      </c>
      <c r="I63">
        <v>5</v>
      </c>
      <c r="J63">
        <v>8</v>
      </c>
      <c r="K63">
        <v>7</v>
      </c>
      <c r="L63">
        <v>3</v>
      </c>
    </row>
    <row r="64" spans="1:12">
      <c r="A64">
        <v>44</v>
      </c>
      <c r="B64">
        <v>626.08270330224389</v>
      </c>
      <c r="C64">
        <v>1</v>
      </c>
      <c r="D64">
        <v>9</v>
      </c>
      <c r="E64">
        <v>4</v>
      </c>
      <c r="F64">
        <v>10</v>
      </c>
      <c r="G64">
        <v>6</v>
      </c>
      <c r="H64">
        <v>2</v>
      </c>
      <c r="I64">
        <v>3</v>
      </c>
      <c r="J64">
        <v>7</v>
      </c>
      <c r="K64">
        <v>8</v>
      </c>
      <c r="L64">
        <v>5</v>
      </c>
    </row>
    <row r="65" spans="1:12">
      <c r="A65">
        <v>63</v>
      </c>
      <c r="B65">
        <v>701.35040479585166</v>
      </c>
      <c r="C65">
        <v>1</v>
      </c>
      <c r="D65">
        <v>4</v>
      </c>
      <c r="E65">
        <v>2</v>
      </c>
      <c r="F65">
        <v>3</v>
      </c>
      <c r="G65">
        <v>10</v>
      </c>
      <c r="H65">
        <v>9</v>
      </c>
      <c r="I65">
        <v>6</v>
      </c>
      <c r="J65">
        <v>7</v>
      </c>
      <c r="K65">
        <v>5</v>
      </c>
      <c r="L65">
        <v>8</v>
      </c>
    </row>
    <row r="66" spans="1:12">
      <c r="A66">
        <v>9</v>
      </c>
      <c r="B66">
        <v>666.11238129406001</v>
      </c>
      <c r="C66">
        <v>1</v>
      </c>
      <c r="D66">
        <v>6</v>
      </c>
      <c r="E66">
        <v>8</v>
      </c>
      <c r="F66">
        <v>7</v>
      </c>
      <c r="G66">
        <v>9</v>
      </c>
      <c r="H66">
        <v>10</v>
      </c>
      <c r="I66">
        <v>2</v>
      </c>
      <c r="J66">
        <v>3</v>
      </c>
      <c r="K66">
        <v>4</v>
      </c>
      <c r="L66">
        <v>5</v>
      </c>
    </row>
    <row r="67" spans="1:12">
      <c r="A67">
        <v>96</v>
      </c>
      <c r="B67">
        <v>556.53982633484225</v>
      </c>
      <c r="C67">
        <v>1</v>
      </c>
      <c r="D67">
        <v>6</v>
      </c>
      <c r="E67">
        <v>10</v>
      </c>
      <c r="F67">
        <v>2</v>
      </c>
      <c r="G67">
        <v>4</v>
      </c>
      <c r="H67">
        <v>3</v>
      </c>
      <c r="I67">
        <v>5</v>
      </c>
      <c r="J67">
        <v>8</v>
      </c>
      <c r="K67">
        <v>7</v>
      </c>
      <c r="L67">
        <v>9</v>
      </c>
    </row>
    <row r="68" spans="1:12">
      <c r="A68">
        <v>24</v>
      </c>
      <c r="B68">
        <v>803.14844413619539</v>
      </c>
      <c r="C68">
        <v>1</v>
      </c>
      <c r="D68">
        <v>9</v>
      </c>
      <c r="E68">
        <v>6</v>
      </c>
      <c r="F68">
        <v>2</v>
      </c>
      <c r="G68">
        <v>7</v>
      </c>
      <c r="H68">
        <v>8</v>
      </c>
      <c r="I68">
        <v>10</v>
      </c>
      <c r="J68">
        <v>4</v>
      </c>
      <c r="K68">
        <v>3</v>
      </c>
      <c r="L68">
        <v>5</v>
      </c>
    </row>
    <row r="69" spans="1:12">
      <c r="A69">
        <v>16</v>
      </c>
      <c r="B69">
        <v>832.22360553961596</v>
      </c>
      <c r="C69">
        <v>1</v>
      </c>
      <c r="D69">
        <v>4</v>
      </c>
      <c r="E69">
        <v>10</v>
      </c>
      <c r="F69">
        <v>2</v>
      </c>
      <c r="G69">
        <v>9</v>
      </c>
      <c r="H69">
        <v>5</v>
      </c>
      <c r="I69">
        <v>7</v>
      </c>
      <c r="J69">
        <v>8</v>
      </c>
      <c r="K69">
        <v>3</v>
      </c>
      <c r="L69">
        <v>6</v>
      </c>
    </row>
    <row r="70" spans="1:12">
      <c r="A70">
        <v>35</v>
      </c>
      <c r="B70">
        <v>802.79839763269365</v>
      </c>
      <c r="C70">
        <v>1</v>
      </c>
      <c r="D70">
        <v>2</v>
      </c>
      <c r="E70">
        <v>9</v>
      </c>
      <c r="F70">
        <v>4</v>
      </c>
      <c r="G70">
        <v>3</v>
      </c>
      <c r="H70">
        <v>10</v>
      </c>
      <c r="I70">
        <v>6</v>
      </c>
      <c r="J70">
        <v>7</v>
      </c>
      <c r="K70">
        <v>5</v>
      </c>
      <c r="L70">
        <v>8</v>
      </c>
    </row>
    <row r="71" spans="1:12">
      <c r="A71">
        <v>43</v>
      </c>
      <c r="B71">
        <v>299.02648964510138</v>
      </c>
      <c r="C71">
        <v>1</v>
      </c>
      <c r="D71">
        <v>6</v>
      </c>
      <c r="E71">
        <v>3</v>
      </c>
      <c r="F71">
        <v>7</v>
      </c>
      <c r="G71">
        <v>10</v>
      </c>
      <c r="H71">
        <v>5</v>
      </c>
      <c r="I71">
        <v>9</v>
      </c>
      <c r="J71">
        <v>4</v>
      </c>
      <c r="K71">
        <v>2</v>
      </c>
      <c r="L71">
        <v>8</v>
      </c>
    </row>
    <row r="72" spans="1:12">
      <c r="A72">
        <v>5</v>
      </c>
      <c r="B72">
        <v>730.07176184413652</v>
      </c>
      <c r="C72">
        <v>1</v>
      </c>
      <c r="D72">
        <v>7</v>
      </c>
      <c r="E72">
        <v>8</v>
      </c>
      <c r="F72">
        <v>9</v>
      </c>
      <c r="G72">
        <v>10</v>
      </c>
      <c r="H72">
        <v>2</v>
      </c>
      <c r="I72">
        <v>4</v>
      </c>
      <c r="J72">
        <v>3</v>
      </c>
      <c r="K72">
        <v>5</v>
      </c>
      <c r="L72">
        <v>6</v>
      </c>
    </row>
    <row r="73" spans="1:12">
      <c r="A73">
        <v>62</v>
      </c>
      <c r="B73">
        <v>293.33919559713229</v>
      </c>
      <c r="C73">
        <v>1</v>
      </c>
      <c r="D73">
        <v>3</v>
      </c>
      <c r="E73">
        <v>7</v>
      </c>
      <c r="F73">
        <v>10</v>
      </c>
      <c r="G73">
        <v>4</v>
      </c>
      <c r="H73">
        <v>6</v>
      </c>
      <c r="I73">
        <v>9</v>
      </c>
      <c r="J73">
        <v>5</v>
      </c>
      <c r="K73">
        <v>8</v>
      </c>
      <c r="L73">
        <v>2</v>
      </c>
    </row>
    <row r="74" spans="1:12">
      <c r="A74">
        <v>1</v>
      </c>
      <c r="B74">
        <v>805.23265429805019</v>
      </c>
      <c r="C74">
        <v>1</v>
      </c>
      <c r="D74">
        <v>2</v>
      </c>
      <c r="E74">
        <v>10</v>
      </c>
      <c r="F74">
        <v>3</v>
      </c>
      <c r="G74">
        <v>9</v>
      </c>
      <c r="H74">
        <v>4</v>
      </c>
      <c r="I74">
        <v>7</v>
      </c>
      <c r="J74">
        <v>8</v>
      </c>
      <c r="K74">
        <v>5</v>
      </c>
      <c r="L74">
        <v>6</v>
      </c>
    </row>
    <row r="75" spans="1:12">
      <c r="A75">
        <v>36</v>
      </c>
      <c r="B75">
        <v>928.60905059714639</v>
      </c>
      <c r="C75">
        <v>1</v>
      </c>
      <c r="D75">
        <v>8</v>
      </c>
      <c r="E75">
        <v>9</v>
      </c>
      <c r="F75">
        <v>3</v>
      </c>
      <c r="G75">
        <v>6</v>
      </c>
      <c r="H75">
        <v>7</v>
      </c>
      <c r="I75">
        <v>2</v>
      </c>
      <c r="J75">
        <v>10</v>
      </c>
      <c r="K75">
        <v>4</v>
      </c>
      <c r="L75">
        <v>5</v>
      </c>
    </row>
    <row r="76" spans="1:12">
      <c r="A76">
        <v>95</v>
      </c>
      <c r="B76">
        <v>424.36627531988842</v>
      </c>
      <c r="C76">
        <v>1</v>
      </c>
      <c r="D76">
        <v>7</v>
      </c>
      <c r="E76">
        <v>3</v>
      </c>
      <c r="F76">
        <v>4</v>
      </c>
      <c r="G76">
        <v>2</v>
      </c>
      <c r="H76">
        <v>5</v>
      </c>
      <c r="I76">
        <v>6</v>
      </c>
      <c r="J76">
        <v>8</v>
      </c>
      <c r="K76">
        <v>9</v>
      </c>
      <c r="L76">
        <v>10</v>
      </c>
    </row>
    <row r="77" spans="1:12">
      <c r="A77">
        <v>27</v>
      </c>
      <c r="B77">
        <v>863.40531763468562</v>
      </c>
      <c r="C77">
        <v>1</v>
      </c>
      <c r="D77">
        <v>2</v>
      </c>
      <c r="E77">
        <v>3</v>
      </c>
      <c r="F77">
        <v>4</v>
      </c>
      <c r="G77">
        <v>5</v>
      </c>
      <c r="H77">
        <v>7</v>
      </c>
      <c r="I77">
        <v>9</v>
      </c>
      <c r="J77">
        <v>10</v>
      </c>
      <c r="K77">
        <v>8</v>
      </c>
      <c r="L77">
        <v>6</v>
      </c>
    </row>
    <row r="78" spans="1:12">
      <c r="A78">
        <v>97</v>
      </c>
      <c r="B78">
        <v>710.24778728641172</v>
      </c>
      <c r="C78">
        <v>1</v>
      </c>
      <c r="D78">
        <v>5</v>
      </c>
      <c r="E78">
        <v>2</v>
      </c>
      <c r="F78">
        <v>3</v>
      </c>
      <c r="G78">
        <v>4</v>
      </c>
      <c r="H78">
        <v>6</v>
      </c>
      <c r="I78">
        <v>7</v>
      </c>
      <c r="J78">
        <v>8</v>
      </c>
      <c r="K78">
        <v>9</v>
      </c>
      <c r="L78">
        <v>10</v>
      </c>
    </row>
    <row r="79" spans="1:12">
      <c r="A79">
        <v>79</v>
      </c>
      <c r="B79">
        <v>325.45255345376682</v>
      </c>
      <c r="C79">
        <v>1</v>
      </c>
      <c r="D79">
        <v>6</v>
      </c>
      <c r="E79">
        <v>3</v>
      </c>
      <c r="F79">
        <v>7</v>
      </c>
      <c r="G79">
        <v>4</v>
      </c>
      <c r="H79">
        <v>5</v>
      </c>
      <c r="I79">
        <v>9</v>
      </c>
      <c r="J79">
        <v>10</v>
      </c>
      <c r="K79">
        <v>2</v>
      </c>
      <c r="L79">
        <v>8</v>
      </c>
    </row>
    <row r="80" spans="1:12">
      <c r="A80">
        <v>65</v>
      </c>
      <c r="B80">
        <v>441.33228810333833</v>
      </c>
      <c r="C80">
        <v>1</v>
      </c>
      <c r="D80">
        <v>10</v>
      </c>
      <c r="E80">
        <v>3</v>
      </c>
      <c r="F80">
        <v>4</v>
      </c>
      <c r="G80">
        <v>9</v>
      </c>
      <c r="H80">
        <v>5</v>
      </c>
      <c r="I80">
        <v>6</v>
      </c>
      <c r="J80">
        <v>7</v>
      </c>
      <c r="K80">
        <v>8</v>
      </c>
      <c r="L80">
        <v>2</v>
      </c>
    </row>
    <row r="81" spans="1:12">
      <c r="A81">
        <v>87</v>
      </c>
      <c r="B81">
        <v>495.25532473209665</v>
      </c>
      <c r="C81">
        <v>1</v>
      </c>
      <c r="D81">
        <v>7</v>
      </c>
      <c r="E81">
        <v>10</v>
      </c>
      <c r="F81">
        <v>4</v>
      </c>
      <c r="G81">
        <v>9</v>
      </c>
      <c r="H81">
        <v>6</v>
      </c>
      <c r="I81">
        <v>8</v>
      </c>
      <c r="J81">
        <v>3</v>
      </c>
      <c r="K81">
        <v>2</v>
      </c>
      <c r="L81">
        <v>5</v>
      </c>
    </row>
    <row r="82" spans="1:12">
      <c r="A82">
        <v>40</v>
      </c>
      <c r="B82">
        <v>439.27353989076863</v>
      </c>
      <c r="C82">
        <v>1</v>
      </c>
      <c r="D82">
        <v>3</v>
      </c>
      <c r="E82">
        <v>4</v>
      </c>
      <c r="F82">
        <v>6</v>
      </c>
      <c r="G82">
        <v>2</v>
      </c>
      <c r="H82">
        <v>10</v>
      </c>
      <c r="I82">
        <v>5</v>
      </c>
      <c r="J82">
        <v>8</v>
      </c>
      <c r="K82">
        <v>7</v>
      </c>
      <c r="L82">
        <v>9</v>
      </c>
    </row>
    <row r="83" spans="1:12">
      <c r="A83">
        <v>94</v>
      </c>
      <c r="B83">
        <v>839.64271004206614</v>
      </c>
      <c r="C83">
        <v>1</v>
      </c>
      <c r="D83">
        <v>2</v>
      </c>
      <c r="E83">
        <v>3</v>
      </c>
      <c r="F83">
        <v>4</v>
      </c>
      <c r="G83">
        <v>9</v>
      </c>
      <c r="H83">
        <v>8</v>
      </c>
      <c r="I83">
        <v>6</v>
      </c>
      <c r="J83">
        <v>5</v>
      </c>
      <c r="K83">
        <v>10</v>
      </c>
      <c r="L83">
        <v>7</v>
      </c>
    </row>
    <row r="84" spans="1:12">
      <c r="A84">
        <v>72</v>
      </c>
      <c r="B84">
        <v>317.54543352812266</v>
      </c>
      <c r="C84">
        <v>1</v>
      </c>
      <c r="D84">
        <v>6</v>
      </c>
      <c r="E84">
        <v>3</v>
      </c>
      <c r="F84">
        <v>10</v>
      </c>
      <c r="G84">
        <v>4</v>
      </c>
      <c r="H84">
        <v>5</v>
      </c>
      <c r="I84">
        <v>9</v>
      </c>
      <c r="J84">
        <v>7</v>
      </c>
      <c r="K84">
        <v>8</v>
      </c>
      <c r="L84">
        <v>2</v>
      </c>
    </row>
    <row r="85" spans="1:12">
      <c r="A85">
        <v>22</v>
      </c>
      <c r="B85">
        <v>718.18265386968767</v>
      </c>
      <c r="C85">
        <v>1</v>
      </c>
      <c r="D85">
        <v>2</v>
      </c>
      <c r="E85">
        <v>10</v>
      </c>
      <c r="F85">
        <v>3</v>
      </c>
      <c r="G85">
        <v>4</v>
      </c>
      <c r="H85">
        <v>9</v>
      </c>
      <c r="I85">
        <v>6</v>
      </c>
      <c r="J85">
        <v>8</v>
      </c>
      <c r="K85">
        <v>5</v>
      </c>
      <c r="L85">
        <v>7</v>
      </c>
    </row>
    <row r="86" spans="1:12">
      <c r="A86">
        <v>39</v>
      </c>
      <c r="B86">
        <v>518.85346987545313</v>
      </c>
      <c r="C86">
        <v>1</v>
      </c>
      <c r="D86">
        <v>3</v>
      </c>
      <c r="E86">
        <v>4</v>
      </c>
      <c r="F86">
        <v>9</v>
      </c>
      <c r="G86">
        <v>10</v>
      </c>
      <c r="H86">
        <v>6</v>
      </c>
      <c r="I86">
        <v>2</v>
      </c>
      <c r="J86">
        <v>8</v>
      </c>
      <c r="K86">
        <v>5</v>
      </c>
      <c r="L86">
        <v>7</v>
      </c>
    </row>
    <row r="87" spans="1:12">
      <c r="A87">
        <v>21</v>
      </c>
      <c r="B87">
        <v>732.12539347254096</v>
      </c>
      <c r="C87">
        <v>1</v>
      </c>
      <c r="D87">
        <v>10</v>
      </c>
      <c r="E87">
        <v>4</v>
      </c>
      <c r="F87">
        <v>6</v>
      </c>
      <c r="G87">
        <v>2</v>
      </c>
      <c r="H87">
        <v>9</v>
      </c>
      <c r="I87">
        <v>3</v>
      </c>
      <c r="J87">
        <v>8</v>
      </c>
      <c r="K87">
        <v>5</v>
      </c>
      <c r="L87">
        <v>7</v>
      </c>
    </row>
    <row r="88" spans="1:12">
      <c r="A88">
        <v>46</v>
      </c>
      <c r="B88">
        <v>596.26137011160006</v>
      </c>
      <c r="C88">
        <v>1</v>
      </c>
      <c r="D88">
        <v>3</v>
      </c>
      <c r="E88">
        <v>4</v>
      </c>
      <c r="F88">
        <v>9</v>
      </c>
      <c r="G88">
        <v>8</v>
      </c>
      <c r="H88">
        <v>2</v>
      </c>
      <c r="I88">
        <v>10</v>
      </c>
      <c r="J88">
        <v>5</v>
      </c>
      <c r="K88">
        <v>6</v>
      </c>
      <c r="L88">
        <v>7</v>
      </c>
    </row>
    <row r="89" spans="1:12">
      <c r="A89">
        <v>56</v>
      </c>
      <c r="B89">
        <v>581.52303534647217</v>
      </c>
      <c r="C89">
        <v>1</v>
      </c>
      <c r="D89">
        <v>4</v>
      </c>
      <c r="E89">
        <v>10</v>
      </c>
      <c r="F89">
        <v>3</v>
      </c>
      <c r="G89">
        <v>2</v>
      </c>
      <c r="H89">
        <v>5</v>
      </c>
      <c r="I89">
        <v>9</v>
      </c>
      <c r="J89">
        <v>7</v>
      </c>
      <c r="K89">
        <v>8</v>
      </c>
      <c r="L89">
        <v>6</v>
      </c>
    </row>
    <row r="90" spans="1:12">
      <c r="A90">
        <v>53</v>
      </c>
      <c r="B90">
        <v>661.40502693986468</v>
      </c>
      <c r="C90">
        <v>1</v>
      </c>
      <c r="D90">
        <v>4</v>
      </c>
      <c r="E90">
        <v>5</v>
      </c>
      <c r="F90">
        <v>6</v>
      </c>
      <c r="G90">
        <v>8</v>
      </c>
      <c r="H90">
        <v>7</v>
      </c>
      <c r="I90">
        <v>9</v>
      </c>
      <c r="J90">
        <v>10</v>
      </c>
      <c r="K90">
        <v>2</v>
      </c>
      <c r="L90">
        <v>3</v>
      </c>
    </row>
    <row r="91" spans="1:12">
      <c r="A91">
        <v>74</v>
      </c>
      <c r="B91">
        <v>891.79647699224279</v>
      </c>
      <c r="C91">
        <v>1</v>
      </c>
      <c r="D91">
        <v>5</v>
      </c>
      <c r="E91">
        <v>9</v>
      </c>
      <c r="F91">
        <v>2</v>
      </c>
      <c r="G91">
        <v>6</v>
      </c>
      <c r="H91">
        <v>3</v>
      </c>
      <c r="I91">
        <v>7</v>
      </c>
      <c r="J91">
        <v>8</v>
      </c>
      <c r="K91">
        <v>10</v>
      </c>
      <c r="L91">
        <v>4</v>
      </c>
    </row>
    <row r="92" spans="1:12">
      <c r="A92">
        <v>64</v>
      </c>
      <c r="B92">
        <v>727.98505747043453</v>
      </c>
      <c r="C92">
        <v>1</v>
      </c>
      <c r="D92">
        <v>5</v>
      </c>
      <c r="E92">
        <v>6</v>
      </c>
      <c r="F92">
        <v>7</v>
      </c>
      <c r="G92">
        <v>9</v>
      </c>
      <c r="H92">
        <v>8</v>
      </c>
      <c r="I92">
        <v>10</v>
      </c>
      <c r="J92">
        <v>2</v>
      </c>
      <c r="K92">
        <v>3</v>
      </c>
      <c r="L92">
        <v>4</v>
      </c>
    </row>
    <row r="93" spans="1:12">
      <c r="A93">
        <v>86</v>
      </c>
      <c r="B93">
        <v>845.12702182434123</v>
      </c>
      <c r="C93">
        <v>1</v>
      </c>
      <c r="D93">
        <v>2</v>
      </c>
      <c r="E93">
        <v>9</v>
      </c>
      <c r="F93">
        <v>10</v>
      </c>
      <c r="G93">
        <v>4</v>
      </c>
      <c r="H93">
        <v>3</v>
      </c>
      <c r="I93">
        <v>7</v>
      </c>
      <c r="J93">
        <v>6</v>
      </c>
      <c r="K93">
        <v>5</v>
      </c>
      <c r="L93">
        <v>8</v>
      </c>
    </row>
    <row r="94" spans="1:12">
      <c r="A94">
        <v>38</v>
      </c>
      <c r="B94">
        <v>614.55498413491512</v>
      </c>
      <c r="C94">
        <v>1</v>
      </c>
      <c r="D94">
        <v>4</v>
      </c>
      <c r="E94">
        <v>10</v>
      </c>
      <c r="F94">
        <v>5</v>
      </c>
      <c r="G94">
        <v>6</v>
      </c>
      <c r="H94">
        <v>2</v>
      </c>
      <c r="I94">
        <v>3</v>
      </c>
      <c r="J94">
        <v>7</v>
      </c>
      <c r="K94">
        <v>8</v>
      </c>
      <c r="L94">
        <v>9</v>
      </c>
    </row>
    <row r="95" spans="1:12">
      <c r="A95">
        <v>69</v>
      </c>
      <c r="B95">
        <v>703.8657809175337</v>
      </c>
      <c r="C95">
        <v>1</v>
      </c>
      <c r="D95">
        <v>2</v>
      </c>
      <c r="E95">
        <v>10</v>
      </c>
      <c r="F95">
        <v>3</v>
      </c>
      <c r="G95">
        <v>4</v>
      </c>
      <c r="H95">
        <v>5</v>
      </c>
      <c r="I95">
        <v>6</v>
      </c>
      <c r="J95">
        <v>7</v>
      </c>
      <c r="K95">
        <v>9</v>
      </c>
      <c r="L95">
        <v>8</v>
      </c>
    </row>
    <row r="96" spans="1:12">
      <c r="A96">
        <v>31</v>
      </c>
      <c r="B96">
        <v>640.41296936467745</v>
      </c>
      <c r="C96">
        <v>1</v>
      </c>
      <c r="D96">
        <v>3</v>
      </c>
      <c r="E96">
        <v>2</v>
      </c>
      <c r="F96">
        <v>5</v>
      </c>
      <c r="G96">
        <v>9</v>
      </c>
      <c r="H96">
        <v>4</v>
      </c>
      <c r="I96">
        <v>6</v>
      </c>
      <c r="J96">
        <v>7</v>
      </c>
      <c r="K96">
        <v>8</v>
      </c>
      <c r="L96">
        <v>10</v>
      </c>
    </row>
    <row r="97" spans="1:12">
      <c r="A97">
        <v>84</v>
      </c>
      <c r="B97">
        <v>898.46991513104979</v>
      </c>
      <c r="C97">
        <v>1</v>
      </c>
      <c r="D97">
        <v>8</v>
      </c>
      <c r="E97">
        <v>6</v>
      </c>
      <c r="F97">
        <v>3</v>
      </c>
      <c r="G97">
        <v>7</v>
      </c>
      <c r="H97">
        <v>10</v>
      </c>
      <c r="I97">
        <v>2</v>
      </c>
      <c r="J97">
        <v>4</v>
      </c>
      <c r="K97">
        <v>9</v>
      </c>
      <c r="L97">
        <v>5</v>
      </c>
    </row>
    <row r="98" spans="1:12">
      <c r="A98">
        <v>32</v>
      </c>
      <c r="B98">
        <v>820.14611147216829</v>
      </c>
      <c r="C98">
        <v>1</v>
      </c>
      <c r="D98">
        <v>10</v>
      </c>
      <c r="E98">
        <v>2</v>
      </c>
      <c r="F98">
        <v>9</v>
      </c>
      <c r="G98">
        <v>3</v>
      </c>
      <c r="H98">
        <v>5</v>
      </c>
      <c r="I98">
        <v>4</v>
      </c>
      <c r="J98">
        <v>6</v>
      </c>
      <c r="K98">
        <v>7</v>
      </c>
      <c r="L98">
        <v>8</v>
      </c>
    </row>
    <row r="99" spans="1:12">
      <c r="A99">
        <v>25</v>
      </c>
      <c r="B99">
        <v>616.82564560670301</v>
      </c>
      <c r="C99">
        <v>1</v>
      </c>
      <c r="D99">
        <v>9</v>
      </c>
      <c r="E99">
        <v>6</v>
      </c>
      <c r="F99">
        <v>2</v>
      </c>
      <c r="G99">
        <v>10</v>
      </c>
      <c r="H99">
        <v>3</v>
      </c>
      <c r="I99">
        <v>4</v>
      </c>
      <c r="J99">
        <v>7</v>
      </c>
      <c r="K99">
        <v>5</v>
      </c>
      <c r="L99">
        <v>8</v>
      </c>
    </row>
    <row r="100" spans="1:12">
      <c r="A100">
        <v>68</v>
      </c>
      <c r="B100">
        <v>236.14670682034944</v>
      </c>
      <c r="C100">
        <v>1</v>
      </c>
      <c r="D100">
        <v>3</v>
      </c>
      <c r="E100">
        <v>7</v>
      </c>
      <c r="F100">
        <v>6</v>
      </c>
      <c r="G100">
        <v>10</v>
      </c>
      <c r="H100">
        <v>5</v>
      </c>
      <c r="I100">
        <v>4</v>
      </c>
      <c r="J100">
        <v>9</v>
      </c>
      <c r="K100">
        <v>8</v>
      </c>
      <c r="L100">
        <v>2</v>
      </c>
    </row>
    <row r="101" spans="1:12">
      <c r="A101">
        <v>77</v>
      </c>
      <c r="B101">
        <v>532.73721500170166</v>
      </c>
      <c r="C101">
        <v>1</v>
      </c>
      <c r="D101">
        <v>6</v>
      </c>
      <c r="E101">
        <v>9</v>
      </c>
      <c r="F101">
        <v>7</v>
      </c>
      <c r="G101">
        <v>8</v>
      </c>
      <c r="H101">
        <v>3</v>
      </c>
      <c r="I101">
        <v>10</v>
      </c>
      <c r="J101">
        <v>2</v>
      </c>
      <c r="K101">
        <v>4</v>
      </c>
      <c r="L101">
        <v>5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P10"/>
  <sheetViews>
    <sheetView workbookViewId="0">
      <selection activeCell="L9" sqref="L9"/>
    </sheetView>
  </sheetViews>
  <sheetFormatPr defaultColWidth="11.5546875" defaultRowHeight="14.4" zeroHeight="1"/>
  <cols>
    <col min="43" max="256" width="0" hidden="1" customWidth="1"/>
  </cols>
  <sheetData>
    <row r="1" spans="1:42">
      <c r="A1" s="20" t="s">
        <v>170</v>
      </c>
      <c r="B1" s="21">
        <v>1</v>
      </c>
      <c r="C1" s="21">
        <v>32</v>
      </c>
      <c r="D1" s="21">
        <v>28</v>
      </c>
      <c r="E1" s="21">
        <v>35</v>
      </c>
      <c r="F1" s="21">
        <v>34</v>
      </c>
      <c r="G1" s="21">
        <v>3</v>
      </c>
      <c r="H1" s="21">
        <v>30</v>
      </c>
      <c r="I1" s="21">
        <v>14</v>
      </c>
      <c r="J1" s="21">
        <v>19</v>
      </c>
      <c r="K1" s="21">
        <v>12</v>
      </c>
      <c r="L1" s="21">
        <v>33</v>
      </c>
      <c r="M1" s="21">
        <v>6</v>
      </c>
      <c r="N1" s="21">
        <v>21</v>
      </c>
      <c r="O1" s="21">
        <v>31</v>
      </c>
      <c r="P1" s="21">
        <v>39</v>
      </c>
      <c r="Q1" s="21">
        <v>29</v>
      </c>
      <c r="R1" s="21">
        <v>23</v>
      </c>
      <c r="S1" s="21">
        <v>22</v>
      </c>
      <c r="T1" s="21">
        <v>7</v>
      </c>
      <c r="U1" s="21">
        <v>16</v>
      </c>
      <c r="V1" s="21">
        <v>11</v>
      </c>
      <c r="W1" s="11">
        <v>24</v>
      </c>
      <c r="X1" s="11">
        <v>15</v>
      </c>
      <c r="Y1" s="11">
        <v>37</v>
      </c>
      <c r="Z1" s="11">
        <v>38</v>
      </c>
      <c r="AA1" s="11">
        <v>26</v>
      </c>
      <c r="AB1" s="11">
        <v>18</v>
      </c>
      <c r="AC1" s="11">
        <v>4</v>
      </c>
      <c r="AD1" s="11">
        <v>10</v>
      </c>
      <c r="AE1" s="11">
        <v>27</v>
      </c>
      <c r="AF1" s="11">
        <v>25</v>
      </c>
      <c r="AG1" s="11">
        <v>17</v>
      </c>
      <c r="AH1" s="11">
        <v>20</v>
      </c>
      <c r="AI1" s="11">
        <v>9</v>
      </c>
      <c r="AJ1" s="11">
        <v>40</v>
      </c>
      <c r="AK1" s="11">
        <v>36</v>
      </c>
      <c r="AL1" s="11">
        <v>8</v>
      </c>
      <c r="AM1" s="11">
        <v>5</v>
      </c>
      <c r="AN1" s="11">
        <v>2</v>
      </c>
      <c r="AO1" s="11">
        <v>13</v>
      </c>
      <c r="AP1" s="11">
        <v>1</v>
      </c>
    </row>
    <row r="2" spans="1:42">
      <c r="A2" s="20" t="s">
        <v>171</v>
      </c>
      <c r="B2" s="23">
        <f>_xlfn.IFNA(VLOOKUP(B1,DATA!$A$3:$F$103,5,),"")</f>
        <v>0</v>
      </c>
      <c r="C2" s="23">
        <f>_xlfn.IFNA(VLOOKUP(C1,DATA!$A$3:$F$103,5,),"")</f>
        <v>50</v>
      </c>
      <c r="D2" s="23">
        <f>_xlfn.IFNA(VLOOKUP(D1,DATA!$A$3:$F$103,5,),"")</f>
        <v>50</v>
      </c>
      <c r="E2" s="23">
        <f>_xlfn.IFNA(VLOOKUP(E1,DATA!$A$3:$F$103,5,),"")</f>
        <v>150</v>
      </c>
      <c r="F2" s="23">
        <f>_xlfn.IFNA(VLOOKUP(F1,DATA!$A$3:$F$103,5,),"")</f>
        <v>50</v>
      </c>
      <c r="G2" s="23">
        <f>_xlfn.IFNA(VLOOKUP(G1,DATA!$A$3:$F$103,5,),"")</f>
        <v>300</v>
      </c>
      <c r="H2" s="23">
        <f>_xlfn.IFNA(VLOOKUP(H1,DATA!$A$3:$F$103,5,),"")</f>
        <v>150</v>
      </c>
      <c r="I2" s="23">
        <f>_xlfn.IFNA(VLOOKUP(I1,DATA!$A$3:$F$103,5,),"")</f>
        <v>250</v>
      </c>
      <c r="J2" s="23">
        <f>_xlfn.IFNA(VLOOKUP(J1,DATA!$A$3:$F$103,5,),"")</f>
        <v>350</v>
      </c>
      <c r="K2" s="23">
        <f>_xlfn.IFNA(VLOOKUP(K1,DATA!$A$3:$F$103,5,),"")</f>
        <v>350</v>
      </c>
      <c r="L2" s="23">
        <f>_xlfn.IFNA(VLOOKUP(L1,DATA!$A$3:$F$103,5,),"")</f>
        <v>250</v>
      </c>
      <c r="M2" s="23">
        <f>_xlfn.IFNA(VLOOKUP(M1,DATA!$A$3:$F$103,5,),"")</f>
        <v>400</v>
      </c>
      <c r="N2" s="23">
        <f>_xlfn.IFNA(VLOOKUP(N1,DATA!$A$3:$F$103,5,),"")</f>
        <v>400</v>
      </c>
      <c r="O2" s="23">
        <f>_xlfn.IFNA(VLOOKUP(O1,DATA!$A$3:$F$103,5,),"")</f>
        <v>300</v>
      </c>
      <c r="P2" s="23">
        <f>_xlfn.IFNA(VLOOKUP(P1,DATA!$A$3:$F$103,5,),"")</f>
        <v>350</v>
      </c>
      <c r="Q2" s="23">
        <f>_xlfn.IFNA(VLOOKUP(Q1,DATA!$A$3:$F$103,5,),"")</f>
        <v>300</v>
      </c>
      <c r="R2" s="23">
        <f>_xlfn.IFNA(VLOOKUP(R1,DATA!$A$3:$F$103,5,),"")</f>
        <v>450</v>
      </c>
      <c r="S2" s="23">
        <f>_xlfn.IFNA(VLOOKUP(S1,DATA!$A$3:$F$103,5,),"")</f>
        <v>500</v>
      </c>
      <c r="T2" s="23">
        <f>_xlfn.IFNA(VLOOKUP(T1,DATA!$A$3:$F$103,5,),"")</f>
        <v>350</v>
      </c>
      <c r="U2" s="23">
        <f>_xlfn.IFNA(VLOOKUP(U1,DATA!$A$3:$F$103,5,),"")</f>
        <v>400</v>
      </c>
      <c r="V2" s="23">
        <f>_xlfn.IFNA(VLOOKUP(V1,DATA!$A$3:$F$103,5,),"")</f>
        <v>400</v>
      </c>
      <c r="W2" s="23">
        <f>_xlfn.IFNA(VLOOKUP(W1,DATA!$A$3:$F$103,5,),"")</f>
        <v>550</v>
      </c>
      <c r="X2" s="23">
        <f>_xlfn.IFNA(VLOOKUP(X1,DATA!$A$3:$F$103,5,),"")</f>
        <v>550</v>
      </c>
      <c r="Y2" s="23">
        <f>_xlfn.IFNA(VLOOKUP(Y1,DATA!$A$3:$F$103,5,),"")</f>
        <v>450</v>
      </c>
      <c r="Z2" s="23">
        <f>_xlfn.IFNA(VLOOKUP(Z1,DATA!$A$3:$F$103,5,),"")</f>
        <v>450</v>
      </c>
      <c r="AA2" s="23">
        <f>_xlfn.IFNA(VLOOKUP(AA1,DATA!$A$3:$F$103,5,),"")</f>
        <v>500</v>
      </c>
      <c r="AB2" s="23">
        <f>_xlfn.IFNA(VLOOKUP(AB1,DATA!$A$3:$F$103,5,),"")</f>
        <v>450</v>
      </c>
      <c r="AC2" s="23">
        <f>_xlfn.IFNA(VLOOKUP(AC1,DATA!$A$3:$F$103,5,),"")</f>
        <v>650</v>
      </c>
      <c r="AD2" s="23">
        <f>_xlfn.IFNA(VLOOKUP(AD1,DATA!$A$3:$F$103,5,),"")</f>
        <v>550</v>
      </c>
      <c r="AE2" s="23">
        <f>_xlfn.IFNA(VLOOKUP(AE1,DATA!$A$3:$F$103,5,),"")</f>
        <v>450</v>
      </c>
      <c r="AF2" s="23">
        <f>_xlfn.IFNA(VLOOKUP(AF1,DATA!$A$3:$F$103,5,),"")</f>
        <v>500</v>
      </c>
      <c r="AG2" s="23">
        <f>_xlfn.IFNA(VLOOKUP(AG1,DATA!$A$3:$F$103,5,),"")</f>
        <v>550</v>
      </c>
      <c r="AH2" s="23">
        <f>_xlfn.IFNA(VLOOKUP(AH1,DATA!$A$3:$F$103,5,),"")</f>
        <v>700</v>
      </c>
      <c r="AI2" s="23">
        <f>_xlfn.IFNA(VLOOKUP(AI1,DATA!$A$3:$F$103,5,),"")</f>
        <v>600</v>
      </c>
      <c r="AJ2" s="23">
        <f>_xlfn.IFNA(VLOOKUP(AJ1,DATA!$A$3:$F$103,5,),"")</f>
        <v>625</v>
      </c>
      <c r="AK2" s="23">
        <f>_xlfn.IFNA(VLOOKUP(AK1,DATA!$A$3:$F$103,5,),"")</f>
        <v>450</v>
      </c>
      <c r="AL2" s="23">
        <f>_xlfn.IFNA(VLOOKUP(AL1,DATA!$A$3:$F$103,5,),"")</f>
        <v>750</v>
      </c>
      <c r="AM2" s="23">
        <f>_xlfn.IFNA(VLOOKUP(AM1,DATA!$A$3:$F$103,5,),"")</f>
        <v>700</v>
      </c>
      <c r="AN2" s="23">
        <f>_xlfn.IFNA(VLOOKUP(AN1,DATA!$A$3:$F$103,5,),"")</f>
        <v>750</v>
      </c>
      <c r="AO2" s="23">
        <f>_xlfn.IFNA(VLOOKUP(AO1,DATA!$A$3:$F$103,5,),"")</f>
        <v>600</v>
      </c>
      <c r="AP2" s="23">
        <f>_xlfn.IFNA(VLOOKUP(AP1,DATA!$A$3:$F$103,5,),"")</f>
        <v>0</v>
      </c>
    </row>
    <row r="3" spans="1:42">
      <c r="A3" s="20" t="s">
        <v>58</v>
      </c>
      <c r="B3" s="23">
        <f>_xlfn.IFNA(VLOOKUP(B1,DATA!$A$3:$F$103,6,),"")</f>
        <v>10000</v>
      </c>
      <c r="C3" s="23">
        <f>_xlfn.IFNA(VLOOKUP(C1,DATA!$A$3:$F$103,6,),"")</f>
        <v>250</v>
      </c>
      <c r="D3" s="23">
        <f>_xlfn.IFNA(VLOOKUP(D1,DATA!$A$3:$F$103,6,),"")</f>
        <v>300</v>
      </c>
      <c r="E3" s="23">
        <f>_xlfn.IFNA(VLOOKUP(E1,DATA!$A$3:$F$103,6,),"")</f>
        <v>275</v>
      </c>
      <c r="F3" s="23">
        <f>_xlfn.IFNA(VLOOKUP(F1,DATA!$A$3:$F$103,6,),"")</f>
        <v>225</v>
      </c>
      <c r="G3" s="23">
        <f>_xlfn.IFNA(VLOOKUP(G1,DATA!$A$3:$F$103,6,),"")</f>
        <v>400</v>
      </c>
      <c r="H3" s="23">
        <f>_xlfn.IFNA(VLOOKUP(H1,DATA!$A$3:$F$103,6,),"")</f>
        <v>450</v>
      </c>
      <c r="I3" s="23">
        <f>_xlfn.IFNA(VLOOKUP(I1,DATA!$A$3:$F$103,6,),"")</f>
        <v>375</v>
      </c>
      <c r="J3" s="23">
        <f>_xlfn.IFNA(VLOOKUP(J1,DATA!$A$3:$F$103,6,),"")</f>
        <v>475</v>
      </c>
      <c r="K3" s="23">
        <f>_xlfn.IFNA(VLOOKUP(K1,DATA!$A$3:$F$103,6,),"")</f>
        <v>450</v>
      </c>
      <c r="L3" s="23">
        <f>_xlfn.IFNA(VLOOKUP(L1,DATA!$A$3:$F$103,6,),"")</f>
        <v>525</v>
      </c>
      <c r="M3" s="23">
        <f>_xlfn.IFNA(VLOOKUP(M1,DATA!$A$3:$F$103,6,),"")</f>
        <v>550</v>
      </c>
      <c r="N3" s="23">
        <f>_xlfn.IFNA(VLOOKUP(N1,DATA!$A$3:$F$103,6,),"")</f>
        <v>625</v>
      </c>
      <c r="O3" s="23">
        <f>_xlfn.IFNA(VLOOKUP(O1,DATA!$A$3:$F$103,6,),"")</f>
        <v>475</v>
      </c>
      <c r="P3" s="23">
        <f>_xlfn.IFNA(VLOOKUP(P1,DATA!$A$3:$F$103,6,),"")</f>
        <v>500</v>
      </c>
      <c r="Q3" s="23">
        <f>_xlfn.IFNA(VLOOKUP(Q1,DATA!$A$3:$F$103,6,),"")</f>
        <v>475</v>
      </c>
      <c r="R3" s="23">
        <f>_xlfn.IFNA(VLOOKUP(R1,DATA!$A$3:$F$103,6,),"")</f>
        <v>725</v>
      </c>
      <c r="S3" s="23">
        <f>_xlfn.IFNA(VLOOKUP(S1,DATA!$A$3:$F$103,6,),"")</f>
        <v>800</v>
      </c>
      <c r="T3" s="23">
        <f>_xlfn.IFNA(VLOOKUP(T1,DATA!$A$3:$F$103,6,),"")</f>
        <v>575</v>
      </c>
      <c r="U3" s="23">
        <f>_xlfn.IFNA(VLOOKUP(U1,DATA!$A$3:$F$103,6,),"")</f>
        <v>700</v>
      </c>
      <c r="V3" s="23">
        <f>_xlfn.IFNA(VLOOKUP(V1,DATA!$A$3:$F$103,6,),"")</f>
        <v>625</v>
      </c>
      <c r="W3" s="23">
        <f>_xlfn.IFNA(VLOOKUP(W1,DATA!$A$3:$F$103,6,),"")</f>
        <v>650</v>
      </c>
      <c r="X3" s="23">
        <f>_xlfn.IFNA(VLOOKUP(X1,DATA!$A$3:$F$103,6,),"")</f>
        <v>825</v>
      </c>
      <c r="Y3" s="23">
        <f>_xlfn.IFNA(VLOOKUP(Y1,DATA!$A$3:$F$103,6,),"")</f>
        <v>725</v>
      </c>
      <c r="Z3" s="23">
        <f>_xlfn.IFNA(VLOOKUP(Z1,DATA!$A$3:$F$103,6,),"")</f>
        <v>650</v>
      </c>
      <c r="AA3" s="23">
        <f>_xlfn.IFNA(VLOOKUP(AA1,DATA!$A$3:$F$103,6,),"")</f>
        <v>600</v>
      </c>
      <c r="AB3" s="23">
        <f>_xlfn.IFNA(VLOOKUP(AB1,DATA!$A$3:$F$103,6,),"")</f>
        <v>725</v>
      </c>
      <c r="AC3" s="23">
        <f>_xlfn.IFNA(VLOOKUP(AC1,DATA!$A$3:$F$103,6,),"")</f>
        <v>750</v>
      </c>
      <c r="AD3" s="23">
        <f>_xlfn.IFNA(VLOOKUP(AD1,DATA!$A$3:$F$103,6,),"")</f>
        <v>700</v>
      </c>
      <c r="AE3" s="23">
        <f>_xlfn.IFNA(VLOOKUP(AE1,DATA!$A$3:$F$103,6,),"")</f>
        <v>675</v>
      </c>
      <c r="AF3" s="23">
        <f>_xlfn.IFNA(VLOOKUP(AF1,DATA!$A$3:$F$103,6,),"")</f>
        <v>775</v>
      </c>
      <c r="AG3" s="23">
        <f>_xlfn.IFNA(VLOOKUP(AG1,DATA!$A$3:$F$103,6,),"")</f>
        <v>800</v>
      </c>
      <c r="AH3" s="23">
        <f>_xlfn.IFNA(VLOOKUP(AH1,DATA!$A$3:$F$103,6,),"")</f>
        <v>925</v>
      </c>
      <c r="AI3" s="23">
        <f>_xlfn.IFNA(VLOOKUP(AI1,DATA!$A$3:$F$103,6,),"")</f>
        <v>875</v>
      </c>
      <c r="AJ3" s="23">
        <f>_xlfn.IFNA(VLOOKUP(AJ1,DATA!$A$3:$F$103,6,),"")</f>
        <v>750</v>
      </c>
      <c r="AK3" s="23">
        <f>_xlfn.IFNA(VLOOKUP(AK1,DATA!$A$3:$F$103,6,),"")</f>
        <v>750</v>
      </c>
      <c r="AL3" s="23">
        <f>_xlfn.IFNA(VLOOKUP(AL1,DATA!$A$3:$F$103,6,),"")</f>
        <v>1000</v>
      </c>
      <c r="AM3" s="23">
        <f>_xlfn.IFNA(VLOOKUP(AM1,DATA!$A$3:$F$103,6,),"")</f>
        <v>800</v>
      </c>
      <c r="AN3" s="23">
        <f>_xlfn.IFNA(VLOOKUP(AN1,DATA!$A$3:$F$103,6,),"")</f>
        <v>975</v>
      </c>
      <c r="AO3" s="23">
        <f>_xlfn.IFNA(VLOOKUP(AO1,DATA!$A$3:$F$103,6,),"")</f>
        <v>875</v>
      </c>
      <c r="AP3" s="23">
        <f>_xlfn.IFNA(VLOOKUP(AP1,DATA!$A$3:$F$103,6,),"")</f>
        <v>10000</v>
      </c>
    </row>
    <row r="4" spans="1:42">
      <c r="A4" s="20" t="s">
        <v>167</v>
      </c>
      <c r="B4" s="18">
        <v>0</v>
      </c>
      <c r="C4" s="18">
        <f>IF(C1&gt;0,VLOOKUP(B1,DIST!$A$1:$CX$102,C1+1,),"")</f>
        <v>20</v>
      </c>
      <c r="D4" s="18">
        <f>IF(D1&gt;0,VLOOKUP(C1,DIST!$A$1:$CX$102,D1+1,),"")</f>
        <v>2</v>
      </c>
      <c r="E4" s="18">
        <f>IF(E1&gt;0,VLOOKUP(D1,DIST!$A$1:$CX$102,E1+1,),"")</f>
        <v>34</v>
      </c>
      <c r="F4" s="18">
        <f>IF(F1&gt;0,VLOOKUP(E1,DIST!$A$1:$CX$102,F1+1,),"")</f>
        <v>24.413111231467404</v>
      </c>
      <c r="G4" s="18">
        <f>IF(G1&gt;0,VLOOKUP(F1,DIST!$A$1:$CX$102,G1+1,),"")</f>
        <v>16.124515496597098</v>
      </c>
      <c r="H4" s="18">
        <f>IF(H1&gt;0,VLOOKUP(G1,DIST!$A$1:$CX$102,H1+1,),"")</f>
        <v>36.674241641784498</v>
      </c>
      <c r="I4" s="18">
        <f>IF(I1&gt;0,VLOOKUP(H1,DIST!$A$1:$CX$102,I1+1,),"")</f>
        <v>11.180339887498949</v>
      </c>
      <c r="J4" s="18">
        <f>IF(J1&gt;0,VLOOKUP(I1,DIST!$A$1:$CX$102,J1+1,),"")</f>
        <v>10.04987562112089</v>
      </c>
      <c r="K4" s="18">
        <f>IF(K1&gt;0,VLOOKUP(J1,DIST!$A$1:$CX$102,K1+1,),"")</f>
        <v>18.248287590894659</v>
      </c>
      <c r="L4" s="18">
        <f>IF(L1&gt;0,VLOOKUP(K1,DIST!$A$1:$CX$102,L1+1,),"")</f>
        <v>11.401754250991379</v>
      </c>
      <c r="M4" s="18">
        <f>IF(M1&gt;0,VLOOKUP(L1,DIST!$A$1:$CX$102,M1+1,),"")</f>
        <v>8</v>
      </c>
      <c r="N4" s="18">
        <f>IF(N1&gt;0,VLOOKUP(M1,DIST!$A$1:$CX$102,N1+1,),"")</f>
        <v>8.2462112512353212</v>
      </c>
      <c r="O4" s="18">
        <f>IF(O1&gt;0,VLOOKUP(N1,DIST!$A$1:$CX$102,O1+1,),"")</f>
        <v>10.440306508910551</v>
      </c>
      <c r="P4" s="18">
        <f>IF(P1&gt;0,VLOOKUP(O1,DIST!$A$1:$CX$102,P1+1,),"")</f>
        <v>11.180339887498949</v>
      </c>
      <c r="Q4" s="18">
        <f>IF(Q1&gt;0,VLOOKUP(P1,DIST!$A$1:$CX$102,Q1+1,),"")</f>
        <v>1</v>
      </c>
      <c r="R4" s="18">
        <f>IF(R1&gt;0,VLOOKUP(Q1,DIST!$A$1:$CX$102,R1+1,),"")</f>
        <v>3.6055512754639891</v>
      </c>
      <c r="S4" s="18">
        <f>IF(S1&gt;0,VLOOKUP(R1,DIST!$A$1:$CX$102,S1+1,),"")</f>
        <v>6.0827625302982193</v>
      </c>
      <c r="T4" s="18">
        <f>IF(T1&gt;0,VLOOKUP(S1,DIST!$A$1:$CX$102,T1+1,),"")</f>
        <v>5.8309518948453007</v>
      </c>
      <c r="U4" s="18">
        <f>IF(U1&gt;0,VLOOKUP(T1,DIST!$A$1:$CX$102,U1+1,),"")</f>
        <v>12.206555615733702</v>
      </c>
      <c r="V4" s="18">
        <f>IF(V1&gt;0,VLOOKUP(U1,DIST!$A$1:$CX$102,V1+1,),"")</f>
        <v>7.2111025509279782</v>
      </c>
      <c r="W4" s="18">
        <f>IF(W1&gt;0,VLOOKUP(V1,DIST!$A$1:$CX$102,W1+1,),"")</f>
        <v>6.324555320336759</v>
      </c>
      <c r="X4" s="18">
        <f>IF(X1&gt;0,VLOOKUP(W1,DIST!$A$1:$CX$102,X1+1,),"")</f>
        <v>10.295630140987001</v>
      </c>
      <c r="Y4" s="18">
        <f>IF(Y1&gt;0,VLOOKUP(X1,DIST!$A$1:$CX$102,Y1+1,),"")</f>
        <v>8.2462112512353212</v>
      </c>
      <c r="Z4" s="18">
        <f>IF(Z1&gt;0,VLOOKUP(Y1,DIST!$A$1:$CX$102,Z1+1,),"")</f>
        <v>15.652475842498529</v>
      </c>
      <c r="AA4" s="18">
        <f>IF(AA1&gt;0,VLOOKUP(Z1,DIST!$A$1:$CX$102,AA1+1,),"")</f>
        <v>4.2426406871192848</v>
      </c>
      <c r="AB4" s="18">
        <f>IF(AB1&gt;0,VLOOKUP(AA1,DIST!$A$1:$CX$102,AB1+1,),"")</f>
        <v>10</v>
      </c>
      <c r="AC4" s="18">
        <f>IF(AC1&gt;0,VLOOKUP(AB1,DIST!$A$1:$CX$102,AC1+1,),"")</f>
        <v>23.021728866442675</v>
      </c>
      <c r="AD4" s="18">
        <f>IF(AD1&gt;0,VLOOKUP(AC1,DIST!$A$1:$CX$102,AD1+1,),"")</f>
        <v>12.529964086141668</v>
      </c>
      <c r="AE4" s="18">
        <f>IF(AE1&gt;0,VLOOKUP(AD1,DIST!$A$1:$CX$102,AE1+1,),"")</f>
        <v>5.8309518948453007</v>
      </c>
      <c r="AF4" s="18">
        <f>IF(AF1&gt;0,VLOOKUP(AE1,DIST!$A$1:$CX$102,AF1+1,),"")</f>
        <v>19.026297590440446</v>
      </c>
      <c r="AG4" s="18">
        <f>IF(AG1&gt;0,VLOOKUP(AF1,DIST!$A$1:$CX$102,AG1+1,),"")</f>
        <v>2.2360679774997898</v>
      </c>
      <c r="AH4" s="18">
        <f>IF(AH1&gt;0,VLOOKUP(AG1,DIST!$A$1:$CX$102,AH1+1,),"")</f>
        <v>7.0710678118654755</v>
      </c>
      <c r="AI4" s="18">
        <f>IF(AI1&gt;0,VLOOKUP(AH1,DIST!$A$1:$CX$102,AI1+1,),"")</f>
        <v>14</v>
      </c>
      <c r="AJ4" s="18">
        <f>IF(AJ1&gt;0,VLOOKUP(AI1,DIST!$A$1:$CX$102,AJ1+1,),"")</f>
        <v>11.401754250991379</v>
      </c>
      <c r="AK4" s="18">
        <f>IF(AK1&gt;0,VLOOKUP(AJ1,DIST!$A$1:$CX$102,AK1+1,),"")</f>
        <v>1</v>
      </c>
      <c r="AL4" s="18">
        <f>IF(AL1&gt;0,VLOOKUP(AK1,DIST!$A$1:$CX$102,AL1+1,),"")</f>
        <v>20.248456731316587</v>
      </c>
      <c r="AM4" s="18">
        <f>IF(AM1&gt;0,VLOOKUP(AL1,DIST!$A$1:$CX$102,AM1+1,),"")</f>
        <v>35.057096285916209</v>
      </c>
      <c r="AN4" s="18">
        <f>IF(AN1&gt;0,VLOOKUP(AM1,DIST!$A$1:$CX$102,AN1+1,),"")</f>
        <v>23.345235059857504</v>
      </c>
      <c r="AO4" s="18">
        <f>IF(AO1&gt;0,VLOOKUP(AN1,DIST!$A$1:$CX$102,AO1+1,),"")</f>
        <v>11</v>
      </c>
      <c r="AP4" s="18">
        <f>IF(AP1&gt;0,VLOOKUP(AO1,DIST!$A$1:$CX$102,AP1+1,),"")</f>
        <v>6.0827625302982193</v>
      </c>
    </row>
    <row r="5" spans="1:42">
      <c r="A5" s="20" t="s">
        <v>169</v>
      </c>
      <c r="B5" s="18">
        <v>0</v>
      </c>
      <c r="C5" s="18">
        <f>IF(MANUAL_CHECK!C1&gt;0,VLOOKUP(B1,DIST!$A$1:$CX$102,C1+1,)*60/60,"")</f>
        <v>20</v>
      </c>
      <c r="D5" s="18">
        <f>IF(MANUAL_CHECK!D1&gt;0,VLOOKUP(C1,DIST!$A$1:$CX$102,D1+1,)*60/60,"")</f>
        <v>2</v>
      </c>
      <c r="E5" s="18">
        <f>IF(MANUAL_CHECK!E1&gt;0,VLOOKUP(D1,DIST!$A$1:$CX$102,E1+1,)*60/60,"")</f>
        <v>34</v>
      </c>
      <c r="F5" s="18">
        <f>IF(MANUAL_CHECK!F1&gt;0,VLOOKUP(E1,DIST!$A$1:$CX$102,F1+1,)*60/60,"")</f>
        <v>24.413111231467404</v>
      </c>
      <c r="G5" s="18">
        <f>IF(MANUAL_CHECK!G1&gt;0,VLOOKUP(F1,DIST!$A$1:$CX$102,G1+1,)*60/60,"")</f>
        <v>16.124515496597098</v>
      </c>
      <c r="H5" s="18">
        <f>IF(MANUAL_CHECK!H1&gt;0,VLOOKUP(G1,DIST!$A$1:$CX$102,H1+1,)*60/60,"")</f>
        <v>36.674241641784498</v>
      </c>
      <c r="I5" s="18">
        <f>IF(MANUAL_CHECK!I1&gt;0,VLOOKUP(H1,DIST!$A$1:$CX$102,I1+1,)*60/60,"")</f>
        <v>11.180339887498949</v>
      </c>
      <c r="J5" s="18">
        <f>IF(MANUAL_CHECK!J1&gt;0,VLOOKUP(I1,DIST!$A$1:$CX$102,J1+1,)*60/60,"")</f>
        <v>10.04987562112089</v>
      </c>
      <c r="K5" s="18">
        <f>IF(MANUAL_CHECK!K1&gt;0,VLOOKUP(J1,DIST!$A$1:$CX$102,K1+1,)*60/60,"")</f>
        <v>18.248287590894659</v>
      </c>
      <c r="L5" s="18">
        <f>IF(MANUAL_CHECK!L1&gt;0,VLOOKUP(K1,DIST!$A$1:$CX$102,L1+1,)*60/60,"")</f>
        <v>11.401754250991379</v>
      </c>
      <c r="M5" s="18">
        <f>IF(MANUAL_CHECK!M1&gt;0,VLOOKUP(L1,DIST!$A$1:$CX$102,M1+1,)*60/60,"")</f>
        <v>8</v>
      </c>
      <c r="N5" s="18">
        <f>IF(MANUAL_CHECK!N1&gt;0,VLOOKUP(M1,DIST!$A$1:$CX$102,N1+1,)*60/60,"")</f>
        <v>8.2462112512353212</v>
      </c>
      <c r="O5" s="18">
        <f>IF(MANUAL_CHECK!O1&gt;0,VLOOKUP(N1,DIST!$A$1:$CX$102,O1+1,)*60/60,"")</f>
        <v>10.440306508910551</v>
      </c>
      <c r="P5" s="18">
        <f>IF(MANUAL_CHECK!P1&gt;0,VLOOKUP(O1,DIST!$A$1:$CX$102,P1+1,)*60/60,"")</f>
        <v>11.180339887498949</v>
      </c>
      <c r="Q5" s="18">
        <f>IF(MANUAL_CHECK!Q1&gt;0,VLOOKUP(P1,DIST!$A$1:$CX$102,Q1+1,)*60/60,"")</f>
        <v>1</v>
      </c>
      <c r="R5" s="18">
        <f>IF(MANUAL_CHECK!R1&gt;0,VLOOKUP(Q1,DIST!$A$1:$CX$102,R1+1,)*60/60,"")</f>
        <v>3.6055512754639891</v>
      </c>
      <c r="S5" s="18">
        <f>IF(MANUAL_CHECK!S1&gt;0,VLOOKUP(R1,DIST!$A$1:$CX$102,S1+1,)*60/60,"")</f>
        <v>6.0827625302982193</v>
      </c>
      <c r="T5" s="18">
        <f>IF(MANUAL_CHECK!T1&gt;0,VLOOKUP(S1,DIST!$A$1:$CX$102,T1+1,)*60/60,"")</f>
        <v>5.8309518948453007</v>
      </c>
      <c r="U5" s="18">
        <f>IF(MANUAL_CHECK!U1&gt;0,VLOOKUP(T1,DIST!$A$1:$CX$102,U1+1,)*60/60,"")</f>
        <v>12.206555615733702</v>
      </c>
      <c r="V5" s="18">
        <f>IF(MANUAL_CHECK!V1&gt;0,VLOOKUP(U1,DIST!$A$1:$CX$102,V1+1,)*60/60,"")</f>
        <v>7.2111025509279782</v>
      </c>
      <c r="W5" s="18">
        <f>IF(MANUAL_CHECK!W1&gt;0,VLOOKUP(V1,DIST!$A$1:$CX$102,W1+1,)*60/60,"")</f>
        <v>6.324555320336759</v>
      </c>
      <c r="X5" s="18">
        <f>IF(MANUAL_CHECK!X1&gt;0,VLOOKUP(W1,DIST!$A$1:$CX$102,X1+1,)*60/60,"")</f>
        <v>10.295630140987003</v>
      </c>
      <c r="Y5" s="18">
        <f>IF(MANUAL_CHECK!Y1&gt;0,VLOOKUP(X1,DIST!$A$1:$CX$102,Y1+1,)*60/60,"")</f>
        <v>8.2462112512353212</v>
      </c>
      <c r="Z5" s="18">
        <f>IF(MANUAL_CHECK!Z1&gt;0,VLOOKUP(Y1,DIST!$A$1:$CX$102,Z1+1,)*60/60,"")</f>
        <v>15.652475842498529</v>
      </c>
      <c r="AA5" s="18">
        <f>IF(MANUAL_CHECK!AA1&gt;0,VLOOKUP(Z1,DIST!$A$1:$CX$102,AA1+1,)*60/60,"")</f>
        <v>4.2426406871192848</v>
      </c>
      <c r="AB5" s="18">
        <f>IF(MANUAL_CHECK!AB1&gt;0,VLOOKUP(AA1,DIST!$A$1:$CX$102,AB1+1,)*60/60,"")</f>
        <v>10</v>
      </c>
      <c r="AC5" s="18">
        <f>IF(MANUAL_CHECK!AC1&gt;0,VLOOKUP(AB1,DIST!$A$1:$CX$102,AC1+1,)*60/60,"")</f>
        <v>23.021728866442675</v>
      </c>
      <c r="AD5" s="18">
        <f>IF(MANUAL_CHECK!AD1&gt;0,VLOOKUP(AC1,DIST!$A$1:$CX$102,AD1+1,)*60/60,"")</f>
        <v>12.529964086141668</v>
      </c>
      <c r="AE5" s="18">
        <f>IF(MANUAL_CHECK!AE1&gt;0,VLOOKUP(AD1,DIST!$A$1:$CX$102,AE1+1,)*60/60,"")</f>
        <v>5.8309518948453007</v>
      </c>
      <c r="AF5" s="18">
        <f>IF(MANUAL_CHECK!AF1&gt;0,VLOOKUP(AE1,DIST!$A$1:$CX$102,AF1+1,)*60/60,"")</f>
        <v>19.026297590440446</v>
      </c>
      <c r="AG5" s="18">
        <f>IF(MANUAL_CHECK!AG1&gt;0,VLOOKUP(AF1,DIST!$A$1:$CX$102,AG1+1,)*60/60,"")</f>
        <v>2.2360679774997902</v>
      </c>
      <c r="AH5" s="18">
        <f>IF(MANUAL_CHECK!AH1&gt;0,VLOOKUP(AG1,DIST!$A$1:$CX$102,AH1+1,)*60/60,"")</f>
        <v>7.0710678118654755</v>
      </c>
      <c r="AI5" s="18">
        <f>IF(MANUAL_CHECK!AI1&gt;0,VLOOKUP(AH1,DIST!$A$1:$CX$102,AI1+1,)*60/60,"")</f>
        <v>14</v>
      </c>
      <c r="AJ5" s="18">
        <f>IF(MANUAL_CHECK!AJ1&gt;0,VLOOKUP(AI1,DIST!$A$1:$CX$102,AJ1+1,)*60/60,"")</f>
        <v>11.401754250991379</v>
      </c>
      <c r="AK5" s="18">
        <f>IF(MANUAL_CHECK!AK1&gt;0,VLOOKUP(AJ1,DIST!$A$1:$CX$102,AK1+1,)*60/60,"")</f>
        <v>1</v>
      </c>
      <c r="AL5" s="18">
        <f>IF(MANUAL_CHECK!AL1&gt;0,VLOOKUP(AK1,DIST!$A$1:$CX$102,AL1+1,)*60/60,"")</f>
        <v>20.248456731316587</v>
      </c>
      <c r="AM5" s="18">
        <f>IF(MANUAL_CHECK!AM1&gt;0,VLOOKUP(AL1,DIST!$A$1:$CX$102,AM1+1,)*60/60,"")</f>
        <v>35.057096285916209</v>
      </c>
      <c r="AN5" s="18">
        <f>IF(MANUAL_CHECK!AN1&gt;0,VLOOKUP(AM1,DIST!$A$1:$CX$102,AN1+1,)*60/60,"")</f>
        <v>23.345235059857504</v>
      </c>
      <c r="AO5" s="18">
        <f>IF(MANUAL_CHECK!AO1&gt;0,VLOOKUP(AN1,DIST!$A$1:$CX$102,AO1+1,)*60/60,"")</f>
        <v>11</v>
      </c>
      <c r="AP5" s="18">
        <f>IF(MANUAL_CHECK!AP1&gt;0,VLOOKUP(AO1,DIST!$A$1:$CX$102,AP1+1,)*60/60,"")</f>
        <v>6.0827625302982193</v>
      </c>
    </row>
    <row r="6" spans="1:42">
      <c r="A6" s="20" t="s">
        <v>166</v>
      </c>
      <c r="B6" s="18">
        <v>0</v>
      </c>
      <c r="C6" s="18">
        <f>IF(C1&gt;0,IF(B6+C5&lt;C2,B6+C5+(C2-(B6+C5)),B6+C5),"")</f>
        <v>50</v>
      </c>
      <c r="D6" s="18">
        <f t="shared" ref="D6:AP6" si="0">IF(D1&gt;0,IF(C6+D5&lt;D2,C6+D5+(D2-(C6+D5)),C6+D5),"")</f>
        <v>52</v>
      </c>
      <c r="E6" s="18">
        <f t="shared" si="0"/>
        <v>150</v>
      </c>
      <c r="F6" s="18">
        <f t="shared" si="0"/>
        <v>174.41311123146741</v>
      </c>
      <c r="G6" s="18">
        <f t="shared" si="0"/>
        <v>300</v>
      </c>
      <c r="H6" s="18">
        <f t="shared" si="0"/>
        <v>336.67424164178448</v>
      </c>
      <c r="I6" s="18">
        <f t="shared" si="0"/>
        <v>347.85458152928345</v>
      </c>
      <c r="J6" s="18">
        <f t="shared" si="0"/>
        <v>357.90445715040437</v>
      </c>
      <c r="K6" s="18">
        <f t="shared" si="0"/>
        <v>376.15274474129905</v>
      </c>
      <c r="L6" s="18">
        <f t="shared" si="0"/>
        <v>387.55449899229041</v>
      </c>
      <c r="M6" s="18">
        <f t="shared" si="0"/>
        <v>400</v>
      </c>
      <c r="N6" s="18">
        <f t="shared" si="0"/>
        <v>408.24621125123531</v>
      </c>
      <c r="O6" s="18">
        <f t="shared" si="0"/>
        <v>418.68651776014588</v>
      </c>
      <c r="P6" s="18">
        <f t="shared" si="0"/>
        <v>429.86685764764485</v>
      </c>
      <c r="Q6" s="18">
        <f t="shared" si="0"/>
        <v>430.86685764764485</v>
      </c>
      <c r="R6" s="18">
        <f t="shared" si="0"/>
        <v>450</v>
      </c>
      <c r="S6" s="18">
        <f t="shared" si="0"/>
        <v>500</v>
      </c>
      <c r="T6" s="18">
        <f t="shared" si="0"/>
        <v>505.83095189484533</v>
      </c>
      <c r="U6" s="18">
        <f t="shared" si="0"/>
        <v>518.03750751057908</v>
      </c>
      <c r="V6" s="18">
        <f t="shared" si="0"/>
        <v>525.24861006150707</v>
      </c>
      <c r="W6" s="18">
        <f t="shared" si="0"/>
        <v>550</v>
      </c>
      <c r="X6" s="18">
        <f t="shared" si="0"/>
        <v>560.29563014098699</v>
      </c>
      <c r="Y6" s="18">
        <f t="shared" si="0"/>
        <v>568.5418413922223</v>
      </c>
      <c r="Z6" s="18">
        <f t="shared" si="0"/>
        <v>584.19431723472087</v>
      </c>
      <c r="AA6" s="18">
        <f t="shared" si="0"/>
        <v>588.43695792184019</v>
      </c>
      <c r="AB6" s="18">
        <f t="shared" si="0"/>
        <v>598.43695792184019</v>
      </c>
      <c r="AC6" s="18">
        <f t="shared" si="0"/>
        <v>650</v>
      </c>
      <c r="AD6" s="18">
        <f t="shared" si="0"/>
        <v>662.52996408614172</v>
      </c>
      <c r="AE6" s="18">
        <f t="shared" si="0"/>
        <v>668.36091598098699</v>
      </c>
      <c r="AF6" s="18">
        <f t="shared" si="0"/>
        <v>687.38721357142742</v>
      </c>
      <c r="AG6" s="18">
        <f t="shared" si="0"/>
        <v>689.62328154892725</v>
      </c>
      <c r="AH6" s="18">
        <f t="shared" si="0"/>
        <v>700</v>
      </c>
      <c r="AI6" s="18">
        <f t="shared" si="0"/>
        <v>714</v>
      </c>
      <c r="AJ6" s="18">
        <f t="shared" si="0"/>
        <v>725.40175425099142</v>
      </c>
      <c r="AK6" s="18">
        <f t="shared" si="0"/>
        <v>726.40175425099142</v>
      </c>
      <c r="AL6" s="18">
        <f t="shared" si="0"/>
        <v>750</v>
      </c>
      <c r="AM6" s="18">
        <f t="shared" si="0"/>
        <v>785.05709628591626</v>
      </c>
      <c r="AN6" s="18">
        <f t="shared" si="0"/>
        <v>808.40233134577375</v>
      </c>
      <c r="AO6" s="18">
        <f t="shared" si="0"/>
        <v>819.40233134577375</v>
      </c>
      <c r="AP6" s="18">
        <f t="shared" si="0"/>
        <v>825.48509387607191</v>
      </c>
    </row>
    <row r="7" spans="1:42">
      <c r="A7" s="20" t="s">
        <v>168</v>
      </c>
      <c r="B7" s="18">
        <f>IF(AND(B6&gt;B3,B1&lt;&gt;1),(B6-B3)*$B$9,IF(B1&gt;0,0,""))</f>
        <v>0</v>
      </c>
      <c r="C7" s="18">
        <f>IF(AND(C6&gt;C3,C1&lt;&gt;1),(C6-C3)*$B$9,IF(C1&gt;0,0,""))</f>
        <v>0</v>
      </c>
      <c r="D7" s="18">
        <f>IF(AND(D6&gt;D3,D1&lt;&gt;1),(D6-D3)*$B$9,IF(D1&gt;0,0,""))</f>
        <v>0</v>
      </c>
      <c r="E7" s="18">
        <f>IF(AND(E6&gt;E3,E1&lt;&gt;1),(E6-E3)*$B$9,IF(E1&gt;0,0,""))</f>
        <v>0</v>
      </c>
      <c r="F7" s="18">
        <f t="shared" ref="F7:AP7" si="1">IF(AND(F6&gt;F3,F1&lt;&gt;1),(F6-F3)*$B$9,IF(F1&gt;0,0,""))</f>
        <v>0</v>
      </c>
      <c r="G7" s="18">
        <f t="shared" si="1"/>
        <v>0</v>
      </c>
      <c r="H7" s="18">
        <f t="shared" si="1"/>
        <v>0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si="1"/>
        <v>0</v>
      </c>
      <c r="P7" s="18">
        <f t="shared" si="1"/>
        <v>0</v>
      </c>
      <c r="Q7" s="18">
        <f t="shared" si="1"/>
        <v>0</v>
      </c>
      <c r="R7" s="18">
        <f t="shared" si="1"/>
        <v>0</v>
      </c>
      <c r="S7" s="18">
        <f t="shared" si="1"/>
        <v>0</v>
      </c>
      <c r="T7" s="18">
        <f t="shared" si="1"/>
        <v>0</v>
      </c>
      <c r="U7" s="18">
        <f t="shared" si="1"/>
        <v>0</v>
      </c>
      <c r="V7" s="18">
        <f t="shared" si="1"/>
        <v>0</v>
      </c>
      <c r="W7" s="18">
        <f t="shared" si="1"/>
        <v>0</v>
      </c>
      <c r="X7" s="18">
        <f t="shared" si="1"/>
        <v>0</v>
      </c>
      <c r="Y7" s="18">
        <f t="shared" si="1"/>
        <v>0</v>
      </c>
      <c r="Z7" s="18">
        <f t="shared" si="1"/>
        <v>0</v>
      </c>
      <c r="AA7" s="18">
        <f t="shared" si="1"/>
        <v>0</v>
      </c>
      <c r="AB7" s="18">
        <f t="shared" si="1"/>
        <v>0</v>
      </c>
      <c r="AC7" s="18">
        <f t="shared" si="1"/>
        <v>0</v>
      </c>
      <c r="AD7" s="18">
        <f t="shared" si="1"/>
        <v>0</v>
      </c>
      <c r="AE7" s="18">
        <f t="shared" si="1"/>
        <v>0</v>
      </c>
      <c r="AF7" s="18">
        <f t="shared" si="1"/>
        <v>0</v>
      </c>
      <c r="AG7" s="18">
        <f t="shared" si="1"/>
        <v>0</v>
      </c>
      <c r="AH7" s="18">
        <f t="shared" si="1"/>
        <v>0</v>
      </c>
      <c r="AI7" s="18">
        <f>IF(AND(AI6&gt;AI3,AI1&lt;&gt;1),(AI6-AI3)*$B$9,IF(AI1&gt;0,0,""))</f>
        <v>0</v>
      </c>
      <c r="AJ7" s="18">
        <f t="shared" si="1"/>
        <v>0</v>
      </c>
      <c r="AK7" s="18">
        <f t="shared" si="1"/>
        <v>0</v>
      </c>
      <c r="AL7" s="18">
        <f t="shared" si="1"/>
        <v>0</v>
      </c>
      <c r="AM7" s="18">
        <f t="shared" si="1"/>
        <v>0</v>
      </c>
      <c r="AN7" s="18">
        <f t="shared" si="1"/>
        <v>0</v>
      </c>
      <c r="AO7" s="18">
        <f t="shared" si="1"/>
        <v>0</v>
      </c>
      <c r="AP7" s="18">
        <f t="shared" si="1"/>
        <v>0</v>
      </c>
    </row>
    <row r="8" spans="1:42">
      <c r="A8" s="20" t="s">
        <v>165</v>
      </c>
      <c r="B8" s="22"/>
      <c r="C8" s="22">
        <f t="shared" ref="C8:AP8" si="2">IFERROR(C4+C7,"")</f>
        <v>20</v>
      </c>
      <c r="D8" s="22">
        <f t="shared" si="2"/>
        <v>2</v>
      </c>
      <c r="E8" s="22">
        <f t="shared" si="2"/>
        <v>34</v>
      </c>
      <c r="F8" s="22">
        <f t="shared" si="2"/>
        <v>24.413111231467404</v>
      </c>
      <c r="G8" s="22">
        <f t="shared" si="2"/>
        <v>16.124515496597098</v>
      </c>
      <c r="H8" s="22">
        <f t="shared" si="2"/>
        <v>36.674241641784498</v>
      </c>
      <c r="I8" s="22">
        <f t="shared" si="2"/>
        <v>11.180339887498949</v>
      </c>
      <c r="J8" s="22">
        <f t="shared" si="2"/>
        <v>10.04987562112089</v>
      </c>
      <c r="K8" s="22">
        <f t="shared" si="2"/>
        <v>18.248287590894659</v>
      </c>
      <c r="L8" s="22">
        <f t="shared" si="2"/>
        <v>11.401754250991379</v>
      </c>
      <c r="M8" s="22">
        <f t="shared" si="2"/>
        <v>8</v>
      </c>
      <c r="N8" s="22">
        <f t="shared" si="2"/>
        <v>8.2462112512353212</v>
      </c>
      <c r="O8" s="22">
        <f t="shared" si="2"/>
        <v>10.440306508910551</v>
      </c>
      <c r="P8" s="22">
        <f t="shared" si="2"/>
        <v>11.180339887498949</v>
      </c>
      <c r="Q8" s="22">
        <f t="shared" si="2"/>
        <v>1</v>
      </c>
      <c r="R8" s="22">
        <f t="shared" si="2"/>
        <v>3.6055512754639891</v>
      </c>
      <c r="S8" s="22">
        <f t="shared" si="2"/>
        <v>6.0827625302982193</v>
      </c>
      <c r="T8" s="22">
        <f t="shared" si="2"/>
        <v>5.8309518948453007</v>
      </c>
      <c r="U8" s="22">
        <f t="shared" si="2"/>
        <v>12.206555615733702</v>
      </c>
      <c r="V8" s="22">
        <f t="shared" si="2"/>
        <v>7.2111025509279782</v>
      </c>
      <c r="W8" s="22">
        <f t="shared" si="2"/>
        <v>6.324555320336759</v>
      </c>
      <c r="X8" s="22">
        <f t="shared" si="2"/>
        <v>10.295630140987001</v>
      </c>
      <c r="Y8" s="22">
        <f t="shared" si="2"/>
        <v>8.2462112512353212</v>
      </c>
      <c r="Z8" s="22">
        <f t="shared" si="2"/>
        <v>15.652475842498529</v>
      </c>
      <c r="AA8" s="22">
        <f t="shared" si="2"/>
        <v>4.2426406871192848</v>
      </c>
      <c r="AB8" s="22">
        <f t="shared" si="2"/>
        <v>10</v>
      </c>
      <c r="AC8" s="22">
        <f t="shared" si="2"/>
        <v>23.021728866442675</v>
      </c>
      <c r="AD8" s="22">
        <f t="shared" si="2"/>
        <v>12.529964086141668</v>
      </c>
      <c r="AE8" s="22">
        <f t="shared" si="2"/>
        <v>5.8309518948453007</v>
      </c>
      <c r="AF8" s="22">
        <f t="shared" si="2"/>
        <v>19.026297590440446</v>
      </c>
      <c r="AG8" s="22">
        <f t="shared" si="2"/>
        <v>2.2360679774997898</v>
      </c>
      <c r="AH8" s="22">
        <f t="shared" si="2"/>
        <v>7.0710678118654755</v>
      </c>
      <c r="AI8" s="22">
        <f t="shared" si="2"/>
        <v>14</v>
      </c>
      <c r="AJ8" s="22">
        <f t="shared" si="2"/>
        <v>11.401754250991379</v>
      </c>
      <c r="AK8" s="22">
        <f t="shared" si="2"/>
        <v>1</v>
      </c>
      <c r="AL8" s="22">
        <f t="shared" si="2"/>
        <v>20.248456731316587</v>
      </c>
      <c r="AM8" s="22">
        <f t="shared" si="2"/>
        <v>35.057096285916209</v>
      </c>
      <c r="AN8" s="22">
        <f t="shared" si="2"/>
        <v>23.345235059857504</v>
      </c>
      <c r="AO8" s="22">
        <f t="shared" si="2"/>
        <v>11</v>
      </c>
      <c r="AP8" s="22">
        <f t="shared" si="2"/>
        <v>6.0827625302982193</v>
      </c>
    </row>
    <row r="9" spans="1:42">
      <c r="A9" s="24">
        <f>SUM(B8:EB8)</f>
        <v>504.50880356306089</v>
      </c>
      <c r="B9" s="16">
        <v>0.5</v>
      </c>
      <c r="C9" s="16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</row>
    <row r="10" spans="1:42">
      <c r="A10" s="11"/>
      <c r="B10" s="11"/>
      <c r="C10" s="11"/>
      <c r="D10" s="11"/>
      <c r="E10" s="11"/>
      <c r="F10" s="28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</row>
  </sheetData>
  <conditionalFormatting sqref="B9:C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X102"/>
  <sheetViews>
    <sheetView topLeftCell="A7" zoomScaleNormal="100" workbookViewId="0">
      <selection activeCell="AP17" sqref="AP17"/>
    </sheetView>
  </sheetViews>
  <sheetFormatPr defaultColWidth="0" defaultRowHeight="14.4" zeroHeight="1"/>
  <cols>
    <col min="1" max="1" width="11.5546875" customWidth="1"/>
    <col min="2" max="101" width="6" customWidth="1"/>
    <col min="102" max="102" width="6" hidden="1" customWidth="1"/>
    <col min="103" max="16384" width="11.5546875" hidden="1"/>
  </cols>
  <sheetData>
    <row r="1" spans="1:102">
      <c r="A1" s="12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13">
        <v>6</v>
      </c>
      <c r="H1" s="13">
        <v>7</v>
      </c>
      <c r="I1" s="13">
        <v>8</v>
      </c>
      <c r="J1" s="13">
        <v>9</v>
      </c>
      <c r="K1" s="13">
        <v>10</v>
      </c>
      <c r="L1" s="13">
        <v>11</v>
      </c>
      <c r="M1" s="13">
        <v>12</v>
      </c>
      <c r="N1" s="13">
        <v>13</v>
      </c>
      <c r="O1" s="13">
        <v>14</v>
      </c>
      <c r="P1" s="13">
        <v>15</v>
      </c>
      <c r="Q1" s="13">
        <v>16</v>
      </c>
      <c r="R1" s="13">
        <v>17</v>
      </c>
      <c r="S1" s="13">
        <v>18</v>
      </c>
      <c r="T1" s="13">
        <v>19</v>
      </c>
      <c r="U1" s="13">
        <v>20</v>
      </c>
      <c r="V1" s="13">
        <v>21</v>
      </c>
      <c r="W1" s="13">
        <v>22</v>
      </c>
      <c r="X1" s="13">
        <v>23</v>
      </c>
      <c r="Y1" s="13">
        <v>24</v>
      </c>
      <c r="Z1" s="13">
        <v>25</v>
      </c>
      <c r="AA1" s="13">
        <v>26</v>
      </c>
      <c r="AB1" s="13">
        <v>27</v>
      </c>
      <c r="AC1" s="13">
        <v>28</v>
      </c>
      <c r="AD1" s="13">
        <v>29</v>
      </c>
      <c r="AE1" s="13">
        <v>30</v>
      </c>
      <c r="AF1" s="13">
        <v>31</v>
      </c>
      <c r="AG1" s="13">
        <v>32</v>
      </c>
      <c r="AH1" s="13">
        <v>33</v>
      </c>
      <c r="AI1" s="13">
        <v>34</v>
      </c>
      <c r="AJ1" s="13">
        <v>35</v>
      </c>
      <c r="AK1" s="13">
        <v>36</v>
      </c>
      <c r="AL1" s="13">
        <v>37</v>
      </c>
      <c r="AM1" s="13">
        <v>38</v>
      </c>
      <c r="AN1" s="13">
        <v>39</v>
      </c>
      <c r="AO1" s="13">
        <v>40</v>
      </c>
      <c r="AP1" s="13">
        <v>41</v>
      </c>
      <c r="AQ1" s="13">
        <v>42</v>
      </c>
      <c r="AR1" s="13">
        <v>43</v>
      </c>
      <c r="AS1" s="13">
        <v>44</v>
      </c>
      <c r="AT1" s="13">
        <v>45</v>
      </c>
      <c r="AU1" s="13">
        <v>46</v>
      </c>
      <c r="AV1" s="13">
        <v>47</v>
      </c>
      <c r="AW1" s="13">
        <v>48</v>
      </c>
      <c r="AX1" s="13">
        <v>49</v>
      </c>
      <c r="AY1" s="13">
        <v>50</v>
      </c>
      <c r="AZ1" s="13">
        <v>51</v>
      </c>
      <c r="BA1" s="13">
        <v>52</v>
      </c>
      <c r="BB1" s="13">
        <v>53</v>
      </c>
      <c r="BC1" s="13">
        <v>54</v>
      </c>
      <c r="BD1" s="13">
        <v>55</v>
      </c>
      <c r="BE1" s="13">
        <v>56</v>
      </c>
      <c r="BF1" s="13">
        <v>57</v>
      </c>
      <c r="BG1" s="13">
        <v>58</v>
      </c>
      <c r="BH1" s="13">
        <v>59</v>
      </c>
      <c r="BI1" s="13">
        <v>60</v>
      </c>
      <c r="BJ1" s="13">
        <v>61</v>
      </c>
      <c r="BK1" s="13">
        <v>62</v>
      </c>
      <c r="BL1" s="13">
        <v>63</v>
      </c>
      <c r="BM1" s="13">
        <v>64</v>
      </c>
      <c r="BN1" s="13">
        <v>65</v>
      </c>
      <c r="BO1" s="13">
        <v>66</v>
      </c>
      <c r="BP1" s="13">
        <v>67</v>
      </c>
      <c r="BQ1" s="13">
        <v>68</v>
      </c>
      <c r="BR1" s="13">
        <v>69</v>
      </c>
      <c r="BS1" s="13">
        <v>70</v>
      </c>
      <c r="BT1" s="13">
        <v>71</v>
      </c>
      <c r="BU1" s="13">
        <v>72</v>
      </c>
      <c r="BV1" s="13">
        <v>73</v>
      </c>
      <c r="BW1" s="13">
        <v>74</v>
      </c>
      <c r="BX1" s="13">
        <v>75</v>
      </c>
      <c r="BY1" s="13">
        <v>76</v>
      </c>
      <c r="BZ1" s="13">
        <v>77</v>
      </c>
      <c r="CA1" s="13">
        <v>78</v>
      </c>
      <c r="CB1" s="13">
        <v>79</v>
      </c>
      <c r="CC1" s="13">
        <v>80</v>
      </c>
      <c r="CD1" s="13">
        <v>81</v>
      </c>
      <c r="CE1" s="13">
        <v>82</v>
      </c>
      <c r="CF1" s="13">
        <v>83</v>
      </c>
      <c r="CG1" s="13">
        <v>84</v>
      </c>
      <c r="CH1" s="13">
        <v>85</v>
      </c>
      <c r="CI1" s="13">
        <v>86</v>
      </c>
      <c r="CJ1" s="13">
        <v>87</v>
      </c>
      <c r="CK1" s="13">
        <v>88</v>
      </c>
      <c r="CL1" s="13">
        <v>89</v>
      </c>
      <c r="CM1" s="13">
        <v>90</v>
      </c>
      <c r="CN1" s="13">
        <v>91</v>
      </c>
      <c r="CO1" s="13">
        <v>92</v>
      </c>
      <c r="CP1" s="13">
        <v>93</v>
      </c>
      <c r="CQ1" s="13">
        <v>94</v>
      </c>
      <c r="CR1" s="13">
        <v>95</v>
      </c>
      <c r="CS1" s="13">
        <v>96</v>
      </c>
      <c r="CT1" s="13">
        <v>97</v>
      </c>
      <c r="CU1" s="13">
        <v>98</v>
      </c>
      <c r="CV1" s="13">
        <v>99</v>
      </c>
      <c r="CW1" s="13">
        <v>100</v>
      </c>
      <c r="CX1" s="13">
        <v>101</v>
      </c>
    </row>
    <row r="2" spans="1:102">
      <c r="A2" s="13">
        <v>1</v>
      </c>
      <c r="B2" s="14">
        <f>_xlfn.IFNA(SQRT((VLOOKUP(B$1,DATA!$A$3:$F$301,2,FALSE)-VLOOKUP($A2,DATA!$A$3:$F$301,2,FALSE))^2+(VLOOKUP(B$1,DATA!$A$3:$F$301,3,FALSE)-VLOOKUP($A2,DATA!$A$3:$F$301,3,FALSE))^2),"")</f>
        <v>0</v>
      </c>
      <c r="C2" s="14">
        <f>_xlfn.IFNA(SQRT((VLOOKUP(C$1,DATA!$A$3:$F$301,2,FALSE)-VLOOKUP($A2,DATA!$A$3:$F$301,2,FALSE))^2+(VLOOKUP(C$1,DATA!$A$3:$F$301,3,FALSE)-VLOOKUP($A2,DATA!$A$3:$F$301,3,FALSE))^2),"")</f>
        <v>5.0990195135927845</v>
      </c>
      <c r="D2" s="14">
        <f>_xlfn.IFNA(SQRT((VLOOKUP(D$1,DATA!$A$3:$F$301,2,FALSE)-VLOOKUP($A2,DATA!$A$3:$F$301,2,FALSE))^2+(VLOOKUP(D$1,DATA!$A$3:$F$301,3,FALSE)-VLOOKUP($A2,DATA!$A$3:$F$301,3,FALSE))^2),"")</f>
        <v>12</v>
      </c>
      <c r="E2" s="14">
        <f>_xlfn.IFNA(SQRT((VLOOKUP(E$1,DATA!$A$3:$F$301,2,FALSE)-VLOOKUP($A2,DATA!$A$3:$F$301,2,FALSE))^2+(VLOOKUP(E$1,DATA!$A$3:$F$301,3,FALSE)-VLOOKUP($A2,DATA!$A$3:$F$301,3,FALSE))^2),"")</f>
        <v>6.4031242374328485</v>
      </c>
      <c r="F2" s="14">
        <f>_xlfn.IFNA(SQRT((VLOOKUP(F$1,DATA!$A$3:$F$301,2,FALSE)-VLOOKUP($A2,DATA!$A$3:$F$301,2,FALSE))^2+(VLOOKUP(F$1,DATA!$A$3:$F$301,3,FALSE)-VLOOKUP($A2,DATA!$A$3:$F$301,3,FALSE))^2),"")</f>
        <v>25.632011235952593</v>
      </c>
      <c r="G2" s="14">
        <f>_xlfn.IFNA(SQRT((VLOOKUP(G$1,DATA!$A$3:$F$301,2,FALSE)-VLOOKUP($A2,DATA!$A$3:$F$301,2,FALSE))^2+(VLOOKUP(G$1,DATA!$A$3:$F$301,3,FALSE)-VLOOKUP($A2,DATA!$A$3:$F$301,3,FALSE))^2),"")</f>
        <v>22.847319317591726</v>
      </c>
      <c r="H2" s="14">
        <f>_xlfn.IFNA(SQRT((VLOOKUP(H$1,DATA!$A$3:$F$301,2,FALSE)-VLOOKUP($A2,DATA!$A$3:$F$301,2,FALSE))^2+(VLOOKUP(H$1,DATA!$A$3:$F$301,3,FALSE)-VLOOKUP($A2,DATA!$A$3:$F$301,3,FALSE))^2),"")</f>
        <v>30.016662039607269</v>
      </c>
      <c r="I2" s="14">
        <f>_xlfn.IFNA(SQRT((VLOOKUP(I$1,DATA!$A$3:$F$301,2,FALSE)-VLOOKUP($A2,DATA!$A$3:$F$301,2,FALSE))^2+(VLOOKUP(I$1,DATA!$A$3:$F$301,3,FALSE)-VLOOKUP($A2,DATA!$A$3:$F$301,3,FALSE))^2),"")</f>
        <v>34.058772731852805</v>
      </c>
      <c r="J2" s="14">
        <f>_xlfn.IFNA(SQRT((VLOOKUP(J$1,DATA!$A$3:$F$301,2,FALSE)-VLOOKUP($A2,DATA!$A$3:$F$301,2,FALSE))^2+(VLOOKUP(J$1,DATA!$A$3:$F$301,3,FALSE)-VLOOKUP($A2,DATA!$A$3:$F$301,3,FALSE))^2),"")</f>
        <v>14.866068747318506</v>
      </c>
      <c r="K2" s="14">
        <f>_xlfn.IFNA(SQRT((VLOOKUP(K$1,DATA!$A$3:$F$301,2,FALSE)-VLOOKUP($A2,DATA!$A$3:$F$301,2,FALSE))^2+(VLOOKUP(K$1,DATA!$A$3:$F$301,3,FALSE)-VLOOKUP($A2,DATA!$A$3:$F$301,3,FALSE))^2),"")</f>
        <v>13.038404810405298</v>
      </c>
      <c r="L2" s="14">
        <f>_xlfn.IFNA(SQRT((VLOOKUP(L$1,DATA!$A$3:$F$301,2,FALSE)-VLOOKUP($A2,DATA!$A$3:$F$301,2,FALSE))^2+(VLOOKUP(L$1,DATA!$A$3:$F$301,3,FALSE)-VLOOKUP($A2,DATA!$A$3:$F$301,3,FALSE))^2),"")</f>
        <v>30.886890422961002</v>
      </c>
      <c r="M2" s="14">
        <f>_xlfn.IFNA(SQRT((VLOOKUP(M$1,DATA!$A$3:$F$301,2,FALSE)-VLOOKUP($A2,DATA!$A$3:$F$301,2,FALSE))^2+(VLOOKUP(M$1,DATA!$A$3:$F$301,3,FALSE)-VLOOKUP($A2,DATA!$A$3:$F$301,3,FALSE))^2),"")</f>
        <v>12.165525060596439</v>
      </c>
      <c r="N2" s="14">
        <f>_xlfn.IFNA(SQRT((VLOOKUP(N$1,DATA!$A$3:$F$301,2,FALSE)-VLOOKUP($A2,DATA!$A$3:$F$301,2,FALSE))^2+(VLOOKUP(N$1,DATA!$A$3:$F$301,3,FALSE)-VLOOKUP($A2,DATA!$A$3:$F$301,3,FALSE))^2),"")</f>
        <v>6.0827625302982193</v>
      </c>
      <c r="O2" s="14">
        <f>_xlfn.IFNA(SQRT((VLOOKUP(O$1,DATA!$A$3:$F$301,2,FALSE)-VLOOKUP($A2,DATA!$A$3:$F$301,2,FALSE))^2+(VLOOKUP(O$1,DATA!$A$3:$F$301,3,FALSE)-VLOOKUP($A2,DATA!$A$3:$F$301,3,FALSE))^2),"")</f>
        <v>32.893768406797051</v>
      </c>
      <c r="P2" s="14">
        <f>_xlfn.IFNA(SQRT((VLOOKUP(P$1,DATA!$A$3:$F$301,2,FALSE)-VLOOKUP($A2,DATA!$A$3:$F$301,2,FALSE))^2+(VLOOKUP(P$1,DATA!$A$3:$F$301,3,FALSE)-VLOOKUP($A2,DATA!$A$3:$F$301,3,FALSE))^2),"")</f>
        <v>42.426406871192853</v>
      </c>
      <c r="Q2" s="14">
        <f>_xlfn.IFNA(SQRT((VLOOKUP(Q$1,DATA!$A$3:$F$301,2,FALSE)-VLOOKUP($A2,DATA!$A$3:$F$301,2,FALSE))^2+(VLOOKUP(Q$1,DATA!$A$3:$F$301,3,FALSE)-VLOOKUP($A2,DATA!$A$3:$F$301,3,FALSE))^2),"")</f>
        <v>24.698178070456937</v>
      </c>
      <c r="R2" s="14">
        <f>_xlfn.IFNA(SQRT((VLOOKUP(R$1,DATA!$A$3:$F$301,2,FALSE)-VLOOKUP($A2,DATA!$A$3:$F$301,2,FALSE))^2+(VLOOKUP(R$1,DATA!$A$3:$F$301,3,FALSE)-VLOOKUP($A2,DATA!$A$3:$F$301,3,FALSE))^2),"")</f>
        <v>23.600847442411894</v>
      </c>
      <c r="S2" s="14">
        <f>_xlfn.IFNA(SQRT((VLOOKUP(S$1,DATA!$A$3:$F$301,2,FALSE)-VLOOKUP($A2,DATA!$A$3:$F$301,2,FALSE))^2+(VLOOKUP(S$1,DATA!$A$3:$F$301,3,FALSE)-VLOOKUP($A2,DATA!$A$3:$F$301,3,FALSE))^2),"")</f>
        <v>22.022715545545239</v>
      </c>
      <c r="T2" s="14">
        <f>_xlfn.IFNA(SQRT((VLOOKUP(T$1,DATA!$A$3:$F$301,2,FALSE)-VLOOKUP($A2,DATA!$A$3:$F$301,2,FALSE))^2+(VLOOKUP(T$1,DATA!$A$3:$F$301,3,FALSE)-VLOOKUP($A2,DATA!$A$3:$F$301,3,FALSE))^2),"")</f>
        <v>30.016662039607269</v>
      </c>
      <c r="U2" s="14">
        <f>_xlfn.IFNA(SQRT((VLOOKUP(U$1,DATA!$A$3:$F$301,2,FALSE)-VLOOKUP($A2,DATA!$A$3:$F$301,2,FALSE))^2+(VLOOKUP(U$1,DATA!$A$3:$F$301,3,FALSE)-VLOOKUP($A2,DATA!$A$3:$F$301,3,FALSE))^2),"")</f>
        <v>16.643316977093239</v>
      </c>
      <c r="V2" s="14">
        <f>_xlfn.IFNA(SQRT((VLOOKUP(V$1,DATA!$A$3:$F$301,2,FALSE)-VLOOKUP($A2,DATA!$A$3:$F$301,2,FALSE))^2+(VLOOKUP(V$1,DATA!$A$3:$F$301,3,FALSE)-VLOOKUP($A2,DATA!$A$3:$F$301,3,FALSE))^2),"")</f>
        <v>23.021728866442675</v>
      </c>
      <c r="W2" s="14">
        <f>_xlfn.IFNA(SQRT((VLOOKUP(W$1,DATA!$A$3:$F$301,2,FALSE)-VLOOKUP($A2,DATA!$A$3:$F$301,2,FALSE))^2+(VLOOKUP(W$1,DATA!$A$3:$F$301,3,FALSE)-VLOOKUP($A2,DATA!$A$3:$F$301,3,FALSE))^2),"")</f>
        <v>27.658633371878661</v>
      </c>
      <c r="X2" s="14">
        <f>_xlfn.IFNA(SQRT((VLOOKUP(X$1,DATA!$A$3:$F$301,2,FALSE)-VLOOKUP($A2,DATA!$A$3:$F$301,2,FALSE))^2+(VLOOKUP(X$1,DATA!$A$3:$F$301,3,FALSE)-VLOOKUP($A2,DATA!$A$3:$F$301,3,FALSE))^2),"")</f>
        <v>33.734255586865999</v>
      </c>
      <c r="Y2" s="14">
        <f>_xlfn.IFNA(SQRT((VLOOKUP(Y$1,DATA!$A$3:$F$301,2,FALSE)-VLOOKUP($A2,DATA!$A$3:$F$301,2,FALSE))^2+(VLOOKUP(Y$1,DATA!$A$3:$F$301,3,FALSE)-VLOOKUP($A2,DATA!$A$3:$F$301,3,FALSE))^2),"")</f>
        <v>32.649655434629018</v>
      </c>
      <c r="Z2" s="14">
        <f>_xlfn.IFNA(SQRT((VLOOKUP(Z$1,DATA!$A$3:$F$301,2,FALSE)-VLOOKUP($A2,DATA!$A$3:$F$301,2,FALSE))^2+(VLOOKUP(Z$1,DATA!$A$3:$F$301,3,FALSE)-VLOOKUP($A2,DATA!$A$3:$F$301,3,FALSE))^2),"")</f>
        <v>22.671568097509269</v>
      </c>
      <c r="AA2" s="14">
        <f>_xlfn.IFNA(SQRT((VLOOKUP(AA$1,DATA!$A$3:$F$301,2,FALSE)-VLOOKUP($A2,DATA!$A$3:$F$301,2,FALSE))^2+(VLOOKUP(AA$1,DATA!$A$3:$F$301,3,FALSE)-VLOOKUP($A2,DATA!$A$3:$F$301,3,FALSE))^2),"")</f>
        <v>24.596747752497688</v>
      </c>
      <c r="AB2" s="14">
        <f>_xlfn.IFNA(SQRT((VLOOKUP(AB$1,DATA!$A$3:$F$301,2,FALSE)-VLOOKUP($A2,DATA!$A$3:$F$301,2,FALSE))^2+(VLOOKUP(AB$1,DATA!$A$3:$F$301,3,FALSE)-VLOOKUP($A2,DATA!$A$3:$F$301,3,FALSE))^2),"")</f>
        <v>14.142135623730951</v>
      </c>
      <c r="AC2" s="14">
        <f>_xlfn.IFNA(SQRT((VLOOKUP(AC$1,DATA!$A$3:$F$301,2,FALSE)-VLOOKUP($A2,DATA!$A$3:$F$301,2,FALSE))^2+(VLOOKUP(AC$1,DATA!$A$3:$F$301,3,FALSE)-VLOOKUP($A2,DATA!$A$3:$F$301,3,FALSE))^2),"")</f>
        <v>22</v>
      </c>
      <c r="AD2" s="14">
        <f>_xlfn.IFNA(SQRT((VLOOKUP(AD$1,DATA!$A$3:$F$301,2,FALSE)-VLOOKUP($A2,DATA!$A$3:$F$301,2,FALSE))^2+(VLOOKUP(AD$1,DATA!$A$3:$F$301,3,FALSE)-VLOOKUP($A2,DATA!$A$3:$F$301,3,FALSE))^2),"")</f>
        <v>32.572994949804659</v>
      </c>
      <c r="AE2" s="14">
        <f>_xlfn.IFNA(SQRT((VLOOKUP(AE$1,DATA!$A$3:$F$301,2,FALSE)-VLOOKUP($A2,DATA!$A$3:$F$301,2,FALSE))^2+(VLOOKUP(AE$1,DATA!$A$3:$F$301,3,FALSE)-VLOOKUP($A2,DATA!$A$3:$F$301,3,FALSE))^2),"")</f>
        <v>26.40075756488817</v>
      </c>
      <c r="AF2" s="14">
        <f>_xlfn.IFNA(SQRT((VLOOKUP(AF$1,DATA!$A$3:$F$301,2,FALSE)-VLOOKUP($A2,DATA!$A$3:$F$301,2,FALSE))^2+(VLOOKUP(AF$1,DATA!$A$3:$F$301,3,FALSE)-VLOOKUP($A2,DATA!$A$3:$F$301,3,FALSE))^2),"")</f>
        <v>21.931712199461309</v>
      </c>
      <c r="AG2" s="14">
        <f>_xlfn.IFNA(SQRT((VLOOKUP(AG$1,DATA!$A$3:$F$301,2,FALSE)-VLOOKUP($A2,DATA!$A$3:$F$301,2,FALSE))^2+(VLOOKUP(AG$1,DATA!$A$3:$F$301,3,FALSE)-VLOOKUP($A2,DATA!$A$3:$F$301,3,FALSE))^2),"")</f>
        <v>20</v>
      </c>
      <c r="AH2" s="14">
        <f>_xlfn.IFNA(SQRT((VLOOKUP(AH$1,DATA!$A$3:$F$301,2,FALSE)-VLOOKUP($A2,DATA!$A$3:$F$301,2,FALSE))^2+(VLOOKUP(AH$1,DATA!$A$3:$F$301,3,FALSE)-VLOOKUP($A2,DATA!$A$3:$F$301,3,FALSE))^2),"")</f>
        <v>15.811388300841896</v>
      </c>
      <c r="AI2" s="14">
        <f>_xlfn.IFNA(SQRT((VLOOKUP(AI$1,DATA!$A$3:$F$301,2,FALSE)-VLOOKUP($A2,DATA!$A$3:$F$301,2,FALSE))^2+(VLOOKUP(AI$1,DATA!$A$3:$F$301,3,FALSE)-VLOOKUP($A2,DATA!$A$3:$F$301,3,FALSE))^2),"")</f>
        <v>21.2602916254693</v>
      </c>
      <c r="AJ2" s="14">
        <f>_xlfn.IFNA(SQRT((VLOOKUP(AJ$1,DATA!$A$3:$F$301,2,FALSE)-VLOOKUP($A2,DATA!$A$3:$F$301,2,FALSE))^2+(VLOOKUP(AJ$1,DATA!$A$3:$F$301,3,FALSE)-VLOOKUP($A2,DATA!$A$3:$F$301,3,FALSE))^2),"")</f>
        <v>30.594117081556711</v>
      </c>
      <c r="AK2" s="14">
        <f>_xlfn.IFNA(SQRT((VLOOKUP(AK$1,DATA!$A$3:$F$301,2,FALSE)-VLOOKUP($A2,DATA!$A$3:$F$301,2,FALSE))^2+(VLOOKUP(AK$1,DATA!$A$3:$F$301,3,FALSE)-VLOOKUP($A2,DATA!$A$3:$F$301,3,FALSE))^2),"")</f>
        <v>16.552945357246848</v>
      </c>
      <c r="AL2" s="14">
        <f>_xlfn.IFNA(SQRT((VLOOKUP(AL$1,DATA!$A$3:$F$301,2,FALSE)-VLOOKUP($A2,DATA!$A$3:$F$301,2,FALSE))^2+(VLOOKUP(AL$1,DATA!$A$3:$F$301,3,FALSE)-VLOOKUP($A2,DATA!$A$3:$F$301,3,FALSE))^2),"")</f>
        <v>38.832975677895199</v>
      </c>
      <c r="AM2" s="14">
        <f>_xlfn.IFNA(SQRT((VLOOKUP(AM$1,DATA!$A$3:$F$301,2,FALSE)-VLOOKUP($A2,DATA!$A$3:$F$301,2,FALSE))^2+(VLOOKUP(AM$1,DATA!$A$3:$F$301,3,FALSE)-VLOOKUP($A2,DATA!$A$3:$F$301,3,FALSE))^2),"")</f>
        <v>26.248809496813376</v>
      </c>
      <c r="AN2" s="14">
        <f>_xlfn.IFNA(SQRT((VLOOKUP(AN$1,DATA!$A$3:$F$301,2,FALSE)-VLOOKUP($A2,DATA!$A$3:$F$301,2,FALSE))^2+(VLOOKUP(AN$1,DATA!$A$3:$F$301,3,FALSE)-VLOOKUP($A2,DATA!$A$3:$F$301,3,FALSE))^2),"")</f>
        <v>32.893768406797051</v>
      </c>
      <c r="AO2" s="14">
        <f>_xlfn.IFNA(SQRT((VLOOKUP(AO$1,DATA!$A$3:$F$301,2,FALSE)-VLOOKUP($A2,DATA!$A$3:$F$301,2,FALSE))^2+(VLOOKUP(AO$1,DATA!$A$3:$F$301,3,FALSE)-VLOOKUP($A2,DATA!$A$3:$F$301,3,FALSE))^2),"")</f>
        <v>15.652475842498529</v>
      </c>
      <c r="AP2" s="14" t="str">
        <f>_xlfn.IFNA(SQRT((VLOOKUP(AP$1,DATA!$A$3:$F$301,2,FALSE)-VLOOKUP($A2,DATA!$A$3:$F$301,2,FALSE))^2+(VLOOKUP(AP$1,DATA!$A$3:$F$301,3,FALSE)-VLOOKUP($A2,DATA!$A$3:$F$301,3,FALSE))^2),"")</f>
        <v/>
      </c>
      <c r="AQ2" s="14" t="str">
        <f>_xlfn.IFNA(SQRT((VLOOKUP(AQ$1,DATA!$A$3:$F$301,2,FALSE)-VLOOKUP($A2,DATA!$A$3:$F$301,2,FALSE))^2+(VLOOKUP(AQ$1,DATA!$A$3:$F$301,3,FALSE)-VLOOKUP($A2,DATA!$A$3:$F$301,3,FALSE))^2),"")</f>
        <v/>
      </c>
      <c r="AR2" s="14" t="str">
        <f>_xlfn.IFNA(SQRT((VLOOKUP(AR$1,DATA!$A$3:$F$301,2,FALSE)-VLOOKUP($A2,DATA!$A$3:$F$301,2,FALSE))^2+(VLOOKUP(AR$1,DATA!$A$3:$F$301,3,FALSE)-VLOOKUP($A2,DATA!$A$3:$F$301,3,FALSE))^2),"")</f>
        <v/>
      </c>
      <c r="AS2" s="14" t="str">
        <f>_xlfn.IFNA(SQRT((VLOOKUP(AS$1,DATA!$A$3:$F$301,2,FALSE)-VLOOKUP($A2,DATA!$A$3:$F$301,2,FALSE))^2+(VLOOKUP(AS$1,DATA!$A$3:$F$301,3,FALSE)-VLOOKUP($A2,DATA!$A$3:$F$301,3,FALSE))^2),"")</f>
        <v/>
      </c>
      <c r="AT2" s="14" t="str">
        <f>_xlfn.IFNA(SQRT((VLOOKUP(AT$1,DATA!$A$3:$F$301,2,FALSE)-VLOOKUP($A2,DATA!$A$3:$F$301,2,FALSE))^2+(VLOOKUP(AT$1,DATA!$A$3:$F$301,3,FALSE)-VLOOKUP($A2,DATA!$A$3:$F$301,3,FALSE))^2),"")</f>
        <v/>
      </c>
      <c r="AU2" s="14" t="str">
        <f>_xlfn.IFNA(SQRT((VLOOKUP(AU$1,DATA!$A$3:$F$301,2,FALSE)-VLOOKUP($A2,DATA!$A$3:$F$301,2,FALSE))^2+(VLOOKUP(AU$1,DATA!$A$3:$F$301,3,FALSE)-VLOOKUP($A2,DATA!$A$3:$F$301,3,FALSE))^2),"")</f>
        <v/>
      </c>
      <c r="AV2" s="14" t="str">
        <f>_xlfn.IFNA(SQRT((VLOOKUP(AV$1,DATA!$A$3:$F$301,2,FALSE)-VLOOKUP($A2,DATA!$A$3:$F$301,2,FALSE))^2+(VLOOKUP(AV$1,DATA!$A$3:$F$301,3,FALSE)-VLOOKUP($A2,DATA!$A$3:$F$301,3,FALSE))^2),"")</f>
        <v/>
      </c>
      <c r="AW2" s="14" t="str">
        <f>_xlfn.IFNA(SQRT((VLOOKUP(AW$1,DATA!$A$3:$F$301,2,FALSE)-VLOOKUP($A2,DATA!$A$3:$F$301,2,FALSE))^2+(VLOOKUP(AW$1,DATA!$A$3:$F$301,3,FALSE)-VLOOKUP($A2,DATA!$A$3:$F$301,3,FALSE))^2),"")</f>
        <v/>
      </c>
      <c r="AX2" s="14" t="str">
        <f>_xlfn.IFNA(SQRT((VLOOKUP(AX$1,DATA!$A$3:$F$301,2,FALSE)-VLOOKUP($A2,DATA!$A$3:$F$301,2,FALSE))^2+(VLOOKUP(AX$1,DATA!$A$3:$F$301,3,FALSE)-VLOOKUP($A2,DATA!$A$3:$F$301,3,FALSE))^2),"")</f>
        <v/>
      </c>
      <c r="AY2" s="14" t="str">
        <f>_xlfn.IFNA(SQRT((VLOOKUP(AY$1,DATA!$A$3:$F$301,2,FALSE)-VLOOKUP($A2,DATA!$A$3:$F$301,2,FALSE))^2+(VLOOKUP(AY$1,DATA!$A$3:$F$301,3,FALSE)-VLOOKUP($A2,DATA!$A$3:$F$301,3,FALSE))^2),"")</f>
        <v/>
      </c>
      <c r="AZ2" s="14" t="str">
        <f>_xlfn.IFNA(SQRT((VLOOKUP(AZ$1,DATA!$A$3:$F$301,2,FALSE)-VLOOKUP($A2,DATA!$A$3:$F$301,2,FALSE))^2+(VLOOKUP(AZ$1,DATA!$A$3:$F$301,3,FALSE)-VLOOKUP($A2,DATA!$A$3:$F$301,3,FALSE))^2),"")</f>
        <v/>
      </c>
      <c r="BA2" s="14" t="str">
        <f>_xlfn.IFNA(SQRT((VLOOKUP(BA$1,DATA!$A$3:$F$301,2,FALSE)-VLOOKUP($A2,DATA!$A$3:$F$301,2,FALSE))^2+(VLOOKUP(BA$1,DATA!$A$3:$F$301,3,FALSE)-VLOOKUP($A2,DATA!$A$3:$F$301,3,FALSE))^2),"")</f>
        <v/>
      </c>
      <c r="BB2" s="14" t="str">
        <f>_xlfn.IFNA(SQRT((VLOOKUP(BB$1,DATA!$A$3:$F$301,2,FALSE)-VLOOKUP($A2,DATA!$A$3:$F$301,2,FALSE))^2+(VLOOKUP(BB$1,DATA!$A$3:$F$301,3,FALSE)-VLOOKUP($A2,DATA!$A$3:$F$301,3,FALSE))^2),"")</f>
        <v/>
      </c>
      <c r="BC2" s="14" t="str">
        <f>_xlfn.IFNA(SQRT((VLOOKUP(BC$1,DATA!$A$3:$F$301,2,FALSE)-VLOOKUP($A2,DATA!$A$3:$F$301,2,FALSE))^2+(VLOOKUP(BC$1,DATA!$A$3:$F$301,3,FALSE)-VLOOKUP($A2,DATA!$A$3:$F$301,3,FALSE))^2),"")</f>
        <v/>
      </c>
      <c r="BD2" s="14" t="str">
        <f>_xlfn.IFNA(SQRT((VLOOKUP(BD$1,DATA!$A$3:$F$301,2,FALSE)-VLOOKUP($A2,DATA!$A$3:$F$301,2,FALSE))^2+(VLOOKUP(BD$1,DATA!$A$3:$F$301,3,FALSE)-VLOOKUP($A2,DATA!$A$3:$F$301,3,FALSE))^2),"")</f>
        <v/>
      </c>
      <c r="BE2" s="14" t="str">
        <f>_xlfn.IFNA(SQRT((VLOOKUP(BE$1,DATA!$A$3:$F$301,2,FALSE)-VLOOKUP($A2,DATA!$A$3:$F$301,2,FALSE))^2+(VLOOKUP(BE$1,DATA!$A$3:$F$301,3,FALSE)-VLOOKUP($A2,DATA!$A$3:$F$301,3,FALSE))^2),"")</f>
        <v/>
      </c>
      <c r="BF2" s="14" t="str">
        <f>_xlfn.IFNA(SQRT((VLOOKUP(BF$1,DATA!$A$3:$F$301,2,FALSE)-VLOOKUP($A2,DATA!$A$3:$F$301,2,FALSE))^2+(VLOOKUP(BF$1,DATA!$A$3:$F$301,3,FALSE)-VLOOKUP($A2,DATA!$A$3:$F$301,3,FALSE))^2),"")</f>
        <v/>
      </c>
      <c r="BG2" s="14" t="str">
        <f>_xlfn.IFNA(SQRT((VLOOKUP(BG$1,DATA!$A$3:$F$301,2,FALSE)-VLOOKUP($A2,DATA!$A$3:$F$301,2,FALSE))^2+(VLOOKUP(BG$1,DATA!$A$3:$F$301,3,FALSE)-VLOOKUP($A2,DATA!$A$3:$F$301,3,FALSE))^2),"")</f>
        <v/>
      </c>
      <c r="BH2" s="14" t="str">
        <f>_xlfn.IFNA(SQRT((VLOOKUP(BH$1,DATA!$A$3:$F$301,2,FALSE)-VLOOKUP($A2,DATA!$A$3:$F$301,2,FALSE))^2+(VLOOKUP(BH$1,DATA!$A$3:$F$301,3,FALSE)-VLOOKUP($A2,DATA!$A$3:$F$301,3,FALSE))^2),"")</f>
        <v/>
      </c>
      <c r="BI2" s="14" t="str">
        <f>_xlfn.IFNA(SQRT((VLOOKUP(BI$1,DATA!$A$3:$F$301,2,FALSE)-VLOOKUP($A2,DATA!$A$3:$F$301,2,FALSE))^2+(VLOOKUP(BI$1,DATA!$A$3:$F$301,3,FALSE)-VLOOKUP($A2,DATA!$A$3:$F$301,3,FALSE))^2),"")</f>
        <v/>
      </c>
      <c r="BJ2" s="14" t="str">
        <f>_xlfn.IFNA(SQRT((VLOOKUP(BJ$1,DATA!$A$3:$F$301,2,FALSE)-VLOOKUP($A2,DATA!$A$3:$F$301,2,FALSE))^2+(VLOOKUP(BJ$1,DATA!$A$3:$F$301,3,FALSE)-VLOOKUP($A2,DATA!$A$3:$F$301,3,FALSE))^2),"")</f>
        <v/>
      </c>
      <c r="BK2" s="14" t="str">
        <f>_xlfn.IFNA(SQRT((VLOOKUP(BK$1,DATA!$A$3:$F$301,2,FALSE)-VLOOKUP($A2,DATA!$A$3:$F$301,2,FALSE))^2+(VLOOKUP(BK$1,DATA!$A$3:$F$301,3,FALSE)-VLOOKUP($A2,DATA!$A$3:$F$301,3,FALSE))^2),"")</f>
        <v/>
      </c>
      <c r="BL2" s="14" t="str">
        <f>_xlfn.IFNA(SQRT((VLOOKUP(BL$1,DATA!$A$3:$F$301,2,FALSE)-VLOOKUP($A2,DATA!$A$3:$F$301,2,FALSE))^2+(VLOOKUP(BL$1,DATA!$A$3:$F$301,3,FALSE)-VLOOKUP($A2,DATA!$A$3:$F$301,3,FALSE))^2),"")</f>
        <v/>
      </c>
      <c r="BM2" s="14" t="str">
        <f>_xlfn.IFNA(SQRT((VLOOKUP(BM$1,DATA!$A$3:$F$301,2,FALSE)-VLOOKUP($A2,DATA!$A$3:$F$301,2,FALSE))^2+(VLOOKUP(BM$1,DATA!$A$3:$F$301,3,FALSE)-VLOOKUP($A2,DATA!$A$3:$F$301,3,FALSE))^2),"")</f>
        <v/>
      </c>
      <c r="BN2" s="14" t="str">
        <f>_xlfn.IFNA(SQRT((VLOOKUP(BN$1,DATA!$A$3:$F$301,2,FALSE)-VLOOKUP($A2,DATA!$A$3:$F$301,2,FALSE))^2+(VLOOKUP(BN$1,DATA!$A$3:$F$301,3,FALSE)-VLOOKUP($A2,DATA!$A$3:$F$301,3,FALSE))^2),"")</f>
        <v/>
      </c>
      <c r="BO2" s="14" t="str">
        <f>_xlfn.IFNA(SQRT((VLOOKUP(BO$1,DATA!$A$3:$F$301,2,FALSE)-VLOOKUP($A2,DATA!$A$3:$F$301,2,FALSE))^2+(VLOOKUP(BO$1,DATA!$A$3:$F$301,3,FALSE)-VLOOKUP($A2,DATA!$A$3:$F$301,3,FALSE))^2),"")</f>
        <v/>
      </c>
      <c r="BP2" s="14" t="str">
        <f>_xlfn.IFNA(SQRT((VLOOKUP(BP$1,DATA!$A$3:$F$301,2,FALSE)-VLOOKUP($A2,DATA!$A$3:$F$301,2,FALSE))^2+(VLOOKUP(BP$1,DATA!$A$3:$F$301,3,FALSE)-VLOOKUP($A2,DATA!$A$3:$F$301,3,FALSE))^2),"")</f>
        <v/>
      </c>
      <c r="BQ2" s="14" t="str">
        <f>_xlfn.IFNA(SQRT((VLOOKUP(BQ$1,DATA!$A$3:$F$301,2,FALSE)-VLOOKUP($A2,DATA!$A$3:$F$301,2,FALSE))^2+(VLOOKUP(BQ$1,DATA!$A$3:$F$301,3,FALSE)-VLOOKUP($A2,DATA!$A$3:$F$301,3,FALSE))^2),"")</f>
        <v/>
      </c>
      <c r="BR2" s="14" t="str">
        <f>_xlfn.IFNA(SQRT((VLOOKUP(BR$1,DATA!$A$3:$F$301,2,FALSE)-VLOOKUP($A2,DATA!$A$3:$F$301,2,FALSE))^2+(VLOOKUP(BR$1,DATA!$A$3:$F$301,3,FALSE)-VLOOKUP($A2,DATA!$A$3:$F$301,3,FALSE))^2),"")</f>
        <v/>
      </c>
      <c r="BS2" s="14" t="str">
        <f>_xlfn.IFNA(SQRT((VLOOKUP(BS$1,DATA!$A$3:$F$301,2,FALSE)-VLOOKUP($A2,DATA!$A$3:$F$301,2,FALSE))^2+(VLOOKUP(BS$1,DATA!$A$3:$F$301,3,FALSE)-VLOOKUP($A2,DATA!$A$3:$F$301,3,FALSE))^2),"")</f>
        <v/>
      </c>
      <c r="BT2" s="14" t="str">
        <f>_xlfn.IFNA(SQRT((VLOOKUP(BT$1,DATA!$A$3:$F$301,2,FALSE)-VLOOKUP($A2,DATA!$A$3:$F$301,2,FALSE))^2+(VLOOKUP(BT$1,DATA!$A$3:$F$301,3,FALSE)-VLOOKUP($A2,DATA!$A$3:$F$301,3,FALSE))^2),"")</f>
        <v/>
      </c>
      <c r="BU2" s="14" t="str">
        <f>_xlfn.IFNA(SQRT((VLOOKUP(BU$1,DATA!$A$3:$F$301,2,FALSE)-VLOOKUP($A2,DATA!$A$3:$F$301,2,FALSE))^2+(VLOOKUP(BU$1,DATA!$A$3:$F$301,3,FALSE)-VLOOKUP($A2,DATA!$A$3:$F$301,3,FALSE))^2),"")</f>
        <v/>
      </c>
      <c r="BV2" s="14" t="str">
        <f>_xlfn.IFNA(SQRT((VLOOKUP(BV$1,DATA!$A$3:$F$301,2,FALSE)-VLOOKUP($A2,DATA!$A$3:$F$301,2,FALSE))^2+(VLOOKUP(BV$1,DATA!$A$3:$F$301,3,FALSE)-VLOOKUP($A2,DATA!$A$3:$F$301,3,FALSE))^2),"")</f>
        <v/>
      </c>
      <c r="BW2" s="14" t="str">
        <f>_xlfn.IFNA(SQRT((VLOOKUP(BW$1,DATA!$A$3:$F$301,2,FALSE)-VLOOKUP($A2,DATA!$A$3:$F$301,2,FALSE))^2+(VLOOKUP(BW$1,DATA!$A$3:$F$301,3,FALSE)-VLOOKUP($A2,DATA!$A$3:$F$301,3,FALSE))^2),"")</f>
        <v/>
      </c>
      <c r="BX2" s="14" t="str">
        <f>_xlfn.IFNA(SQRT((VLOOKUP(BX$1,DATA!$A$3:$F$301,2,FALSE)-VLOOKUP($A2,DATA!$A$3:$F$301,2,FALSE))^2+(VLOOKUP(BX$1,DATA!$A$3:$F$301,3,FALSE)-VLOOKUP($A2,DATA!$A$3:$F$301,3,FALSE))^2),"")</f>
        <v/>
      </c>
      <c r="BY2" s="14" t="str">
        <f>_xlfn.IFNA(SQRT((VLOOKUP(BY$1,DATA!$A$3:$F$301,2,FALSE)-VLOOKUP($A2,DATA!$A$3:$F$301,2,FALSE))^2+(VLOOKUP(BY$1,DATA!$A$3:$F$301,3,FALSE)-VLOOKUP($A2,DATA!$A$3:$F$301,3,FALSE))^2),"")</f>
        <v/>
      </c>
      <c r="BZ2" s="14" t="str">
        <f>_xlfn.IFNA(SQRT((VLOOKUP(BZ$1,DATA!$A$3:$F$301,2,FALSE)-VLOOKUP($A2,DATA!$A$3:$F$301,2,FALSE))^2+(VLOOKUP(BZ$1,DATA!$A$3:$F$301,3,FALSE)-VLOOKUP($A2,DATA!$A$3:$F$301,3,FALSE))^2),"")</f>
        <v/>
      </c>
      <c r="CA2" s="14" t="str">
        <f>_xlfn.IFNA(SQRT((VLOOKUP(CA$1,DATA!$A$3:$F$301,2,FALSE)-VLOOKUP($A2,DATA!$A$3:$F$301,2,FALSE))^2+(VLOOKUP(CA$1,DATA!$A$3:$F$301,3,FALSE)-VLOOKUP($A2,DATA!$A$3:$F$301,3,FALSE))^2),"")</f>
        <v/>
      </c>
      <c r="CB2" s="14" t="str">
        <f>_xlfn.IFNA(SQRT((VLOOKUP(CB$1,DATA!$A$3:$F$301,2,FALSE)-VLOOKUP($A2,DATA!$A$3:$F$301,2,FALSE))^2+(VLOOKUP(CB$1,DATA!$A$3:$F$301,3,FALSE)-VLOOKUP($A2,DATA!$A$3:$F$301,3,FALSE))^2),"")</f>
        <v/>
      </c>
      <c r="CC2" s="14" t="str">
        <f>_xlfn.IFNA(SQRT((VLOOKUP(CC$1,DATA!$A$3:$F$301,2,FALSE)-VLOOKUP($A2,DATA!$A$3:$F$301,2,FALSE))^2+(VLOOKUP(CC$1,DATA!$A$3:$F$301,3,FALSE)-VLOOKUP($A2,DATA!$A$3:$F$301,3,FALSE))^2),"")</f>
        <v/>
      </c>
      <c r="CD2" s="14" t="str">
        <f>_xlfn.IFNA(SQRT((VLOOKUP(CD$1,DATA!$A$3:$F$301,2,FALSE)-VLOOKUP($A2,DATA!$A$3:$F$301,2,FALSE))^2+(VLOOKUP(CD$1,DATA!$A$3:$F$301,3,FALSE)-VLOOKUP($A2,DATA!$A$3:$F$301,3,FALSE))^2),"")</f>
        <v/>
      </c>
      <c r="CE2" s="14" t="str">
        <f>_xlfn.IFNA(SQRT((VLOOKUP(CE$1,DATA!$A$3:$F$301,2,FALSE)-VLOOKUP($A2,DATA!$A$3:$F$301,2,FALSE))^2+(VLOOKUP(CE$1,DATA!$A$3:$F$301,3,FALSE)-VLOOKUP($A2,DATA!$A$3:$F$301,3,FALSE))^2),"")</f>
        <v/>
      </c>
      <c r="CF2" s="14" t="str">
        <f>_xlfn.IFNA(SQRT((VLOOKUP(CF$1,DATA!$A$3:$F$301,2,FALSE)-VLOOKUP($A2,DATA!$A$3:$F$301,2,FALSE))^2+(VLOOKUP(CF$1,DATA!$A$3:$F$301,3,FALSE)-VLOOKUP($A2,DATA!$A$3:$F$301,3,FALSE))^2),"")</f>
        <v/>
      </c>
      <c r="CG2" s="14" t="str">
        <f>_xlfn.IFNA(SQRT((VLOOKUP(CG$1,DATA!$A$3:$F$301,2,FALSE)-VLOOKUP($A2,DATA!$A$3:$F$301,2,FALSE))^2+(VLOOKUP(CG$1,DATA!$A$3:$F$301,3,FALSE)-VLOOKUP($A2,DATA!$A$3:$F$301,3,FALSE))^2),"")</f>
        <v/>
      </c>
      <c r="CH2" s="14" t="str">
        <f>_xlfn.IFNA(SQRT((VLOOKUP(CH$1,DATA!$A$3:$F$301,2,FALSE)-VLOOKUP($A2,DATA!$A$3:$F$301,2,FALSE))^2+(VLOOKUP(CH$1,DATA!$A$3:$F$301,3,FALSE)-VLOOKUP($A2,DATA!$A$3:$F$301,3,FALSE))^2),"")</f>
        <v/>
      </c>
      <c r="CI2" s="14" t="str">
        <f>_xlfn.IFNA(SQRT((VLOOKUP(CI$1,DATA!$A$3:$F$301,2,FALSE)-VLOOKUP($A2,DATA!$A$3:$F$301,2,FALSE))^2+(VLOOKUP(CI$1,DATA!$A$3:$F$301,3,FALSE)-VLOOKUP($A2,DATA!$A$3:$F$301,3,FALSE))^2),"")</f>
        <v/>
      </c>
      <c r="CJ2" s="14" t="str">
        <f>_xlfn.IFNA(SQRT((VLOOKUP(CJ$1,DATA!$A$3:$F$301,2,FALSE)-VLOOKUP($A2,DATA!$A$3:$F$301,2,FALSE))^2+(VLOOKUP(CJ$1,DATA!$A$3:$F$301,3,FALSE)-VLOOKUP($A2,DATA!$A$3:$F$301,3,FALSE))^2),"")</f>
        <v/>
      </c>
      <c r="CK2" s="14" t="str">
        <f>_xlfn.IFNA(SQRT((VLOOKUP(CK$1,DATA!$A$3:$F$301,2,FALSE)-VLOOKUP($A2,DATA!$A$3:$F$301,2,FALSE))^2+(VLOOKUP(CK$1,DATA!$A$3:$F$301,3,FALSE)-VLOOKUP($A2,DATA!$A$3:$F$301,3,FALSE))^2),"")</f>
        <v/>
      </c>
      <c r="CL2" s="14" t="str">
        <f>_xlfn.IFNA(SQRT((VLOOKUP(CL$1,DATA!$A$3:$F$301,2,FALSE)-VLOOKUP($A2,DATA!$A$3:$F$301,2,FALSE))^2+(VLOOKUP(CL$1,DATA!$A$3:$F$301,3,FALSE)-VLOOKUP($A2,DATA!$A$3:$F$301,3,FALSE))^2),"")</f>
        <v/>
      </c>
      <c r="CM2" s="14" t="str">
        <f>_xlfn.IFNA(SQRT((VLOOKUP(CM$1,DATA!$A$3:$F$301,2,FALSE)-VLOOKUP($A2,DATA!$A$3:$F$301,2,FALSE))^2+(VLOOKUP(CM$1,DATA!$A$3:$F$301,3,FALSE)-VLOOKUP($A2,DATA!$A$3:$F$301,3,FALSE))^2),"")</f>
        <v/>
      </c>
      <c r="CN2" s="14" t="str">
        <f>_xlfn.IFNA(SQRT((VLOOKUP(CN$1,DATA!$A$3:$F$301,2,FALSE)-VLOOKUP($A2,DATA!$A$3:$F$301,2,FALSE))^2+(VLOOKUP(CN$1,DATA!$A$3:$F$301,3,FALSE)-VLOOKUP($A2,DATA!$A$3:$F$301,3,FALSE))^2),"")</f>
        <v/>
      </c>
      <c r="CO2" s="14" t="str">
        <f>_xlfn.IFNA(SQRT((VLOOKUP(CO$1,DATA!$A$3:$F$301,2,FALSE)-VLOOKUP($A2,DATA!$A$3:$F$301,2,FALSE))^2+(VLOOKUP(CO$1,DATA!$A$3:$F$301,3,FALSE)-VLOOKUP($A2,DATA!$A$3:$F$301,3,FALSE))^2),"")</f>
        <v/>
      </c>
      <c r="CP2" s="14" t="str">
        <f>_xlfn.IFNA(SQRT((VLOOKUP(CP$1,DATA!$A$3:$F$301,2,FALSE)-VLOOKUP($A2,DATA!$A$3:$F$301,2,FALSE))^2+(VLOOKUP(CP$1,DATA!$A$3:$F$301,3,FALSE)-VLOOKUP($A2,DATA!$A$3:$F$301,3,FALSE))^2),"")</f>
        <v/>
      </c>
      <c r="CQ2" s="14" t="str">
        <f>_xlfn.IFNA(SQRT((VLOOKUP(CQ$1,DATA!$A$3:$F$301,2,FALSE)-VLOOKUP($A2,DATA!$A$3:$F$301,2,FALSE))^2+(VLOOKUP(CQ$1,DATA!$A$3:$F$301,3,FALSE)-VLOOKUP($A2,DATA!$A$3:$F$301,3,FALSE))^2),"")</f>
        <v/>
      </c>
      <c r="CR2" s="14" t="str">
        <f>_xlfn.IFNA(SQRT((VLOOKUP(CR$1,DATA!$A$3:$F$301,2,FALSE)-VLOOKUP($A2,DATA!$A$3:$F$301,2,FALSE))^2+(VLOOKUP(CR$1,DATA!$A$3:$F$301,3,FALSE)-VLOOKUP($A2,DATA!$A$3:$F$301,3,FALSE))^2),"")</f>
        <v/>
      </c>
      <c r="CS2" s="14" t="str">
        <f>_xlfn.IFNA(SQRT((VLOOKUP(CS$1,DATA!$A$3:$F$301,2,FALSE)-VLOOKUP($A2,DATA!$A$3:$F$301,2,FALSE))^2+(VLOOKUP(CS$1,DATA!$A$3:$F$301,3,FALSE)-VLOOKUP($A2,DATA!$A$3:$F$301,3,FALSE))^2),"")</f>
        <v/>
      </c>
      <c r="CT2" s="14" t="str">
        <f>_xlfn.IFNA(SQRT((VLOOKUP(CT$1,DATA!$A$3:$F$301,2,FALSE)-VLOOKUP($A2,DATA!$A$3:$F$301,2,FALSE))^2+(VLOOKUP(CT$1,DATA!$A$3:$F$301,3,FALSE)-VLOOKUP($A2,DATA!$A$3:$F$301,3,FALSE))^2),"")</f>
        <v/>
      </c>
      <c r="CU2" s="14" t="str">
        <f>_xlfn.IFNA(SQRT((VLOOKUP(CU$1,DATA!$A$3:$F$301,2,FALSE)-VLOOKUP($A2,DATA!$A$3:$F$301,2,FALSE))^2+(VLOOKUP(CU$1,DATA!$A$3:$F$301,3,FALSE)-VLOOKUP($A2,DATA!$A$3:$F$301,3,FALSE))^2),"")</f>
        <v/>
      </c>
      <c r="CV2" s="14" t="str">
        <f>_xlfn.IFNA(SQRT((VLOOKUP(CV$1,DATA!$A$3:$F$301,2,FALSE)-VLOOKUP($A2,DATA!$A$3:$F$301,2,FALSE))^2+(VLOOKUP(CV$1,DATA!$A$3:$F$301,3,FALSE)-VLOOKUP($A2,DATA!$A$3:$F$301,3,FALSE))^2),"")</f>
        <v/>
      </c>
      <c r="CW2" s="14" t="str">
        <f>_xlfn.IFNA(SQRT((VLOOKUP(CW$1,DATA!$A$3:$F$301,2,FALSE)-VLOOKUP($A2,DATA!$A$3:$F$301,2,FALSE))^2+(VLOOKUP(CW$1,DATA!$A$3:$F$301,3,FALSE)-VLOOKUP($A2,DATA!$A$3:$F$301,3,FALSE))^2),"")</f>
        <v/>
      </c>
      <c r="CX2" s="14" t="str">
        <f>_xlfn.IFNA(SQRT((VLOOKUP(CX$1,DATA!$A$3:$F$301,2,FALSE)-VLOOKUP($A2,DATA!$A$3:$F$301,2,FALSE))^2+(VLOOKUP(CX$1,DATA!$A$3:$F$301,3,FALSE)-VLOOKUP($A2,DATA!$A$3:$F$301,3,FALSE))^2),"")</f>
        <v/>
      </c>
    </row>
    <row r="3" spans="1:102">
      <c r="A3" s="13">
        <v>2</v>
      </c>
      <c r="B3" s="14">
        <f>_xlfn.IFNA(SQRT((VLOOKUP(B$1,DATA!$A$3:$F$301,2,FALSE)-VLOOKUP($A3,DATA!$A$3:$F$301,2,FALSE))^2+(VLOOKUP(B$1,DATA!$A$3:$F$301,3,FALSE)-VLOOKUP($A3,DATA!$A$3:$F$301,3,FALSE))^2),"")</f>
        <v>5.0990195135927845</v>
      </c>
      <c r="C3" s="14">
        <f>_xlfn.IFNA(SQRT((VLOOKUP(C$1,DATA!$A$3:$F$301,2,FALSE)-VLOOKUP($A3,DATA!$A$3:$F$301,2,FALSE))^2+(VLOOKUP(C$1,DATA!$A$3:$F$301,3,FALSE)-VLOOKUP($A3,DATA!$A$3:$F$301,3,FALSE))^2),"")</f>
        <v>0</v>
      </c>
      <c r="D3" s="14">
        <f>_xlfn.IFNA(SQRT((VLOOKUP(D$1,DATA!$A$3:$F$301,2,FALSE)-VLOOKUP($A3,DATA!$A$3:$F$301,2,FALSE))^2+(VLOOKUP(D$1,DATA!$A$3:$F$301,3,FALSE)-VLOOKUP($A3,DATA!$A$3:$F$301,3,FALSE))^2),"")</f>
        <v>13.928388277184119</v>
      </c>
      <c r="E3" s="14">
        <f>_xlfn.IFNA(SQRT((VLOOKUP(E$1,DATA!$A$3:$F$301,2,FALSE)-VLOOKUP($A3,DATA!$A$3:$F$301,2,FALSE))^2+(VLOOKUP(E$1,DATA!$A$3:$F$301,3,FALSE)-VLOOKUP($A3,DATA!$A$3:$F$301,3,FALSE))^2),"")</f>
        <v>10.816653826391969</v>
      </c>
      <c r="F3" s="14">
        <f>_xlfn.IFNA(SQRT((VLOOKUP(F$1,DATA!$A$3:$F$301,2,FALSE)-VLOOKUP($A3,DATA!$A$3:$F$301,2,FALSE))^2+(VLOOKUP(F$1,DATA!$A$3:$F$301,3,FALSE)-VLOOKUP($A3,DATA!$A$3:$F$301,3,FALSE))^2),"")</f>
        <v>23.345235059857504</v>
      </c>
      <c r="G3" s="14">
        <f>_xlfn.IFNA(SQRT((VLOOKUP(G$1,DATA!$A$3:$F$301,2,FALSE)-VLOOKUP($A3,DATA!$A$3:$F$301,2,FALSE))^2+(VLOOKUP(G$1,DATA!$A$3:$F$301,3,FALSE)-VLOOKUP($A3,DATA!$A$3:$F$301,3,FALSE))^2),"")</f>
        <v>27.202941017470888</v>
      </c>
      <c r="H3" s="14">
        <f>_xlfn.IFNA(SQRT((VLOOKUP(H$1,DATA!$A$3:$F$301,2,FALSE)-VLOOKUP($A3,DATA!$A$3:$F$301,2,FALSE))^2+(VLOOKUP(H$1,DATA!$A$3:$F$301,3,FALSE)-VLOOKUP($A3,DATA!$A$3:$F$301,3,FALSE))^2),"")</f>
        <v>35.057096285916209</v>
      </c>
      <c r="I3" s="14">
        <f>_xlfn.IFNA(SQRT((VLOOKUP(I$1,DATA!$A$3:$F$301,2,FALSE)-VLOOKUP($A3,DATA!$A$3:$F$301,2,FALSE))^2+(VLOOKUP(I$1,DATA!$A$3:$F$301,3,FALSE)-VLOOKUP($A3,DATA!$A$3:$F$301,3,FALSE))^2),"")</f>
        <v>37.443290453698111</v>
      </c>
      <c r="J3" s="14">
        <f>_xlfn.IFNA(SQRT((VLOOKUP(J$1,DATA!$A$3:$F$301,2,FALSE)-VLOOKUP($A3,DATA!$A$3:$F$301,2,FALSE))^2+(VLOOKUP(J$1,DATA!$A$3:$F$301,3,FALSE)-VLOOKUP($A3,DATA!$A$3:$F$301,3,FALSE))^2),"")</f>
        <v>19.416487838947599</v>
      </c>
      <c r="K3" s="14">
        <f>_xlfn.IFNA(SQRT((VLOOKUP(K$1,DATA!$A$3:$F$301,2,FALSE)-VLOOKUP($A3,DATA!$A$3:$F$301,2,FALSE))^2+(VLOOKUP(K$1,DATA!$A$3:$F$301,3,FALSE)-VLOOKUP($A3,DATA!$A$3:$F$301,3,FALSE))^2),"")</f>
        <v>12.165525060596439</v>
      </c>
      <c r="L3" s="14">
        <f>_xlfn.IFNA(SQRT((VLOOKUP(L$1,DATA!$A$3:$F$301,2,FALSE)-VLOOKUP($A3,DATA!$A$3:$F$301,2,FALSE))^2+(VLOOKUP(L$1,DATA!$A$3:$F$301,3,FALSE)-VLOOKUP($A3,DATA!$A$3:$F$301,3,FALSE))^2),"")</f>
        <v>34.928498393145958</v>
      </c>
      <c r="M3" s="14">
        <f>_xlfn.IFNA(SQRT((VLOOKUP(M$1,DATA!$A$3:$F$301,2,FALSE)-VLOOKUP($A3,DATA!$A$3:$F$301,2,FALSE))^2+(VLOOKUP(M$1,DATA!$A$3:$F$301,3,FALSE)-VLOOKUP($A3,DATA!$A$3:$F$301,3,FALSE))^2),"")</f>
        <v>13.038404810405298</v>
      </c>
      <c r="N3" s="14">
        <f>_xlfn.IFNA(SQRT((VLOOKUP(N$1,DATA!$A$3:$F$301,2,FALSE)-VLOOKUP($A3,DATA!$A$3:$F$301,2,FALSE))^2+(VLOOKUP(N$1,DATA!$A$3:$F$301,3,FALSE)-VLOOKUP($A3,DATA!$A$3:$F$301,3,FALSE))^2),"")</f>
        <v>11</v>
      </c>
      <c r="O3" s="14">
        <f>_xlfn.IFNA(SQRT((VLOOKUP(O$1,DATA!$A$3:$F$301,2,FALSE)-VLOOKUP($A3,DATA!$A$3:$F$301,2,FALSE))^2+(VLOOKUP(O$1,DATA!$A$3:$F$301,3,FALSE)-VLOOKUP($A3,DATA!$A$3:$F$301,3,FALSE))^2),"")</f>
        <v>30.594117081556711</v>
      </c>
      <c r="P3" s="14">
        <f>_xlfn.IFNA(SQRT((VLOOKUP(P$1,DATA!$A$3:$F$301,2,FALSE)-VLOOKUP($A3,DATA!$A$3:$F$301,2,FALSE))^2+(VLOOKUP(P$1,DATA!$A$3:$F$301,3,FALSE)-VLOOKUP($A3,DATA!$A$3:$F$301,3,FALSE))^2),"")</f>
        <v>45.453272709454048</v>
      </c>
      <c r="Q3" s="14">
        <f>_xlfn.IFNA(SQRT((VLOOKUP(Q$1,DATA!$A$3:$F$301,2,FALSE)-VLOOKUP($A3,DATA!$A$3:$F$301,2,FALSE))^2+(VLOOKUP(Q$1,DATA!$A$3:$F$301,3,FALSE)-VLOOKUP($A3,DATA!$A$3:$F$301,3,FALSE))^2),"")</f>
        <v>29.120439557122072</v>
      </c>
      <c r="R3" s="14">
        <f>_xlfn.IFNA(SQRT((VLOOKUP(R$1,DATA!$A$3:$F$301,2,FALSE)-VLOOKUP($A3,DATA!$A$3:$F$301,2,FALSE))^2+(VLOOKUP(R$1,DATA!$A$3:$F$301,3,FALSE)-VLOOKUP($A3,DATA!$A$3:$F$301,3,FALSE))^2),"")</f>
        <v>28.301943396169811</v>
      </c>
      <c r="S3" s="14">
        <f>_xlfn.IFNA(SQRT((VLOOKUP(S$1,DATA!$A$3:$F$301,2,FALSE)-VLOOKUP($A3,DATA!$A$3:$F$301,2,FALSE))^2+(VLOOKUP(S$1,DATA!$A$3:$F$301,3,FALSE)-VLOOKUP($A3,DATA!$A$3:$F$301,3,FALSE))^2),"")</f>
        <v>25.553864678361276</v>
      </c>
      <c r="T3" s="14">
        <f>_xlfn.IFNA(SQRT((VLOOKUP(T$1,DATA!$A$3:$F$301,2,FALSE)-VLOOKUP($A3,DATA!$A$3:$F$301,2,FALSE))^2+(VLOOKUP(T$1,DATA!$A$3:$F$301,3,FALSE)-VLOOKUP($A3,DATA!$A$3:$F$301,3,FALSE))^2),"")</f>
        <v>29.274562336608895</v>
      </c>
      <c r="U3" s="14">
        <f>_xlfn.IFNA(SQRT((VLOOKUP(U$1,DATA!$A$3:$F$301,2,FALSE)-VLOOKUP($A3,DATA!$A$3:$F$301,2,FALSE))^2+(VLOOKUP(U$1,DATA!$A$3:$F$301,3,FALSE)-VLOOKUP($A3,DATA!$A$3:$F$301,3,FALSE))^2),"")</f>
        <v>21.470910553583888</v>
      </c>
      <c r="V3" s="14">
        <f>_xlfn.IFNA(SQRT((VLOOKUP(V$1,DATA!$A$3:$F$301,2,FALSE)-VLOOKUP($A3,DATA!$A$3:$F$301,2,FALSE))^2+(VLOOKUP(V$1,DATA!$A$3:$F$301,3,FALSE)-VLOOKUP($A3,DATA!$A$3:$F$301,3,FALSE))^2),"")</f>
        <v>28</v>
      </c>
      <c r="W3" s="14">
        <f>_xlfn.IFNA(SQRT((VLOOKUP(W$1,DATA!$A$3:$F$301,2,FALSE)-VLOOKUP($A3,DATA!$A$3:$F$301,2,FALSE))^2+(VLOOKUP(W$1,DATA!$A$3:$F$301,3,FALSE)-VLOOKUP($A3,DATA!$A$3:$F$301,3,FALSE))^2),"")</f>
        <v>32.756678708318397</v>
      </c>
      <c r="X3" s="14">
        <f>_xlfn.IFNA(SQRT((VLOOKUP(X$1,DATA!$A$3:$F$301,2,FALSE)-VLOOKUP($A3,DATA!$A$3:$F$301,2,FALSE))^2+(VLOOKUP(X$1,DATA!$A$3:$F$301,3,FALSE)-VLOOKUP($A3,DATA!$A$3:$F$301,3,FALSE))^2),"")</f>
        <v>38.832975677895199</v>
      </c>
      <c r="Y3" s="14">
        <f>_xlfn.IFNA(SQRT((VLOOKUP(Y$1,DATA!$A$3:$F$301,2,FALSE)-VLOOKUP($A3,DATA!$A$3:$F$301,2,FALSE))^2+(VLOOKUP(Y$1,DATA!$A$3:$F$301,3,FALSE)-VLOOKUP($A3,DATA!$A$3:$F$301,3,FALSE))^2),"")</f>
        <v>36.055512754639892</v>
      </c>
      <c r="Z3" s="14">
        <f>_xlfn.IFNA(SQRT((VLOOKUP(Z$1,DATA!$A$3:$F$301,2,FALSE)-VLOOKUP($A3,DATA!$A$3:$F$301,2,FALSE))^2+(VLOOKUP(Z$1,DATA!$A$3:$F$301,3,FALSE)-VLOOKUP($A3,DATA!$A$3:$F$301,3,FALSE))^2),"")</f>
        <v>27.202941017470888</v>
      </c>
      <c r="AA3" s="14">
        <f>_xlfn.IFNA(SQRT((VLOOKUP(AA$1,DATA!$A$3:$F$301,2,FALSE)-VLOOKUP($A3,DATA!$A$3:$F$301,2,FALSE))^2+(VLOOKUP(AA$1,DATA!$A$3:$F$301,3,FALSE)-VLOOKUP($A3,DATA!$A$3:$F$301,3,FALSE))^2),"")</f>
        <v>26.40075756488817</v>
      </c>
      <c r="AB3" s="14">
        <f>_xlfn.IFNA(SQRT((VLOOKUP(AB$1,DATA!$A$3:$F$301,2,FALSE)-VLOOKUP($A3,DATA!$A$3:$F$301,2,FALSE))^2+(VLOOKUP(AB$1,DATA!$A$3:$F$301,3,FALSE)-VLOOKUP($A3,DATA!$A$3:$F$301,3,FALSE))^2),"")</f>
        <v>15.297058540778355</v>
      </c>
      <c r="AC3" s="14">
        <f>_xlfn.IFNA(SQRT((VLOOKUP(AC$1,DATA!$A$3:$F$301,2,FALSE)-VLOOKUP($A3,DATA!$A$3:$F$301,2,FALSE))^2+(VLOOKUP(AC$1,DATA!$A$3:$F$301,3,FALSE)-VLOOKUP($A3,DATA!$A$3:$F$301,3,FALSE))^2),"")</f>
        <v>21.587033144922902</v>
      </c>
      <c r="AD3" s="14">
        <f>_xlfn.IFNA(SQRT((VLOOKUP(AD$1,DATA!$A$3:$F$301,2,FALSE)-VLOOKUP($A3,DATA!$A$3:$F$301,2,FALSE))^2+(VLOOKUP(AD$1,DATA!$A$3:$F$301,3,FALSE)-VLOOKUP($A3,DATA!$A$3:$F$301,3,FALSE))^2),"")</f>
        <v>37.643060449437421</v>
      </c>
      <c r="AE3" s="14">
        <f>_xlfn.IFNA(SQRT((VLOOKUP(AE$1,DATA!$A$3:$F$301,2,FALSE)-VLOOKUP($A3,DATA!$A$3:$F$301,2,FALSE))^2+(VLOOKUP(AE$1,DATA!$A$3:$F$301,3,FALSE)-VLOOKUP($A3,DATA!$A$3:$F$301,3,FALSE))^2),"")</f>
        <v>22.825424421026653</v>
      </c>
      <c r="AF3" s="14">
        <f>_xlfn.IFNA(SQRT((VLOOKUP(AF$1,DATA!$A$3:$F$301,2,FALSE)-VLOOKUP($A3,DATA!$A$3:$F$301,2,FALSE))^2+(VLOOKUP(AF$1,DATA!$A$3:$F$301,3,FALSE)-VLOOKUP($A3,DATA!$A$3:$F$301,3,FALSE))^2),"")</f>
        <v>26.92582403567252</v>
      </c>
      <c r="AG3" s="14">
        <f>_xlfn.IFNA(SQRT((VLOOKUP(AG$1,DATA!$A$3:$F$301,2,FALSE)-VLOOKUP($A3,DATA!$A$3:$F$301,2,FALSE))^2+(VLOOKUP(AG$1,DATA!$A$3:$F$301,3,FALSE)-VLOOKUP($A3,DATA!$A$3:$F$301,3,FALSE))^2),"")</f>
        <v>19.646882704388499</v>
      </c>
      <c r="AH3" s="14">
        <f>_xlfn.IFNA(SQRT((VLOOKUP(AH$1,DATA!$A$3:$F$301,2,FALSE)-VLOOKUP($A3,DATA!$A$3:$F$301,2,FALSE))^2+(VLOOKUP(AH$1,DATA!$A$3:$F$301,3,FALSE)-VLOOKUP($A3,DATA!$A$3:$F$301,3,FALSE))^2),"")</f>
        <v>19.697715603592208</v>
      </c>
      <c r="AI3" s="14">
        <f>_xlfn.IFNA(SQRT((VLOOKUP(AI$1,DATA!$A$3:$F$301,2,FALSE)-VLOOKUP($A3,DATA!$A$3:$F$301,2,FALSE))^2+(VLOOKUP(AI$1,DATA!$A$3:$F$301,3,FALSE)-VLOOKUP($A3,DATA!$A$3:$F$301,3,FALSE))^2),"")</f>
        <v>25.80697580112788</v>
      </c>
      <c r="AJ3" s="14">
        <f>_xlfn.IFNA(SQRT((VLOOKUP(AJ$1,DATA!$A$3:$F$301,2,FALSE)-VLOOKUP($A3,DATA!$A$3:$F$301,2,FALSE))^2+(VLOOKUP(AJ$1,DATA!$A$3:$F$301,3,FALSE)-VLOOKUP($A3,DATA!$A$3:$F$301,3,FALSE))^2),"")</f>
        <v>35.355339059327378</v>
      </c>
      <c r="AK3" s="14">
        <f>_xlfn.IFNA(SQRT((VLOOKUP(AK$1,DATA!$A$3:$F$301,2,FALSE)-VLOOKUP($A3,DATA!$A$3:$F$301,2,FALSE))^2+(VLOOKUP(AK$1,DATA!$A$3:$F$301,3,FALSE)-VLOOKUP($A3,DATA!$A$3:$F$301,3,FALSE))^2),"")</f>
        <v>18.439088914585774</v>
      </c>
      <c r="AL3" s="14">
        <f>_xlfn.IFNA(SQRT((VLOOKUP(AL$1,DATA!$A$3:$F$301,2,FALSE)-VLOOKUP($A3,DATA!$A$3:$F$301,2,FALSE))^2+(VLOOKUP(AL$1,DATA!$A$3:$F$301,3,FALSE)-VLOOKUP($A3,DATA!$A$3:$F$301,3,FALSE))^2),"")</f>
        <v>41.109609582188931</v>
      </c>
      <c r="AM3" s="14">
        <f>_xlfn.IFNA(SQRT((VLOOKUP(AM$1,DATA!$A$3:$F$301,2,FALSE)-VLOOKUP($A3,DATA!$A$3:$F$301,2,FALSE))^2+(VLOOKUP(AM$1,DATA!$A$3:$F$301,3,FALSE)-VLOOKUP($A3,DATA!$A$3:$F$301,3,FALSE))^2),"")</f>
        <v>27.294688127912362</v>
      </c>
      <c r="AN3" s="14">
        <f>_xlfn.IFNA(SQRT((VLOOKUP(AN$1,DATA!$A$3:$F$301,2,FALSE)-VLOOKUP($A3,DATA!$A$3:$F$301,2,FALSE))^2+(VLOOKUP(AN$1,DATA!$A$3:$F$301,3,FALSE)-VLOOKUP($A3,DATA!$A$3:$F$301,3,FALSE))^2),"")</f>
        <v>37.947331922020552</v>
      </c>
      <c r="AO3" s="14">
        <f>_xlfn.IFNA(SQRT((VLOOKUP(AO$1,DATA!$A$3:$F$301,2,FALSE)-VLOOKUP($A3,DATA!$A$3:$F$301,2,FALSE))^2+(VLOOKUP(AO$1,DATA!$A$3:$F$301,3,FALSE)-VLOOKUP($A3,DATA!$A$3:$F$301,3,FALSE))^2),"")</f>
        <v>17.691806012954132</v>
      </c>
      <c r="AP3" s="14" t="str">
        <f>_xlfn.IFNA(SQRT((VLOOKUP(AP$1,DATA!$A$3:$F$301,2,FALSE)-VLOOKUP($A3,DATA!$A$3:$F$301,2,FALSE))^2+(VLOOKUP(AP$1,DATA!$A$3:$F$301,3,FALSE)-VLOOKUP($A3,DATA!$A$3:$F$301,3,FALSE))^2),"")</f>
        <v/>
      </c>
      <c r="AQ3" s="14" t="str">
        <f>_xlfn.IFNA(SQRT((VLOOKUP(AQ$1,DATA!$A$3:$F$301,2,FALSE)-VLOOKUP($A3,DATA!$A$3:$F$301,2,FALSE))^2+(VLOOKUP(AQ$1,DATA!$A$3:$F$301,3,FALSE)-VLOOKUP($A3,DATA!$A$3:$F$301,3,FALSE))^2),"")</f>
        <v/>
      </c>
      <c r="AR3" s="14" t="str">
        <f>_xlfn.IFNA(SQRT((VLOOKUP(AR$1,DATA!$A$3:$F$301,2,FALSE)-VLOOKUP($A3,DATA!$A$3:$F$301,2,FALSE))^2+(VLOOKUP(AR$1,DATA!$A$3:$F$301,3,FALSE)-VLOOKUP($A3,DATA!$A$3:$F$301,3,FALSE))^2),"")</f>
        <v/>
      </c>
      <c r="AS3" s="14" t="str">
        <f>_xlfn.IFNA(SQRT((VLOOKUP(AS$1,DATA!$A$3:$F$301,2,FALSE)-VLOOKUP($A3,DATA!$A$3:$F$301,2,FALSE))^2+(VLOOKUP(AS$1,DATA!$A$3:$F$301,3,FALSE)-VLOOKUP($A3,DATA!$A$3:$F$301,3,FALSE))^2),"")</f>
        <v/>
      </c>
      <c r="AT3" s="14" t="str">
        <f>_xlfn.IFNA(SQRT((VLOOKUP(AT$1,DATA!$A$3:$F$301,2,FALSE)-VLOOKUP($A3,DATA!$A$3:$F$301,2,FALSE))^2+(VLOOKUP(AT$1,DATA!$A$3:$F$301,3,FALSE)-VLOOKUP($A3,DATA!$A$3:$F$301,3,FALSE))^2),"")</f>
        <v/>
      </c>
      <c r="AU3" s="14" t="str">
        <f>_xlfn.IFNA(SQRT((VLOOKUP(AU$1,DATA!$A$3:$F$301,2,FALSE)-VLOOKUP($A3,DATA!$A$3:$F$301,2,FALSE))^2+(VLOOKUP(AU$1,DATA!$A$3:$F$301,3,FALSE)-VLOOKUP($A3,DATA!$A$3:$F$301,3,FALSE))^2),"")</f>
        <v/>
      </c>
      <c r="AV3" s="14" t="str">
        <f>_xlfn.IFNA(SQRT((VLOOKUP(AV$1,DATA!$A$3:$F$301,2,FALSE)-VLOOKUP($A3,DATA!$A$3:$F$301,2,FALSE))^2+(VLOOKUP(AV$1,DATA!$A$3:$F$301,3,FALSE)-VLOOKUP($A3,DATA!$A$3:$F$301,3,FALSE))^2),"")</f>
        <v/>
      </c>
      <c r="AW3" s="14" t="str">
        <f>_xlfn.IFNA(SQRT((VLOOKUP(AW$1,DATA!$A$3:$F$301,2,FALSE)-VLOOKUP($A3,DATA!$A$3:$F$301,2,FALSE))^2+(VLOOKUP(AW$1,DATA!$A$3:$F$301,3,FALSE)-VLOOKUP($A3,DATA!$A$3:$F$301,3,FALSE))^2),"")</f>
        <v/>
      </c>
      <c r="AX3" s="14" t="str">
        <f>_xlfn.IFNA(SQRT((VLOOKUP(AX$1,DATA!$A$3:$F$301,2,FALSE)-VLOOKUP($A3,DATA!$A$3:$F$301,2,FALSE))^2+(VLOOKUP(AX$1,DATA!$A$3:$F$301,3,FALSE)-VLOOKUP($A3,DATA!$A$3:$F$301,3,FALSE))^2),"")</f>
        <v/>
      </c>
      <c r="AY3" s="14" t="str">
        <f>_xlfn.IFNA(SQRT((VLOOKUP(AY$1,DATA!$A$3:$F$301,2,FALSE)-VLOOKUP($A3,DATA!$A$3:$F$301,2,FALSE))^2+(VLOOKUP(AY$1,DATA!$A$3:$F$301,3,FALSE)-VLOOKUP($A3,DATA!$A$3:$F$301,3,FALSE))^2),"")</f>
        <v/>
      </c>
      <c r="AZ3" s="14" t="str">
        <f>_xlfn.IFNA(SQRT((VLOOKUP(AZ$1,DATA!$A$3:$F$301,2,FALSE)-VLOOKUP($A3,DATA!$A$3:$F$301,2,FALSE))^2+(VLOOKUP(AZ$1,DATA!$A$3:$F$301,3,FALSE)-VLOOKUP($A3,DATA!$A$3:$F$301,3,FALSE))^2),"")</f>
        <v/>
      </c>
      <c r="BA3" s="14" t="str">
        <f>_xlfn.IFNA(SQRT((VLOOKUP(BA$1,DATA!$A$3:$F$301,2,FALSE)-VLOOKUP($A3,DATA!$A$3:$F$301,2,FALSE))^2+(VLOOKUP(BA$1,DATA!$A$3:$F$301,3,FALSE)-VLOOKUP($A3,DATA!$A$3:$F$301,3,FALSE))^2),"")</f>
        <v/>
      </c>
      <c r="BB3" s="14" t="str">
        <f>_xlfn.IFNA(SQRT((VLOOKUP(BB$1,DATA!$A$3:$F$301,2,FALSE)-VLOOKUP($A3,DATA!$A$3:$F$301,2,FALSE))^2+(VLOOKUP(BB$1,DATA!$A$3:$F$301,3,FALSE)-VLOOKUP($A3,DATA!$A$3:$F$301,3,FALSE))^2),"")</f>
        <v/>
      </c>
      <c r="BC3" s="14" t="str">
        <f>_xlfn.IFNA(SQRT((VLOOKUP(BC$1,DATA!$A$3:$F$301,2,FALSE)-VLOOKUP($A3,DATA!$A$3:$F$301,2,FALSE))^2+(VLOOKUP(BC$1,DATA!$A$3:$F$301,3,FALSE)-VLOOKUP($A3,DATA!$A$3:$F$301,3,FALSE))^2),"")</f>
        <v/>
      </c>
      <c r="BD3" s="14" t="str">
        <f>_xlfn.IFNA(SQRT((VLOOKUP(BD$1,DATA!$A$3:$F$301,2,FALSE)-VLOOKUP($A3,DATA!$A$3:$F$301,2,FALSE))^2+(VLOOKUP(BD$1,DATA!$A$3:$F$301,3,FALSE)-VLOOKUP($A3,DATA!$A$3:$F$301,3,FALSE))^2),"")</f>
        <v/>
      </c>
      <c r="BE3" s="14" t="str">
        <f>_xlfn.IFNA(SQRT((VLOOKUP(BE$1,DATA!$A$3:$F$301,2,FALSE)-VLOOKUP($A3,DATA!$A$3:$F$301,2,FALSE))^2+(VLOOKUP(BE$1,DATA!$A$3:$F$301,3,FALSE)-VLOOKUP($A3,DATA!$A$3:$F$301,3,FALSE))^2),"")</f>
        <v/>
      </c>
      <c r="BF3" s="14" t="str">
        <f>_xlfn.IFNA(SQRT((VLOOKUP(BF$1,DATA!$A$3:$F$301,2,FALSE)-VLOOKUP($A3,DATA!$A$3:$F$301,2,FALSE))^2+(VLOOKUP(BF$1,DATA!$A$3:$F$301,3,FALSE)-VLOOKUP($A3,DATA!$A$3:$F$301,3,FALSE))^2),"")</f>
        <v/>
      </c>
      <c r="BG3" s="14" t="str">
        <f>_xlfn.IFNA(SQRT((VLOOKUP(BG$1,DATA!$A$3:$F$301,2,FALSE)-VLOOKUP($A3,DATA!$A$3:$F$301,2,FALSE))^2+(VLOOKUP(BG$1,DATA!$A$3:$F$301,3,FALSE)-VLOOKUP($A3,DATA!$A$3:$F$301,3,FALSE))^2),"")</f>
        <v/>
      </c>
      <c r="BH3" s="14" t="str">
        <f>_xlfn.IFNA(SQRT((VLOOKUP(BH$1,DATA!$A$3:$F$301,2,FALSE)-VLOOKUP($A3,DATA!$A$3:$F$301,2,FALSE))^2+(VLOOKUP(BH$1,DATA!$A$3:$F$301,3,FALSE)-VLOOKUP($A3,DATA!$A$3:$F$301,3,FALSE))^2),"")</f>
        <v/>
      </c>
      <c r="BI3" s="14" t="str">
        <f>_xlfn.IFNA(SQRT((VLOOKUP(BI$1,DATA!$A$3:$F$301,2,FALSE)-VLOOKUP($A3,DATA!$A$3:$F$301,2,FALSE))^2+(VLOOKUP(BI$1,DATA!$A$3:$F$301,3,FALSE)-VLOOKUP($A3,DATA!$A$3:$F$301,3,FALSE))^2),"")</f>
        <v/>
      </c>
      <c r="BJ3" s="14" t="str">
        <f>_xlfn.IFNA(SQRT((VLOOKUP(BJ$1,DATA!$A$3:$F$301,2,FALSE)-VLOOKUP($A3,DATA!$A$3:$F$301,2,FALSE))^2+(VLOOKUP(BJ$1,DATA!$A$3:$F$301,3,FALSE)-VLOOKUP($A3,DATA!$A$3:$F$301,3,FALSE))^2),"")</f>
        <v/>
      </c>
      <c r="BK3" s="14" t="str">
        <f>_xlfn.IFNA(SQRT((VLOOKUP(BK$1,DATA!$A$3:$F$301,2,FALSE)-VLOOKUP($A3,DATA!$A$3:$F$301,2,FALSE))^2+(VLOOKUP(BK$1,DATA!$A$3:$F$301,3,FALSE)-VLOOKUP($A3,DATA!$A$3:$F$301,3,FALSE))^2),"")</f>
        <v/>
      </c>
      <c r="BL3" s="14" t="str">
        <f>_xlfn.IFNA(SQRT((VLOOKUP(BL$1,DATA!$A$3:$F$301,2,FALSE)-VLOOKUP($A3,DATA!$A$3:$F$301,2,FALSE))^2+(VLOOKUP(BL$1,DATA!$A$3:$F$301,3,FALSE)-VLOOKUP($A3,DATA!$A$3:$F$301,3,FALSE))^2),"")</f>
        <v/>
      </c>
      <c r="BM3" s="14" t="str">
        <f>_xlfn.IFNA(SQRT((VLOOKUP(BM$1,DATA!$A$3:$F$301,2,FALSE)-VLOOKUP($A3,DATA!$A$3:$F$301,2,FALSE))^2+(VLOOKUP(BM$1,DATA!$A$3:$F$301,3,FALSE)-VLOOKUP($A3,DATA!$A$3:$F$301,3,FALSE))^2),"")</f>
        <v/>
      </c>
      <c r="BN3" s="14" t="str">
        <f>_xlfn.IFNA(SQRT((VLOOKUP(BN$1,DATA!$A$3:$F$301,2,FALSE)-VLOOKUP($A3,DATA!$A$3:$F$301,2,FALSE))^2+(VLOOKUP(BN$1,DATA!$A$3:$F$301,3,FALSE)-VLOOKUP($A3,DATA!$A$3:$F$301,3,FALSE))^2),"")</f>
        <v/>
      </c>
      <c r="BO3" s="14" t="str">
        <f>_xlfn.IFNA(SQRT((VLOOKUP(BO$1,DATA!$A$3:$F$301,2,FALSE)-VLOOKUP($A3,DATA!$A$3:$F$301,2,FALSE))^2+(VLOOKUP(BO$1,DATA!$A$3:$F$301,3,FALSE)-VLOOKUP($A3,DATA!$A$3:$F$301,3,FALSE))^2),"")</f>
        <v/>
      </c>
      <c r="BP3" s="14" t="str">
        <f>_xlfn.IFNA(SQRT((VLOOKUP(BP$1,DATA!$A$3:$F$301,2,FALSE)-VLOOKUP($A3,DATA!$A$3:$F$301,2,FALSE))^2+(VLOOKUP(BP$1,DATA!$A$3:$F$301,3,FALSE)-VLOOKUP($A3,DATA!$A$3:$F$301,3,FALSE))^2),"")</f>
        <v/>
      </c>
      <c r="BQ3" s="14" t="str">
        <f>_xlfn.IFNA(SQRT((VLOOKUP(BQ$1,DATA!$A$3:$F$301,2,FALSE)-VLOOKUP($A3,DATA!$A$3:$F$301,2,FALSE))^2+(VLOOKUP(BQ$1,DATA!$A$3:$F$301,3,FALSE)-VLOOKUP($A3,DATA!$A$3:$F$301,3,FALSE))^2),"")</f>
        <v/>
      </c>
      <c r="BR3" s="14" t="str">
        <f>_xlfn.IFNA(SQRT((VLOOKUP(BR$1,DATA!$A$3:$F$301,2,FALSE)-VLOOKUP($A3,DATA!$A$3:$F$301,2,FALSE))^2+(VLOOKUP(BR$1,DATA!$A$3:$F$301,3,FALSE)-VLOOKUP($A3,DATA!$A$3:$F$301,3,FALSE))^2),"")</f>
        <v/>
      </c>
      <c r="BS3" s="14" t="str">
        <f>_xlfn.IFNA(SQRT((VLOOKUP(BS$1,DATA!$A$3:$F$301,2,FALSE)-VLOOKUP($A3,DATA!$A$3:$F$301,2,FALSE))^2+(VLOOKUP(BS$1,DATA!$A$3:$F$301,3,FALSE)-VLOOKUP($A3,DATA!$A$3:$F$301,3,FALSE))^2),"")</f>
        <v/>
      </c>
      <c r="BT3" s="14" t="str">
        <f>_xlfn.IFNA(SQRT((VLOOKUP(BT$1,DATA!$A$3:$F$301,2,FALSE)-VLOOKUP($A3,DATA!$A$3:$F$301,2,FALSE))^2+(VLOOKUP(BT$1,DATA!$A$3:$F$301,3,FALSE)-VLOOKUP($A3,DATA!$A$3:$F$301,3,FALSE))^2),"")</f>
        <v/>
      </c>
      <c r="BU3" s="14" t="str">
        <f>_xlfn.IFNA(SQRT((VLOOKUP(BU$1,DATA!$A$3:$F$301,2,FALSE)-VLOOKUP($A3,DATA!$A$3:$F$301,2,FALSE))^2+(VLOOKUP(BU$1,DATA!$A$3:$F$301,3,FALSE)-VLOOKUP($A3,DATA!$A$3:$F$301,3,FALSE))^2),"")</f>
        <v/>
      </c>
      <c r="BV3" s="14" t="str">
        <f>_xlfn.IFNA(SQRT((VLOOKUP(BV$1,DATA!$A$3:$F$301,2,FALSE)-VLOOKUP($A3,DATA!$A$3:$F$301,2,FALSE))^2+(VLOOKUP(BV$1,DATA!$A$3:$F$301,3,FALSE)-VLOOKUP($A3,DATA!$A$3:$F$301,3,FALSE))^2),"")</f>
        <v/>
      </c>
      <c r="BW3" s="14" t="str">
        <f>_xlfn.IFNA(SQRT((VLOOKUP(BW$1,DATA!$A$3:$F$301,2,FALSE)-VLOOKUP($A3,DATA!$A$3:$F$301,2,FALSE))^2+(VLOOKUP(BW$1,DATA!$A$3:$F$301,3,FALSE)-VLOOKUP($A3,DATA!$A$3:$F$301,3,FALSE))^2),"")</f>
        <v/>
      </c>
      <c r="BX3" s="14" t="str">
        <f>_xlfn.IFNA(SQRT((VLOOKUP(BX$1,DATA!$A$3:$F$301,2,FALSE)-VLOOKUP($A3,DATA!$A$3:$F$301,2,FALSE))^2+(VLOOKUP(BX$1,DATA!$A$3:$F$301,3,FALSE)-VLOOKUP($A3,DATA!$A$3:$F$301,3,FALSE))^2),"")</f>
        <v/>
      </c>
      <c r="BY3" s="14" t="str">
        <f>_xlfn.IFNA(SQRT((VLOOKUP(BY$1,DATA!$A$3:$F$301,2,FALSE)-VLOOKUP($A3,DATA!$A$3:$F$301,2,FALSE))^2+(VLOOKUP(BY$1,DATA!$A$3:$F$301,3,FALSE)-VLOOKUP($A3,DATA!$A$3:$F$301,3,FALSE))^2),"")</f>
        <v/>
      </c>
      <c r="BZ3" s="14" t="str">
        <f>_xlfn.IFNA(SQRT((VLOOKUP(BZ$1,DATA!$A$3:$F$301,2,FALSE)-VLOOKUP($A3,DATA!$A$3:$F$301,2,FALSE))^2+(VLOOKUP(BZ$1,DATA!$A$3:$F$301,3,FALSE)-VLOOKUP($A3,DATA!$A$3:$F$301,3,FALSE))^2),"")</f>
        <v/>
      </c>
      <c r="CA3" s="14" t="str">
        <f>_xlfn.IFNA(SQRT((VLOOKUP(CA$1,DATA!$A$3:$F$301,2,FALSE)-VLOOKUP($A3,DATA!$A$3:$F$301,2,FALSE))^2+(VLOOKUP(CA$1,DATA!$A$3:$F$301,3,FALSE)-VLOOKUP($A3,DATA!$A$3:$F$301,3,FALSE))^2),"")</f>
        <v/>
      </c>
      <c r="CB3" s="14" t="str">
        <f>_xlfn.IFNA(SQRT((VLOOKUP(CB$1,DATA!$A$3:$F$301,2,FALSE)-VLOOKUP($A3,DATA!$A$3:$F$301,2,FALSE))^2+(VLOOKUP(CB$1,DATA!$A$3:$F$301,3,FALSE)-VLOOKUP($A3,DATA!$A$3:$F$301,3,FALSE))^2),"")</f>
        <v/>
      </c>
      <c r="CC3" s="14" t="str">
        <f>_xlfn.IFNA(SQRT((VLOOKUP(CC$1,DATA!$A$3:$F$301,2,FALSE)-VLOOKUP($A3,DATA!$A$3:$F$301,2,FALSE))^2+(VLOOKUP(CC$1,DATA!$A$3:$F$301,3,FALSE)-VLOOKUP($A3,DATA!$A$3:$F$301,3,FALSE))^2),"")</f>
        <v/>
      </c>
      <c r="CD3" s="14" t="str">
        <f>_xlfn.IFNA(SQRT((VLOOKUP(CD$1,DATA!$A$3:$F$301,2,FALSE)-VLOOKUP($A3,DATA!$A$3:$F$301,2,FALSE))^2+(VLOOKUP(CD$1,DATA!$A$3:$F$301,3,FALSE)-VLOOKUP($A3,DATA!$A$3:$F$301,3,FALSE))^2),"")</f>
        <v/>
      </c>
      <c r="CE3" s="14" t="str">
        <f>_xlfn.IFNA(SQRT((VLOOKUP(CE$1,DATA!$A$3:$F$301,2,FALSE)-VLOOKUP($A3,DATA!$A$3:$F$301,2,FALSE))^2+(VLOOKUP(CE$1,DATA!$A$3:$F$301,3,FALSE)-VLOOKUP($A3,DATA!$A$3:$F$301,3,FALSE))^2),"")</f>
        <v/>
      </c>
      <c r="CF3" s="14" t="str">
        <f>_xlfn.IFNA(SQRT((VLOOKUP(CF$1,DATA!$A$3:$F$301,2,FALSE)-VLOOKUP($A3,DATA!$A$3:$F$301,2,FALSE))^2+(VLOOKUP(CF$1,DATA!$A$3:$F$301,3,FALSE)-VLOOKUP($A3,DATA!$A$3:$F$301,3,FALSE))^2),"")</f>
        <v/>
      </c>
      <c r="CG3" s="14" t="str">
        <f>_xlfn.IFNA(SQRT((VLOOKUP(CG$1,DATA!$A$3:$F$301,2,FALSE)-VLOOKUP($A3,DATA!$A$3:$F$301,2,FALSE))^2+(VLOOKUP(CG$1,DATA!$A$3:$F$301,3,FALSE)-VLOOKUP($A3,DATA!$A$3:$F$301,3,FALSE))^2),"")</f>
        <v/>
      </c>
      <c r="CH3" s="14" t="str">
        <f>_xlfn.IFNA(SQRT((VLOOKUP(CH$1,DATA!$A$3:$F$301,2,FALSE)-VLOOKUP($A3,DATA!$A$3:$F$301,2,FALSE))^2+(VLOOKUP(CH$1,DATA!$A$3:$F$301,3,FALSE)-VLOOKUP($A3,DATA!$A$3:$F$301,3,FALSE))^2),"")</f>
        <v/>
      </c>
      <c r="CI3" s="14" t="str">
        <f>_xlfn.IFNA(SQRT((VLOOKUP(CI$1,DATA!$A$3:$F$301,2,FALSE)-VLOOKUP($A3,DATA!$A$3:$F$301,2,FALSE))^2+(VLOOKUP(CI$1,DATA!$A$3:$F$301,3,FALSE)-VLOOKUP($A3,DATA!$A$3:$F$301,3,FALSE))^2),"")</f>
        <v/>
      </c>
      <c r="CJ3" s="14" t="str">
        <f>_xlfn.IFNA(SQRT((VLOOKUP(CJ$1,DATA!$A$3:$F$301,2,FALSE)-VLOOKUP($A3,DATA!$A$3:$F$301,2,FALSE))^2+(VLOOKUP(CJ$1,DATA!$A$3:$F$301,3,FALSE)-VLOOKUP($A3,DATA!$A$3:$F$301,3,FALSE))^2),"")</f>
        <v/>
      </c>
      <c r="CK3" s="14" t="str">
        <f>_xlfn.IFNA(SQRT((VLOOKUP(CK$1,DATA!$A$3:$F$301,2,FALSE)-VLOOKUP($A3,DATA!$A$3:$F$301,2,FALSE))^2+(VLOOKUP(CK$1,DATA!$A$3:$F$301,3,FALSE)-VLOOKUP($A3,DATA!$A$3:$F$301,3,FALSE))^2),"")</f>
        <v/>
      </c>
      <c r="CL3" s="14" t="str">
        <f>_xlfn.IFNA(SQRT((VLOOKUP(CL$1,DATA!$A$3:$F$301,2,FALSE)-VLOOKUP($A3,DATA!$A$3:$F$301,2,FALSE))^2+(VLOOKUP(CL$1,DATA!$A$3:$F$301,3,FALSE)-VLOOKUP($A3,DATA!$A$3:$F$301,3,FALSE))^2),"")</f>
        <v/>
      </c>
      <c r="CM3" s="14" t="str">
        <f>_xlfn.IFNA(SQRT((VLOOKUP(CM$1,DATA!$A$3:$F$301,2,FALSE)-VLOOKUP($A3,DATA!$A$3:$F$301,2,FALSE))^2+(VLOOKUP(CM$1,DATA!$A$3:$F$301,3,FALSE)-VLOOKUP($A3,DATA!$A$3:$F$301,3,FALSE))^2),"")</f>
        <v/>
      </c>
      <c r="CN3" s="14" t="str">
        <f>_xlfn.IFNA(SQRT((VLOOKUP(CN$1,DATA!$A$3:$F$301,2,FALSE)-VLOOKUP($A3,DATA!$A$3:$F$301,2,FALSE))^2+(VLOOKUP(CN$1,DATA!$A$3:$F$301,3,FALSE)-VLOOKUP($A3,DATA!$A$3:$F$301,3,FALSE))^2),"")</f>
        <v/>
      </c>
      <c r="CO3" s="14" t="str">
        <f>_xlfn.IFNA(SQRT((VLOOKUP(CO$1,DATA!$A$3:$F$301,2,FALSE)-VLOOKUP($A3,DATA!$A$3:$F$301,2,FALSE))^2+(VLOOKUP(CO$1,DATA!$A$3:$F$301,3,FALSE)-VLOOKUP($A3,DATA!$A$3:$F$301,3,FALSE))^2),"")</f>
        <v/>
      </c>
      <c r="CP3" s="14" t="str">
        <f>_xlfn.IFNA(SQRT((VLOOKUP(CP$1,DATA!$A$3:$F$301,2,FALSE)-VLOOKUP($A3,DATA!$A$3:$F$301,2,FALSE))^2+(VLOOKUP(CP$1,DATA!$A$3:$F$301,3,FALSE)-VLOOKUP($A3,DATA!$A$3:$F$301,3,FALSE))^2),"")</f>
        <v/>
      </c>
      <c r="CQ3" s="14" t="str">
        <f>_xlfn.IFNA(SQRT((VLOOKUP(CQ$1,DATA!$A$3:$F$301,2,FALSE)-VLOOKUP($A3,DATA!$A$3:$F$301,2,FALSE))^2+(VLOOKUP(CQ$1,DATA!$A$3:$F$301,3,FALSE)-VLOOKUP($A3,DATA!$A$3:$F$301,3,FALSE))^2),"")</f>
        <v/>
      </c>
      <c r="CR3" s="14" t="str">
        <f>_xlfn.IFNA(SQRT((VLOOKUP(CR$1,DATA!$A$3:$F$301,2,FALSE)-VLOOKUP($A3,DATA!$A$3:$F$301,2,FALSE))^2+(VLOOKUP(CR$1,DATA!$A$3:$F$301,3,FALSE)-VLOOKUP($A3,DATA!$A$3:$F$301,3,FALSE))^2),"")</f>
        <v/>
      </c>
      <c r="CS3" s="14" t="str">
        <f>_xlfn.IFNA(SQRT((VLOOKUP(CS$1,DATA!$A$3:$F$301,2,FALSE)-VLOOKUP($A3,DATA!$A$3:$F$301,2,FALSE))^2+(VLOOKUP(CS$1,DATA!$A$3:$F$301,3,FALSE)-VLOOKUP($A3,DATA!$A$3:$F$301,3,FALSE))^2),"")</f>
        <v/>
      </c>
      <c r="CT3" s="14" t="str">
        <f>_xlfn.IFNA(SQRT((VLOOKUP(CT$1,DATA!$A$3:$F$301,2,FALSE)-VLOOKUP($A3,DATA!$A$3:$F$301,2,FALSE))^2+(VLOOKUP(CT$1,DATA!$A$3:$F$301,3,FALSE)-VLOOKUP($A3,DATA!$A$3:$F$301,3,FALSE))^2),"")</f>
        <v/>
      </c>
      <c r="CU3" s="14" t="str">
        <f>_xlfn.IFNA(SQRT((VLOOKUP(CU$1,DATA!$A$3:$F$301,2,FALSE)-VLOOKUP($A3,DATA!$A$3:$F$301,2,FALSE))^2+(VLOOKUP(CU$1,DATA!$A$3:$F$301,3,FALSE)-VLOOKUP($A3,DATA!$A$3:$F$301,3,FALSE))^2),"")</f>
        <v/>
      </c>
      <c r="CV3" s="14" t="str">
        <f>_xlfn.IFNA(SQRT((VLOOKUP(CV$1,DATA!$A$3:$F$301,2,FALSE)-VLOOKUP($A3,DATA!$A$3:$F$301,2,FALSE))^2+(VLOOKUP(CV$1,DATA!$A$3:$F$301,3,FALSE)-VLOOKUP($A3,DATA!$A$3:$F$301,3,FALSE))^2),"")</f>
        <v/>
      </c>
      <c r="CW3" s="14" t="str">
        <f>_xlfn.IFNA(SQRT((VLOOKUP(CW$1,DATA!$A$3:$F$301,2,FALSE)-VLOOKUP($A3,DATA!$A$3:$F$301,2,FALSE))^2+(VLOOKUP(CW$1,DATA!$A$3:$F$301,3,FALSE)-VLOOKUP($A3,DATA!$A$3:$F$301,3,FALSE))^2),"")</f>
        <v/>
      </c>
      <c r="CX3" s="14" t="str">
        <f>_xlfn.IFNA(SQRT((VLOOKUP(CX$1,DATA!$A$3:$F$301,2,FALSE)-VLOOKUP($A3,DATA!$A$3:$F$301,2,FALSE))^2+(VLOOKUP(CX$1,DATA!$A$3:$F$301,3,FALSE)-VLOOKUP($A3,DATA!$A$3:$F$301,3,FALSE))^2),"")</f>
        <v/>
      </c>
    </row>
    <row r="4" spans="1:102">
      <c r="A4" s="13">
        <v>3</v>
      </c>
      <c r="B4" s="14">
        <f>_xlfn.IFNA(SQRT((VLOOKUP(B$1,DATA!$A$3:$F$301,2,FALSE)-VLOOKUP($A4,DATA!$A$3:$F$301,2,FALSE))^2+(VLOOKUP(B$1,DATA!$A$3:$F$301,3,FALSE)-VLOOKUP($A4,DATA!$A$3:$F$301,3,FALSE))^2),"")</f>
        <v>12</v>
      </c>
      <c r="C4" s="14">
        <f>_xlfn.IFNA(SQRT((VLOOKUP(C$1,DATA!$A$3:$F$301,2,FALSE)-VLOOKUP($A4,DATA!$A$3:$F$301,2,FALSE))^2+(VLOOKUP(C$1,DATA!$A$3:$F$301,3,FALSE)-VLOOKUP($A4,DATA!$A$3:$F$301,3,FALSE))^2),"")</f>
        <v>13.928388277184119</v>
      </c>
      <c r="D4" s="14">
        <f>_xlfn.IFNA(SQRT((VLOOKUP(D$1,DATA!$A$3:$F$301,2,FALSE)-VLOOKUP($A4,DATA!$A$3:$F$301,2,FALSE))^2+(VLOOKUP(D$1,DATA!$A$3:$F$301,3,FALSE)-VLOOKUP($A4,DATA!$A$3:$F$301,3,FALSE))^2),"")</f>
        <v>0</v>
      </c>
      <c r="E4" s="14">
        <f>_xlfn.IFNA(SQRT((VLOOKUP(E$1,DATA!$A$3:$F$301,2,FALSE)-VLOOKUP($A4,DATA!$A$3:$F$301,2,FALSE))^2+(VLOOKUP(E$1,DATA!$A$3:$F$301,3,FALSE)-VLOOKUP($A4,DATA!$A$3:$F$301,3,FALSE))^2),"")</f>
        <v>8.0622577482985491</v>
      </c>
      <c r="F4" s="14">
        <f>_xlfn.IFNA(SQRT((VLOOKUP(F$1,DATA!$A$3:$F$301,2,FALSE)-VLOOKUP($A4,DATA!$A$3:$F$301,2,FALSE))^2+(VLOOKUP(F$1,DATA!$A$3:$F$301,3,FALSE)-VLOOKUP($A4,DATA!$A$3:$F$301,3,FALSE))^2),"")</f>
        <v>37.107950630558946</v>
      </c>
      <c r="G4" s="14">
        <f>_xlfn.IFNA(SQRT((VLOOKUP(G$1,DATA!$A$3:$F$301,2,FALSE)-VLOOKUP($A4,DATA!$A$3:$F$301,2,FALSE))^2+(VLOOKUP(G$1,DATA!$A$3:$F$301,3,FALSE)-VLOOKUP($A4,DATA!$A$3:$F$301,3,FALSE))^2),"")</f>
        <v>29.698484809834994</v>
      </c>
      <c r="H4" s="14">
        <f>_xlfn.IFNA(SQRT((VLOOKUP(H$1,DATA!$A$3:$F$301,2,FALSE)-VLOOKUP($A4,DATA!$A$3:$F$301,2,FALSE))^2+(VLOOKUP(H$1,DATA!$A$3:$F$301,3,FALSE)-VLOOKUP($A4,DATA!$A$3:$F$301,3,FALSE))^2),"")</f>
        <v>31.953090617340916</v>
      </c>
      <c r="I4" s="14">
        <f>_xlfn.IFNA(SQRT((VLOOKUP(I$1,DATA!$A$3:$F$301,2,FALSE)-VLOOKUP($A4,DATA!$A$3:$F$301,2,FALSE))^2+(VLOOKUP(I$1,DATA!$A$3:$F$301,3,FALSE)-VLOOKUP($A4,DATA!$A$3:$F$301,3,FALSE))^2),"")</f>
        <v>42.80186911806539</v>
      </c>
      <c r="J4" s="14">
        <f>_xlfn.IFNA(SQRT((VLOOKUP(J$1,DATA!$A$3:$F$301,2,FALSE)-VLOOKUP($A4,DATA!$A$3:$F$301,2,FALSE))^2+(VLOOKUP(J$1,DATA!$A$3:$F$301,3,FALSE)-VLOOKUP($A4,DATA!$A$3:$F$301,3,FALSE))^2),"")</f>
        <v>22.022715545545239</v>
      </c>
      <c r="K4" s="14">
        <f>_xlfn.IFNA(SQRT((VLOOKUP(K$1,DATA!$A$3:$F$301,2,FALSE)-VLOOKUP($A4,DATA!$A$3:$F$301,2,FALSE))^2+(VLOOKUP(K$1,DATA!$A$3:$F$301,3,FALSE)-VLOOKUP($A4,DATA!$A$3:$F$301,3,FALSE))^2),"")</f>
        <v>7.0710678118654755</v>
      </c>
      <c r="L4" s="14">
        <f>_xlfn.IFNA(SQRT((VLOOKUP(L$1,DATA!$A$3:$F$301,2,FALSE)-VLOOKUP($A4,DATA!$A$3:$F$301,2,FALSE))^2+(VLOOKUP(L$1,DATA!$A$3:$F$301,3,FALSE)-VLOOKUP($A4,DATA!$A$3:$F$301,3,FALSE))^2),"")</f>
        <v>38.183766184073569</v>
      </c>
      <c r="M4" s="14">
        <f>_xlfn.IFNA(SQRT((VLOOKUP(M$1,DATA!$A$3:$F$301,2,FALSE)-VLOOKUP($A4,DATA!$A$3:$F$301,2,FALSE))^2+(VLOOKUP(M$1,DATA!$A$3:$F$301,3,FALSE)-VLOOKUP($A4,DATA!$A$3:$F$301,3,FALSE))^2),"")</f>
        <v>24.083189157584592</v>
      </c>
      <c r="N4" s="14">
        <f>_xlfn.IFNA(SQRT((VLOOKUP(N$1,DATA!$A$3:$F$301,2,FALSE)-VLOOKUP($A4,DATA!$A$3:$F$301,2,FALSE))^2+(VLOOKUP(N$1,DATA!$A$3:$F$301,3,FALSE)-VLOOKUP($A4,DATA!$A$3:$F$301,3,FALSE))^2),"")</f>
        <v>14.317821063276353</v>
      </c>
      <c r="O4" s="14">
        <f>_xlfn.IFNA(SQRT((VLOOKUP(O$1,DATA!$A$3:$F$301,2,FALSE)-VLOOKUP($A4,DATA!$A$3:$F$301,2,FALSE))^2+(VLOOKUP(O$1,DATA!$A$3:$F$301,3,FALSE)-VLOOKUP($A4,DATA!$A$3:$F$301,3,FALSE))^2),"")</f>
        <v>44.384682042344295</v>
      </c>
      <c r="P4" s="14">
        <f>_xlfn.IFNA(SQRT((VLOOKUP(P$1,DATA!$A$3:$F$301,2,FALSE)-VLOOKUP($A4,DATA!$A$3:$F$301,2,FALSE))^2+(VLOOKUP(P$1,DATA!$A$3:$F$301,3,FALSE)-VLOOKUP($A4,DATA!$A$3:$F$301,3,FALSE))^2),"")</f>
        <v>51.61395160225576</v>
      </c>
      <c r="Q4" s="14">
        <f>_xlfn.IFNA(SQRT((VLOOKUP(Q$1,DATA!$A$3:$F$301,2,FALSE)-VLOOKUP($A4,DATA!$A$3:$F$301,2,FALSE))^2+(VLOOKUP(Q$1,DATA!$A$3:$F$301,3,FALSE)-VLOOKUP($A4,DATA!$A$3:$F$301,3,FALSE))^2),"")</f>
        <v>31.144823004794873</v>
      </c>
      <c r="R4" s="14">
        <f>_xlfn.IFNA(SQRT((VLOOKUP(R$1,DATA!$A$3:$F$301,2,FALSE)-VLOOKUP($A4,DATA!$A$3:$F$301,2,FALSE))^2+(VLOOKUP(R$1,DATA!$A$3:$F$301,3,FALSE)-VLOOKUP($A4,DATA!$A$3:$F$301,3,FALSE))^2),"")</f>
        <v>19.104973174542799</v>
      </c>
      <c r="S4" s="14">
        <f>_xlfn.IFNA(SQRT((VLOOKUP(S$1,DATA!$A$3:$F$301,2,FALSE)-VLOOKUP($A4,DATA!$A$3:$F$301,2,FALSE))^2+(VLOOKUP(S$1,DATA!$A$3:$F$301,3,FALSE)-VLOOKUP($A4,DATA!$A$3:$F$301,3,FALSE))^2),"")</f>
        <v>31.064449134018133</v>
      </c>
      <c r="T4" s="14">
        <f>_xlfn.IFNA(SQRT((VLOOKUP(T$1,DATA!$A$3:$F$301,2,FALSE)-VLOOKUP($A4,DATA!$A$3:$F$301,2,FALSE))^2+(VLOOKUP(T$1,DATA!$A$3:$F$301,3,FALSE)-VLOOKUP($A4,DATA!$A$3:$F$301,3,FALSE))^2),"")</f>
        <v>42.01190307520001</v>
      </c>
      <c r="U4" s="14">
        <f>_xlfn.IFNA(SQRT((VLOOKUP(U$1,DATA!$A$3:$F$301,2,FALSE)-VLOOKUP($A4,DATA!$A$3:$F$301,2,FALSE))^2+(VLOOKUP(U$1,DATA!$A$3:$F$301,3,FALSE)-VLOOKUP($A4,DATA!$A$3:$F$301,3,FALSE))^2),"")</f>
        <v>14.317821063276353</v>
      </c>
      <c r="V4" s="14">
        <f>_xlfn.IFNA(SQRT((VLOOKUP(V$1,DATA!$A$3:$F$301,2,FALSE)-VLOOKUP($A4,DATA!$A$3:$F$301,2,FALSE))^2+(VLOOKUP(V$1,DATA!$A$3:$F$301,3,FALSE)-VLOOKUP($A4,DATA!$A$3:$F$301,3,FALSE))^2),"")</f>
        <v>26.419689627245813</v>
      </c>
      <c r="W4" s="14">
        <f>_xlfn.IFNA(SQRT((VLOOKUP(W$1,DATA!$A$3:$F$301,2,FALSE)-VLOOKUP($A4,DATA!$A$3:$F$301,2,FALSE))^2+(VLOOKUP(W$1,DATA!$A$3:$F$301,3,FALSE)-VLOOKUP($A4,DATA!$A$3:$F$301,3,FALSE))^2),"")</f>
        <v>27.658633371878661</v>
      </c>
      <c r="X4" s="14">
        <f>_xlfn.IFNA(SQRT((VLOOKUP(X$1,DATA!$A$3:$F$301,2,FALSE)-VLOOKUP($A4,DATA!$A$3:$F$301,2,FALSE))^2+(VLOOKUP(X$1,DATA!$A$3:$F$301,3,FALSE)-VLOOKUP($A4,DATA!$A$3:$F$301,3,FALSE))^2),"")</f>
        <v>33.376638536557273</v>
      </c>
      <c r="Y4" s="14">
        <f>_xlfn.IFNA(SQRT((VLOOKUP(Y$1,DATA!$A$3:$F$301,2,FALSE)-VLOOKUP($A4,DATA!$A$3:$F$301,2,FALSE))^2+(VLOOKUP(Y$1,DATA!$A$3:$F$301,3,FALSE)-VLOOKUP($A4,DATA!$A$3:$F$301,3,FALSE))^2),"")</f>
        <v>41.400483088968905</v>
      </c>
      <c r="Z4" s="14">
        <f>_xlfn.IFNA(SQRT((VLOOKUP(Z$1,DATA!$A$3:$F$301,2,FALSE)-VLOOKUP($A4,DATA!$A$3:$F$301,2,FALSE))^2+(VLOOKUP(Z$1,DATA!$A$3:$F$301,3,FALSE)-VLOOKUP($A4,DATA!$A$3:$F$301,3,FALSE))^2),"")</f>
        <v>17.262676501632068</v>
      </c>
      <c r="AA4" s="14">
        <f>_xlfn.IFNA(SQRT((VLOOKUP(AA$1,DATA!$A$3:$F$301,2,FALSE)-VLOOKUP($A4,DATA!$A$3:$F$301,2,FALSE))^2+(VLOOKUP(AA$1,DATA!$A$3:$F$301,3,FALSE)-VLOOKUP($A4,DATA!$A$3:$F$301,3,FALSE))^2),"")</f>
        <v>35.735136770411273</v>
      </c>
      <c r="AB4" s="14">
        <f>_xlfn.IFNA(SQRT((VLOOKUP(AB$1,DATA!$A$3:$F$301,2,FALSE)-VLOOKUP($A4,DATA!$A$3:$F$301,2,FALSE))^2+(VLOOKUP(AB$1,DATA!$A$3:$F$301,3,FALSE)-VLOOKUP($A4,DATA!$A$3:$F$301,3,FALSE))^2),"")</f>
        <v>2.8284271247461903</v>
      </c>
      <c r="AC4" s="14">
        <f>_xlfn.IFNA(SQRT((VLOOKUP(AC$1,DATA!$A$3:$F$301,2,FALSE)-VLOOKUP($A4,DATA!$A$3:$F$301,2,FALSE))^2+(VLOOKUP(AC$1,DATA!$A$3:$F$301,3,FALSE)-VLOOKUP($A4,DATA!$A$3:$F$301,3,FALSE))^2),"")</f>
        <v>34</v>
      </c>
      <c r="AD4" s="14">
        <f>_xlfn.IFNA(SQRT((VLOOKUP(AD$1,DATA!$A$3:$F$301,2,FALSE)-VLOOKUP($A4,DATA!$A$3:$F$301,2,FALSE))^2+(VLOOKUP(AD$1,DATA!$A$3:$F$301,3,FALSE)-VLOOKUP($A4,DATA!$A$3:$F$301,3,FALSE))^2),"")</f>
        <v>31.064449134018133</v>
      </c>
      <c r="AE4" s="14">
        <f>_xlfn.IFNA(SQRT((VLOOKUP(AE$1,DATA!$A$3:$F$301,2,FALSE)-VLOOKUP($A4,DATA!$A$3:$F$301,2,FALSE))^2+(VLOOKUP(AE$1,DATA!$A$3:$F$301,3,FALSE)-VLOOKUP($A4,DATA!$A$3:$F$301,3,FALSE))^2),"")</f>
        <v>36.674241641784498</v>
      </c>
      <c r="AF4" s="14">
        <f>_xlfn.IFNA(SQRT((VLOOKUP(AF$1,DATA!$A$3:$F$301,2,FALSE)-VLOOKUP($A4,DATA!$A$3:$F$301,2,FALSE))^2+(VLOOKUP(AF$1,DATA!$A$3:$F$301,3,FALSE)-VLOOKUP($A4,DATA!$A$3:$F$301,3,FALSE))^2),"")</f>
        <v>20.223748416156685</v>
      </c>
      <c r="AG4" s="14">
        <f>_xlfn.IFNA(SQRT((VLOOKUP(AG$1,DATA!$A$3:$F$301,2,FALSE)-VLOOKUP($A4,DATA!$A$3:$F$301,2,FALSE))^2+(VLOOKUP(AG$1,DATA!$A$3:$F$301,3,FALSE)-VLOOKUP($A4,DATA!$A$3:$F$301,3,FALSE))^2),"")</f>
        <v>32</v>
      </c>
      <c r="AH4" s="14">
        <f>_xlfn.IFNA(SQRT((VLOOKUP(AH$1,DATA!$A$3:$F$301,2,FALSE)-VLOOKUP($A4,DATA!$A$3:$F$301,2,FALSE))^2+(VLOOKUP(AH$1,DATA!$A$3:$F$301,3,FALSE)-VLOOKUP($A4,DATA!$A$3:$F$301,3,FALSE))^2),"")</f>
        <v>24.698178070456937</v>
      </c>
      <c r="AI4" s="14">
        <f>_xlfn.IFNA(SQRT((VLOOKUP(AI$1,DATA!$A$3:$F$301,2,FALSE)-VLOOKUP($A4,DATA!$A$3:$F$301,2,FALSE))^2+(VLOOKUP(AI$1,DATA!$A$3:$F$301,3,FALSE)-VLOOKUP($A4,DATA!$A$3:$F$301,3,FALSE))^2),"")</f>
        <v>16.124515496597098</v>
      </c>
      <c r="AJ4" s="14">
        <f>_xlfn.IFNA(SQRT((VLOOKUP(AJ$1,DATA!$A$3:$F$301,2,FALSE)-VLOOKUP($A4,DATA!$A$3:$F$301,2,FALSE))^2+(VLOOKUP(AJ$1,DATA!$A$3:$F$301,3,FALSE)-VLOOKUP($A4,DATA!$A$3:$F$301,3,FALSE))^2),"")</f>
        <v>34.985711369071801</v>
      </c>
      <c r="AK4" s="14">
        <f>_xlfn.IFNA(SQRT((VLOOKUP(AK$1,DATA!$A$3:$F$301,2,FALSE)-VLOOKUP($A4,DATA!$A$3:$F$301,2,FALSE))^2+(VLOOKUP(AK$1,DATA!$A$3:$F$301,3,FALSE)-VLOOKUP($A4,DATA!$A$3:$F$301,3,FALSE))^2),"")</f>
        <v>27.892651361962706</v>
      </c>
      <c r="AL4" s="14">
        <f>_xlfn.IFNA(SQRT((VLOOKUP(AL$1,DATA!$A$3:$F$301,2,FALSE)-VLOOKUP($A4,DATA!$A$3:$F$301,2,FALSE))^2+(VLOOKUP(AL$1,DATA!$A$3:$F$301,3,FALSE)-VLOOKUP($A4,DATA!$A$3:$F$301,3,FALSE))^2),"")</f>
        <v>49.193495504995376</v>
      </c>
      <c r="AM4" s="14">
        <f>_xlfn.IFNA(SQRT((VLOOKUP(AM$1,DATA!$A$3:$F$301,2,FALSE)-VLOOKUP($A4,DATA!$A$3:$F$301,2,FALSE))^2+(VLOOKUP(AM$1,DATA!$A$3:$F$301,3,FALSE)-VLOOKUP($A4,DATA!$A$3:$F$301,3,FALSE))^2),"")</f>
        <v>37.8549864614954</v>
      </c>
      <c r="AN4" s="14">
        <f>_xlfn.IFNA(SQRT((VLOOKUP(AN$1,DATA!$A$3:$F$301,2,FALSE)-VLOOKUP($A4,DATA!$A$3:$F$301,2,FALSE))^2+(VLOOKUP(AN$1,DATA!$A$3:$F$301,3,FALSE)-VLOOKUP($A4,DATA!$A$3:$F$301,3,FALSE))^2),"")</f>
        <v>31.016124838541646</v>
      </c>
      <c r="AO4" s="14">
        <f>_xlfn.IFNA(SQRT((VLOOKUP(AO$1,DATA!$A$3:$F$301,2,FALSE)-VLOOKUP($A4,DATA!$A$3:$F$301,2,FALSE))^2+(VLOOKUP(AO$1,DATA!$A$3:$F$301,3,FALSE)-VLOOKUP($A4,DATA!$A$3:$F$301,3,FALSE))^2),"")</f>
        <v>26.92582403567252</v>
      </c>
      <c r="AP4" s="14" t="str">
        <f>_xlfn.IFNA(SQRT((VLOOKUP(AP$1,DATA!$A$3:$F$301,2,FALSE)-VLOOKUP($A4,DATA!$A$3:$F$301,2,FALSE))^2+(VLOOKUP(AP$1,DATA!$A$3:$F$301,3,FALSE)-VLOOKUP($A4,DATA!$A$3:$F$301,3,FALSE))^2),"")</f>
        <v/>
      </c>
      <c r="AQ4" s="14" t="str">
        <f>_xlfn.IFNA(SQRT((VLOOKUP(AQ$1,DATA!$A$3:$F$301,2,FALSE)-VLOOKUP($A4,DATA!$A$3:$F$301,2,FALSE))^2+(VLOOKUP(AQ$1,DATA!$A$3:$F$301,3,FALSE)-VLOOKUP($A4,DATA!$A$3:$F$301,3,FALSE))^2),"")</f>
        <v/>
      </c>
      <c r="AR4" s="14" t="str">
        <f>_xlfn.IFNA(SQRT((VLOOKUP(AR$1,DATA!$A$3:$F$301,2,FALSE)-VLOOKUP($A4,DATA!$A$3:$F$301,2,FALSE))^2+(VLOOKUP(AR$1,DATA!$A$3:$F$301,3,FALSE)-VLOOKUP($A4,DATA!$A$3:$F$301,3,FALSE))^2),"")</f>
        <v/>
      </c>
      <c r="AS4" s="14" t="str">
        <f>_xlfn.IFNA(SQRT((VLOOKUP(AS$1,DATA!$A$3:$F$301,2,FALSE)-VLOOKUP($A4,DATA!$A$3:$F$301,2,FALSE))^2+(VLOOKUP(AS$1,DATA!$A$3:$F$301,3,FALSE)-VLOOKUP($A4,DATA!$A$3:$F$301,3,FALSE))^2),"")</f>
        <v/>
      </c>
      <c r="AT4" s="14" t="str">
        <f>_xlfn.IFNA(SQRT((VLOOKUP(AT$1,DATA!$A$3:$F$301,2,FALSE)-VLOOKUP($A4,DATA!$A$3:$F$301,2,FALSE))^2+(VLOOKUP(AT$1,DATA!$A$3:$F$301,3,FALSE)-VLOOKUP($A4,DATA!$A$3:$F$301,3,FALSE))^2),"")</f>
        <v/>
      </c>
      <c r="AU4" s="14" t="str">
        <f>_xlfn.IFNA(SQRT((VLOOKUP(AU$1,DATA!$A$3:$F$301,2,FALSE)-VLOOKUP($A4,DATA!$A$3:$F$301,2,FALSE))^2+(VLOOKUP(AU$1,DATA!$A$3:$F$301,3,FALSE)-VLOOKUP($A4,DATA!$A$3:$F$301,3,FALSE))^2),"")</f>
        <v/>
      </c>
      <c r="AV4" s="14" t="str">
        <f>_xlfn.IFNA(SQRT((VLOOKUP(AV$1,DATA!$A$3:$F$301,2,FALSE)-VLOOKUP($A4,DATA!$A$3:$F$301,2,FALSE))^2+(VLOOKUP(AV$1,DATA!$A$3:$F$301,3,FALSE)-VLOOKUP($A4,DATA!$A$3:$F$301,3,FALSE))^2),"")</f>
        <v/>
      </c>
      <c r="AW4" s="14" t="str">
        <f>_xlfn.IFNA(SQRT((VLOOKUP(AW$1,DATA!$A$3:$F$301,2,FALSE)-VLOOKUP($A4,DATA!$A$3:$F$301,2,FALSE))^2+(VLOOKUP(AW$1,DATA!$A$3:$F$301,3,FALSE)-VLOOKUP($A4,DATA!$A$3:$F$301,3,FALSE))^2),"")</f>
        <v/>
      </c>
      <c r="AX4" s="14" t="str">
        <f>_xlfn.IFNA(SQRT((VLOOKUP(AX$1,DATA!$A$3:$F$301,2,FALSE)-VLOOKUP($A4,DATA!$A$3:$F$301,2,FALSE))^2+(VLOOKUP(AX$1,DATA!$A$3:$F$301,3,FALSE)-VLOOKUP($A4,DATA!$A$3:$F$301,3,FALSE))^2),"")</f>
        <v/>
      </c>
      <c r="AY4" s="14" t="str">
        <f>_xlfn.IFNA(SQRT((VLOOKUP(AY$1,DATA!$A$3:$F$301,2,FALSE)-VLOOKUP($A4,DATA!$A$3:$F$301,2,FALSE))^2+(VLOOKUP(AY$1,DATA!$A$3:$F$301,3,FALSE)-VLOOKUP($A4,DATA!$A$3:$F$301,3,FALSE))^2),"")</f>
        <v/>
      </c>
      <c r="AZ4" s="14" t="str">
        <f>_xlfn.IFNA(SQRT((VLOOKUP(AZ$1,DATA!$A$3:$F$301,2,FALSE)-VLOOKUP($A4,DATA!$A$3:$F$301,2,FALSE))^2+(VLOOKUP(AZ$1,DATA!$A$3:$F$301,3,FALSE)-VLOOKUP($A4,DATA!$A$3:$F$301,3,FALSE))^2),"")</f>
        <v/>
      </c>
      <c r="BA4" s="14" t="str">
        <f>_xlfn.IFNA(SQRT((VLOOKUP(BA$1,DATA!$A$3:$F$301,2,FALSE)-VLOOKUP($A4,DATA!$A$3:$F$301,2,FALSE))^2+(VLOOKUP(BA$1,DATA!$A$3:$F$301,3,FALSE)-VLOOKUP($A4,DATA!$A$3:$F$301,3,FALSE))^2),"")</f>
        <v/>
      </c>
      <c r="BB4" s="14" t="str">
        <f>_xlfn.IFNA(SQRT((VLOOKUP(BB$1,DATA!$A$3:$F$301,2,FALSE)-VLOOKUP($A4,DATA!$A$3:$F$301,2,FALSE))^2+(VLOOKUP(BB$1,DATA!$A$3:$F$301,3,FALSE)-VLOOKUP($A4,DATA!$A$3:$F$301,3,FALSE))^2),"")</f>
        <v/>
      </c>
      <c r="BC4" s="14" t="str">
        <f>_xlfn.IFNA(SQRT((VLOOKUP(BC$1,DATA!$A$3:$F$301,2,FALSE)-VLOOKUP($A4,DATA!$A$3:$F$301,2,FALSE))^2+(VLOOKUP(BC$1,DATA!$A$3:$F$301,3,FALSE)-VLOOKUP($A4,DATA!$A$3:$F$301,3,FALSE))^2),"")</f>
        <v/>
      </c>
      <c r="BD4" s="14" t="str">
        <f>_xlfn.IFNA(SQRT((VLOOKUP(BD$1,DATA!$A$3:$F$301,2,FALSE)-VLOOKUP($A4,DATA!$A$3:$F$301,2,FALSE))^2+(VLOOKUP(BD$1,DATA!$A$3:$F$301,3,FALSE)-VLOOKUP($A4,DATA!$A$3:$F$301,3,FALSE))^2),"")</f>
        <v/>
      </c>
      <c r="BE4" s="14" t="str">
        <f>_xlfn.IFNA(SQRT((VLOOKUP(BE$1,DATA!$A$3:$F$301,2,FALSE)-VLOOKUP($A4,DATA!$A$3:$F$301,2,FALSE))^2+(VLOOKUP(BE$1,DATA!$A$3:$F$301,3,FALSE)-VLOOKUP($A4,DATA!$A$3:$F$301,3,FALSE))^2),"")</f>
        <v/>
      </c>
      <c r="BF4" s="14" t="str">
        <f>_xlfn.IFNA(SQRT((VLOOKUP(BF$1,DATA!$A$3:$F$301,2,FALSE)-VLOOKUP($A4,DATA!$A$3:$F$301,2,FALSE))^2+(VLOOKUP(BF$1,DATA!$A$3:$F$301,3,FALSE)-VLOOKUP($A4,DATA!$A$3:$F$301,3,FALSE))^2),"")</f>
        <v/>
      </c>
      <c r="BG4" s="14" t="str">
        <f>_xlfn.IFNA(SQRT((VLOOKUP(BG$1,DATA!$A$3:$F$301,2,FALSE)-VLOOKUP($A4,DATA!$A$3:$F$301,2,FALSE))^2+(VLOOKUP(BG$1,DATA!$A$3:$F$301,3,FALSE)-VLOOKUP($A4,DATA!$A$3:$F$301,3,FALSE))^2),"")</f>
        <v/>
      </c>
      <c r="BH4" s="14" t="str">
        <f>_xlfn.IFNA(SQRT((VLOOKUP(BH$1,DATA!$A$3:$F$301,2,FALSE)-VLOOKUP($A4,DATA!$A$3:$F$301,2,FALSE))^2+(VLOOKUP(BH$1,DATA!$A$3:$F$301,3,FALSE)-VLOOKUP($A4,DATA!$A$3:$F$301,3,FALSE))^2),"")</f>
        <v/>
      </c>
      <c r="BI4" s="14" t="str">
        <f>_xlfn.IFNA(SQRT((VLOOKUP(BI$1,DATA!$A$3:$F$301,2,FALSE)-VLOOKUP($A4,DATA!$A$3:$F$301,2,FALSE))^2+(VLOOKUP(BI$1,DATA!$A$3:$F$301,3,FALSE)-VLOOKUP($A4,DATA!$A$3:$F$301,3,FALSE))^2),"")</f>
        <v/>
      </c>
      <c r="BJ4" s="14" t="str">
        <f>_xlfn.IFNA(SQRT((VLOOKUP(BJ$1,DATA!$A$3:$F$301,2,FALSE)-VLOOKUP($A4,DATA!$A$3:$F$301,2,FALSE))^2+(VLOOKUP(BJ$1,DATA!$A$3:$F$301,3,FALSE)-VLOOKUP($A4,DATA!$A$3:$F$301,3,FALSE))^2),"")</f>
        <v/>
      </c>
      <c r="BK4" s="14" t="str">
        <f>_xlfn.IFNA(SQRT((VLOOKUP(BK$1,DATA!$A$3:$F$301,2,FALSE)-VLOOKUP($A4,DATA!$A$3:$F$301,2,FALSE))^2+(VLOOKUP(BK$1,DATA!$A$3:$F$301,3,FALSE)-VLOOKUP($A4,DATA!$A$3:$F$301,3,FALSE))^2),"")</f>
        <v/>
      </c>
      <c r="BL4" s="14" t="str">
        <f>_xlfn.IFNA(SQRT((VLOOKUP(BL$1,DATA!$A$3:$F$301,2,FALSE)-VLOOKUP($A4,DATA!$A$3:$F$301,2,FALSE))^2+(VLOOKUP(BL$1,DATA!$A$3:$F$301,3,FALSE)-VLOOKUP($A4,DATA!$A$3:$F$301,3,FALSE))^2),"")</f>
        <v/>
      </c>
      <c r="BM4" s="14" t="str">
        <f>_xlfn.IFNA(SQRT((VLOOKUP(BM$1,DATA!$A$3:$F$301,2,FALSE)-VLOOKUP($A4,DATA!$A$3:$F$301,2,FALSE))^2+(VLOOKUP(BM$1,DATA!$A$3:$F$301,3,FALSE)-VLOOKUP($A4,DATA!$A$3:$F$301,3,FALSE))^2),"")</f>
        <v/>
      </c>
      <c r="BN4" s="14" t="str">
        <f>_xlfn.IFNA(SQRT((VLOOKUP(BN$1,DATA!$A$3:$F$301,2,FALSE)-VLOOKUP($A4,DATA!$A$3:$F$301,2,FALSE))^2+(VLOOKUP(BN$1,DATA!$A$3:$F$301,3,FALSE)-VLOOKUP($A4,DATA!$A$3:$F$301,3,FALSE))^2),"")</f>
        <v/>
      </c>
      <c r="BO4" s="14" t="str">
        <f>_xlfn.IFNA(SQRT((VLOOKUP(BO$1,DATA!$A$3:$F$301,2,FALSE)-VLOOKUP($A4,DATA!$A$3:$F$301,2,FALSE))^2+(VLOOKUP(BO$1,DATA!$A$3:$F$301,3,FALSE)-VLOOKUP($A4,DATA!$A$3:$F$301,3,FALSE))^2),"")</f>
        <v/>
      </c>
      <c r="BP4" s="14" t="str">
        <f>_xlfn.IFNA(SQRT((VLOOKUP(BP$1,DATA!$A$3:$F$301,2,FALSE)-VLOOKUP($A4,DATA!$A$3:$F$301,2,FALSE))^2+(VLOOKUP(BP$1,DATA!$A$3:$F$301,3,FALSE)-VLOOKUP($A4,DATA!$A$3:$F$301,3,FALSE))^2),"")</f>
        <v/>
      </c>
      <c r="BQ4" s="14" t="str">
        <f>_xlfn.IFNA(SQRT((VLOOKUP(BQ$1,DATA!$A$3:$F$301,2,FALSE)-VLOOKUP($A4,DATA!$A$3:$F$301,2,FALSE))^2+(VLOOKUP(BQ$1,DATA!$A$3:$F$301,3,FALSE)-VLOOKUP($A4,DATA!$A$3:$F$301,3,FALSE))^2),"")</f>
        <v/>
      </c>
      <c r="BR4" s="14" t="str">
        <f>_xlfn.IFNA(SQRT((VLOOKUP(BR$1,DATA!$A$3:$F$301,2,FALSE)-VLOOKUP($A4,DATA!$A$3:$F$301,2,FALSE))^2+(VLOOKUP(BR$1,DATA!$A$3:$F$301,3,FALSE)-VLOOKUP($A4,DATA!$A$3:$F$301,3,FALSE))^2),"")</f>
        <v/>
      </c>
      <c r="BS4" s="14" t="str">
        <f>_xlfn.IFNA(SQRT((VLOOKUP(BS$1,DATA!$A$3:$F$301,2,FALSE)-VLOOKUP($A4,DATA!$A$3:$F$301,2,FALSE))^2+(VLOOKUP(BS$1,DATA!$A$3:$F$301,3,FALSE)-VLOOKUP($A4,DATA!$A$3:$F$301,3,FALSE))^2),"")</f>
        <v/>
      </c>
      <c r="BT4" s="14" t="str">
        <f>_xlfn.IFNA(SQRT((VLOOKUP(BT$1,DATA!$A$3:$F$301,2,FALSE)-VLOOKUP($A4,DATA!$A$3:$F$301,2,FALSE))^2+(VLOOKUP(BT$1,DATA!$A$3:$F$301,3,FALSE)-VLOOKUP($A4,DATA!$A$3:$F$301,3,FALSE))^2),"")</f>
        <v/>
      </c>
      <c r="BU4" s="14" t="str">
        <f>_xlfn.IFNA(SQRT((VLOOKUP(BU$1,DATA!$A$3:$F$301,2,FALSE)-VLOOKUP($A4,DATA!$A$3:$F$301,2,FALSE))^2+(VLOOKUP(BU$1,DATA!$A$3:$F$301,3,FALSE)-VLOOKUP($A4,DATA!$A$3:$F$301,3,FALSE))^2),"")</f>
        <v/>
      </c>
      <c r="BV4" s="14" t="str">
        <f>_xlfn.IFNA(SQRT((VLOOKUP(BV$1,DATA!$A$3:$F$301,2,FALSE)-VLOOKUP($A4,DATA!$A$3:$F$301,2,FALSE))^2+(VLOOKUP(BV$1,DATA!$A$3:$F$301,3,FALSE)-VLOOKUP($A4,DATA!$A$3:$F$301,3,FALSE))^2),"")</f>
        <v/>
      </c>
      <c r="BW4" s="14" t="str">
        <f>_xlfn.IFNA(SQRT((VLOOKUP(BW$1,DATA!$A$3:$F$301,2,FALSE)-VLOOKUP($A4,DATA!$A$3:$F$301,2,FALSE))^2+(VLOOKUP(BW$1,DATA!$A$3:$F$301,3,FALSE)-VLOOKUP($A4,DATA!$A$3:$F$301,3,FALSE))^2),"")</f>
        <v/>
      </c>
      <c r="BX4" s="14" t="str">
        <f>_xlfn.IFNA(SQRT((VLOOKUP(BX$1,DATA!$A$3:$F$301,2,FALSE)-VLOOKUP($A4,DATA!$A$3:$F$301,2,FALSE))^2+(VLOOKUP(BX$1,DATA!$A$3:$F$301,3,FALSE)-VLOOKUP($A4,DATA!$A$3:$F$301,3,FALSE))^2),"")</f>
        <v/>
      </c>
      <c r="BY4" s="14" t="str">
        <f>_xlfn.IFNA(SQRT((VLOOKUP(BY$1,DATA!$A$3:$F$301,2,FALSE)-VLOOKUP($A4,DATA!$A$3:$F$301,2,FALSE))^2+(VLOOKUP(BY$1,DATA!$A$3:$F$301,3,FALSE)-VLOOKUP($A4,DATA!$A$3:$F$301,3,FALSE))^2),"")</f>
        <v/>
      </c>
      <c r="BZ4" s="14" t="str">
        <f>_xlfn.IFNA(SQRT((VLOOKUP(BZ$1,DATA!$A$3:$F$301,2,FALSE)-VLOOKUP($A4,DATA!$A$3:$F$301,2,FALSE))^2+(VLOOKUP(BZ$1,DATA!$A$3:$F$301,3,FALSE)-VLOOKUP($A4,DATA!$A$3:$F$301,3,FALSE))^2),"")</f>
        <v/>
      </c>
      <c r="CA4" s="14" t="str">
        <f>_xlfn.IFNA(SQRT((VLOOKUP(CA$1,DATA!$A$3:$F$301,2,FALSE)-VLOOKUP($A4,DATA!$A$3:$F$301,2,FALSE))^2+(VLOOKUP(CA$1,DATA!$A$3:$F$301,3,FALSE)-VLOOKUP($A4,DATA!$A$3:$F$301,3,FALSE))^2),"")</f>
        <v/>
      </c>
      <c r="CB4" s="14" t="str">
        <f>_xlfn.IFNA(SQRT((VLOOKUP(CB$1,DATA!$A$3:$F$301,2,FALSE)-VLOOKUP($A4,DATA!$A$3:$F$301,2,FALSE))^2+(VLOOKUP(CB$1,DATA!$A$3:$F$301,3,FALSE)-VLOOKUP($A4,DATA!$A$3:$F$301,3,FALSE))^2),"")</f>
        <v/>
      </c>
      <c r="CC4" s="14" t="str">
        <f>_xlfn.IFNA(SQRT((VLOOKUP(CC$1,DATA!$A$3:$F$301,2,FALSE)-VLOOKUP($A4,DATA!$A$3:$F$301,2,FALSE))^2+(VLOOKUP(CC$1,DATA!$A$3:$F$301,3,FALSE)-VLOOKUP($A4,DATA!$A$3:$F$301,3,FALSE))^2),"")</f>
        <v/>
      </c>
      <c r="CD4" s="14" t="str">
        <f>_xlfn.IFNA(SQRT((VLOOKUP(CD$1,DATA!$A$3:$F$301,2,FALSE)-VLOOKUP($A4,DATA!$A$3:$F$301,2,FALSE))^2+(VLOOKUP(CD$1,DATA!$A$3:$F$301,3,FALSE)-VLOOKUP($A4,DATA!$A$3:$F$301,3,FALSE))^2),"")</f>
        <v/>
      </c>
      <c r="CE4" s="14" t="str">
        <f>_xlfn.IFNA(SQRT((VLOOKUP(CE$1,DATA!$A$3:$F$301,2,FALSE)-VLOOKUP($A4,DATA!$A$3:$F$301,2,FALSE))^2+(VLOOKUP(CE$1,DATA!$A$3:$F$301,3,FALSE)-VLOOKUP($A4,DATA!$A$3:$F$301,3,FALSE))^2),"")</f>
        <v/>
      </c>
      <c r="CF4" s="14" t="str">
        <f>_xlfn.IFNA(SQRT((VLOOKUP(CF$1,DATA!$A$3:$F$301,2,FALSE)-VLOOKUP($A4,DATA!$A$3:$F$301,2,FALSE))^2+(VLOOKUP(CF$1,DATA!$A$3:$F$301,3,FALSE)-VLOOKUP($A4,DATA!$A$3:$F$301,3,FALSE))^2),"")</f>
        <v/>
      </c>
      <c r="CG4" s="14" t="str">
        <f>_xlfn.IFNA(SQRT((VLOOKUP(CG$1,DATA!$A$3:$F$301,2,FALSE)-VLOOKUP($A4,DATA!$A$3:$F$301,2,FALSE))^2+(VLOOKUP(CG$1,DATA!$A$3:$F$301,3,FALSE)-VLOOKUP($A4,DATA!$A$3:$F$301,3,FALSE))^2),"")</f>
        <v/>
      </c>
      <c r="CH4" s="14" t="str">
        <f>_xlfn.IFNA(SQRT((VLOOKUP(CH$1,DATA!$A$3:$F$301,2,FALSE)-VLOOKUP($A4,DATA!$A$3:$F$301,2,FALSE))^2+(VLOOKUP(CH$1,DATA!$A$3:$F$301,3,FALSE)-VLOOKUP($A4,DATA!$A$3:$F$301,3,FALSE))^2),"")</f>
        <v/>
      </c>
      <c r="CI4" s="14" t="str">
        <f>_xlfn.IFNA(SQRT((VLOOKUP(CI$1,DATA!$A$3:$F$301,2,FALSE)-VLOOKUP($A4,DATA!$A$3:$F$301,2,FALSE))^2+(VLOOKUP(CI$1,DATA!$A$3:$F$301,3,FALSE)-VLOOKUP($A4,DATA!$A$3:$F$301,3,FALSE))^2),"")</f>
        <v/>
      </c>
      <c r="CJ4" s="14" t="str">
        <f>_xlfn.IFNA(SQRT((VLOOKUP(CJ$1,DATA!$A$3:$F$301,2,FALSE)-VLOOKUP($A4,DATA!$A$3:$F$301,2,FALSE))^2+(VLOOKUP(CJ$1,DATA!$A$3:$F$301,3,FALSE)-VLOOKUP($A4,DATA!$A$3:$F$301,3,FALSE))^2),"")</f>
        <v/>
      </c>
      <c r="CK4" s="14" t="str">
        <f>_xlfn.IFNA(SQRT((VLOOKUP(CK$1,DATA!$A$3:$F$301,2,FALSE)-VLOOKUP($A4,DATA!$A$3:$F$301,2,FALSE))^2+(VLOOKUP(CK$1,DATA!$A$3:$F$301,3,FALSE)-VLOOKUP($A4,DATA!$A$3:$F$301,3,FALSE))^2),"")</f>
        <v/>
      </c>
      <c r="CL4" s="14" t="str">
        <f>_xlfn.IFNA(SQRT((VLOOKUP(CL$1,DATA!$A$3:$F$301,2,FALSE)-VLOOKUP($A4,DATA!$A$3:$F$301,2,FALSE))^2+(VLOOKUP(CL$1,DATA!$A$3:$F$301,3,FALSE)-VLOOKUP($A4,DATA!$A$3:$F$301,3,FALSE))^2),"")</f>
        <v/>
      </c>
      <c r="CM4" s="14" t="str">
        <f>_xlfn.IFNA(SQRT((VLOOKUP(CM$1,DATA!$A$3:$F$301,2,FALSE)-VLOOKUP($A4,DATA!$A$3:$F$301,2,FALSE))^2+(VLOOKUP(CM$1,DATA!$A$3:$F$301,3,FALSE)-VLOOKUP($A4,DATA!$A$3:$F$301,3,FALSE))^2),"")</f>
        <v/>
      </c>
      <c r="CN4" s="14" t="str">
        <f>_xlfn.IFNA(SQRT((VLOOKUP(CN$1,DATA!$A$3:$F$301,2,FALSE)-VLOOKUP($A4,DATA!$A$3:$F$301,2,FALSE))^2+(VLOOKUP(CN$1,DATA!$A$3:$F$301,3,FALSE)-VLOOKUP($A4,DATA!$A$3:$F$301,3,FALSE))^2),"")</f>
        <v/>
      </c>
      <c r="CO4" s="14" t="str">
        <f>_xlfn.IFNA(SQRT((VLOOKUP(CO$1,DATA!$A$3:$F$301,2,FALSE)-VLOOKUP($A4,DATA!$A$3:$F$301,2,FALSE))^2+(VLOOKUP(CO$1,DATA!$A$3:$F$301,3,FALSE)-VLOOKUP($A4,DATA!$A$3:$F$301,3,FALSE))^2),"")</f>
        <v/>
      </c>
      <c r="CP4" s="14" t="str">
        <f>_xlfn.IFNA(SQRT((VLOOKUP(CP$1,DATA!$A$3:$F$301,2,FALSE)-VLOOKUP($A4,DATA!$A$3:$F$301,2,FALSE))^2+(VLOOKUP(CP$1,DATA!$A$3:$F$301,3,FALSE)-VLOOKUP($A4,DATA!$A$3:$F$301,3,FALSE))^2),"")</f>
        <v/>
      </c>
      <c r="CQ4" s="14" t="str">
        <f>_xlfn.IFNA(SQRT((VLOOKUP(CQ$1,DATA!$A$3:$F$301,2,FALSE)-VLOOKUP($A4,DATA!$A$3:$F$301,2,FALSE))^2+(VLOOKUP(CQ$1,DATA!$A$3:$F$301,3,FALSE)-VLOOKUP($A4,DATA!$A$3:$F$301,3,FALSE))^2),"")</f>
        <v/>
      </c>
      <c r="CR4" s="14" t="str">
        <f>_xlfn.IFNA(SQRT((VLOOKUP(CR$1,DATA!$A$3:$F$301,2,FALSE)-VLOOKUP($A4,DATA!$A$3:$F$301,2,FALSE))^2+(VLOOKUP(CR$1,DATA!$A$3:$F$301,3,FALSE)-VLOOKUP($A4,DATA!$A$3:$F$301,3,FALSE))^2),"")</f>
        <v/>
      </c>
      <c r="CS4" s="14" t="str">
        <f>_xlfn.IFNA(SQRT((VLOOKUP(CS$1,DATA!$A$3:$F$301,2,FALSE)-VLOOKUP($A4,DATA!$A$3:$F$301,2,FALSE))^2+(VLOOKUP(CS$1,DATA!$A$3:$F$301,3,FALSE)-VLOOKUP($A4,DATA!$A$3:$F$301,3,FALSE))^2),"")</f>
        <v/>
      </c>
      <c r="CT4" s="14" t="str">
        <f>_xlfn.IFNA(SQRT((VLOOKUP(CT$1,DATA!$A$3:$F$301,2,FALSE)-VLOOKUP($A4,DATA!$A$3:$F$301,2,FALSE))^2+(VLOOKUP(CT$1,DATA!$A$3:$F$301,3,FALSE)-VLOOKUP($A4,DATA!$A$3:$F$301,3,FALSE))^2),"")</f>
        <v/>
      </c>
      <c r="CU4" s="14" t="str">
        <f>_xlfn.IFNA(SQRT((VLOOKUP(CU$1,DATA!$A$3:$F$301,2,FALSE)-VLOOKUP($A4,DATA!$A$3:$F$301,2,FALSE))^2+(VLOOKUP(CU$1,DATA!$A$3:$F$301,3,FALSE)-VLOOKUP($A4,DATA!$A$3:$F$301,3,FALSE))^2),"")</f>
        <v/>
      </c>
      <c r="CV4" s="14" t="str">
        <f>_xlfn.IFNA(SQRT((VLOOKUP(CV$1,DATA!$A$3:$F$301,2,FALSE)-VLOOKUP($A4,DATA!$A$3:$F$301,2,FALSE))^2+(VLOOKUP(CV$1,DATA!$A$3:$F$301,3,FALSE)-VLOOKUP($A4,DATA!$A$3:$F$301,3,FALSE))^2),"")</f>
        <v/>
      </c>
      <c r="CW4" s="14" t="str">
        <f>_xlfn.IFNA(SQRT((VLOOKUP(CW$1,DATA!$A$3:$F$301,2,FALSE)-VLOOKUP($A4,DATA!$A$3:$F$301,2,FALSE))^2+(VLOOKUP(CW$1,DATA!$A$3:$F$301,3,FALSE)-VLOOKUP($A4,DATA!$A$3:$F$301,3,FALSE))^2),"")</f>
        <v/>
      </c>
      <c r="CX4" s="14" t="str">
        <f>_xlfn.IFNA(SQRT((VLOOKUP(CX$1,DATA!$A$3:$F$301,2,FALSE)-VLOOKUP($A4,DATA!$A$3:$F$301,2,FALSE))^2+(VLOOKUP(CX$1,DATA!$A$3:$F$301,3,FALSE)-VLOOKUP($A4,DATA!$A$3:$F$301,3,FALSE))^2),"")</f>
        <v/>
      </c>
    </row>
    <row r="5" spans="1:102">
      <c r="A5" s="13">
        <v>4</v>
      </c>
      <c r="B5" s="14">
        <f>_xlfn.IFNA(SQRT((VLOOKUP(B$1,DATA!$A$3:$F$301,2,FALSE)-VLOOKUP($A5,DATA!$A$3:$F$301,2,FALSE))^2+(VLOOKUP(B$1,DATA!$A$3:$F$301,3,FALSE)-VLOOKUP($A5,DATA!$A$3:$F$301,3,FALSE))^2),"")</f>
        <v>6.4031242374328485</v>
      </c>
      <c r="C5" s="14">
        <f>_xlfn.IFNA(SQRT((VLOOKUP(C$1,DATA!$A$3:$F$301,2,FALSE)-VLOOKUP($A5,DATA!$A$3:$F$301,2,FALSE))^2+(VLOOKUP(C$1,DATA!$A$3:$F$301,3,FALSE)-VLOOKUP($A5,DATA!$A$3:$F$301,3,FALSE))^2),"")</f>
        <v>10.816653826391969</v>
      </c>
      <c r="D5" s="14">
        <f>_xlfn.IFNA(SQRT((VLOOKUP(D$1,DATA!$A$3:$F$301,2,FALSE)-VLOOKUP($A5,DATA!$A$3:$F$301,2,FALSE))^2+(VLOOKUP(D$1,DATA!$A$3:$F$301,3,FALSE)-VLOOKUP($A5,DATA!$A$3:$F$301,3,FALSE))^2),"")</f>
        <v>8.0622577482985491</v>
      </c>
      <c r="E5" s="14">
        <f>_xlfn.IFNA(SQRT((VLOOKUP(E$1,DATA!$A$3:$F$301,2,FALSE)-VLOOKUP($A5,DATA!$A$3:$F$301,2,FALSE))^2+(VLOOKUP(E$1,DATA!$A$3:$F$301,3,FALSE)-VLOOKUP($A5,DATA!$A$3:$F$301,3,FALSE))^2),"")</f>
        <v>0</v>
      </c>
      <c r="F5" s="14">
        <f>_xlfn.IFNA(SQRT((VLOOKUP(F$1,DATA!$A$3:$F$301,2,FALSE)-VLOOKUP($A5,DATA!$A$3:$F$301,2,FALSE))^2+(VLOOKUP(F$1,DATA!$A$3:$F$301,3,FALSE)-VLOOKUP($A5,DATA!$A$3:$F$301,3,FALSE))^2),"")</f>
        <v>31.780497164141408</v>
      </c>
      <c r="G5" s="14">
        <f>_xlfn.IFNA(SQRT((VLOOKUP(G$1,DATA!$A$3:$F$301,2,FALSE)-VLOOKUP($A5,DATA!$A$3:$F$301,2,FALSE))^2+(VLOOKUP(G$1,DATA!$A$3:$F$301,3,FALSE)-VLOOKUP($A5,DATA!$A$3:$F$301,3,FALSE))^2),"")</f>
        <v>22.022715545545239</v>
      </c>
      <c r="H5" s="14">
        <f>_xlfn.IFNA(SQRT((VLOOKUP(H$1,DATA!$A$3:$F$301,2,FALSE)-VLOOKUP($A5,DATA!$A$3:$F$301,2,FALSE))^2+(VLOOKUP(H$1,DATA!$A$3:$F$301,3,FALSE)-VLOOKUP($A5,DATA!$A$3:$F$301,3,FALSE))^2),"")</f>
        <v>26.305892875931811</v>
      </c>
      <c r="I5" s="14">
        <f>_xlfn.IFNA(SQRT((VLOOKUP(I$1,DATA!$A$3:$F$301,2,FALSE)-VLOOKUP($A5,DATA!$A$3:$F$301,2,FALSE))^2+(VLOOKUP(I$1,DATA!$A$3:$F$301,3,FALSE)-VLOOKUP($A5,DATA!$A$3:$F$301,3,FALSE))^2),"")</f>
        <v>34.828149534535996</v>
      </c>
      <c r="J5" s="14">
        <f>_xlfn.IFNA(SQRT((VLOOKUP(J$1,DATA!$A$3:$F$301,2,FALSE)-VLOOKUP($A5,DATA!$A$3:$F$301,2,FALSE))^2+(VLOOKUP(J$1,DATA!$A$3:$F$301,3,FALSE)-VLOOKUP($A5,DATA!$A$3:$F$301,3,FALSE))^2),"")</f>
        <v>14.142135623730951</v>
      </c>
      <c r="K5" s="14">
        <f>_xlfn.IFNA(SQRT((VLOOKUP(K$1,DATA!$A$3:$F$301,2,FALSE)-VLOOKUP($A5,DATA!$A$3:$F$301,2,FALSE))^2+(VLOOKUP(K$1,DATA!$A$3:$F$301,3,FALSE)-VLOOKUP($A5,DATA!$A$3:$F$301,3,FALSE))^2),"")</f>
        <v>12.529964086141668</v>
      </c>
      <c r="L5" s="14">
        <f>_xlfn.IFNA(SQRT((VLOOKUP(L$1,DATA!$A$3:$F$301,2,FALSE)-VLOOKUP($A5,DATA!$A$3:$F$301,2,FALSE))^2+(VLOOKUP(L$1,DATA!$A$3:$F$301,3,FALSE)-VLOOKUP($A5,DATA!$A$3:$F$301,3,FALSE))^2),"")</f>
        <v>30.479501308256342</v>
      </c>
      <c r="M5" s="14">
        <f>_xlfn.IFNA(SQRT((VLOOKUP(M$1,DATA!$A$3:$F$301,2,FALSE)-VLOOKUP($A5,DATA!$A$3:$F$301,2,FALSE))^2+(VLOOKUP(M$1,DATA!$A$3:$F$301,3,FALSE)-VLOOKUP($A5,DATA!$A$3:$F$301,3,FALSE))^2),"")</f>
        <v>17.11724276862369</v>
      </c>
      <c r="N5" s="14">
        <f>_xlfn.IFNA(SQRT((VLOOKUP(N$1,DATA!$A$3:$F$301,2,FALSE)-VLOOKUP($A5,DATA!$A$3:$F$301,2,FALSE))^2+(VLOOKUP(N$1,DATA!$A$3:$F$301,3,FALSE)-VLOOKUP($A5,DATA!$A$3:$F$301,3,FALSE))^2),"")</f>
        <v>6.324555320336759</v>
      </c>
      <c r="O5" s="14">
        <f>_xlfn.IFNA(SQRT((VLOOKUP(O$1,DATA!$A$3:$F$301,2,FALSE)-VLOOKUP($A5,DATA!$A$3:$F$301,2,FALSE))^2+(VLOOKUP(O$1,DATA!$A$3:$F$301,3,FALSE)-VLOOKUP($A5,DATA!$A$3:$F$301,3,FALSE))^2),"")</f>
        <v>39</v>
      </c>
      <c r="P5" s="14">
        <f>_xlfn.IFNA(SQRT((VLOOKUP(P$1,DATA!$A$3:$F$301,2,FALSE)-VLOOKUP($A5,DATA!$A$3:$F$301,2,FALSE))^2+(VLOOKUP(P$1,DATA!$A$3:$F$301,3,FALSE)-VLOOKUP($A5,DATA!$A$3:$F$301,3,FALSE))^2),"")</f>
        <v>43.600458713183279</v>
      </c>
      <c r="Q5" s="14">
        <f>_xlfn.IFNA(SQRT((VLOOKUP(Q$1,DATA!$A$3:$F$301,2,FALSE)-VLOOKUP($A5,DATA!$A$3:$F$301,2,FALSE))^2+(VLOOKUP(Q$1,DATA!$A$3:$F$301,3,FALSE)-VLOOKUP($A5,DATA!$A$3:$F$301,3,FALSE))^2),"")</f>
        <v>23.600847442411894</v>
      </c>
      <c r="R5" s="14">
        <f>_xlfn.IFNA(SQRT((VLOOKUP(R$1,DATA!$A$3:$F$301,2,FALSE)-VLOOKUP($A5,DATA!$A$3:$F$301,2,FALSE))^2+(VLOOKUP(R$1,DATA!$A$3:$F$301,3,FALSE)-VLOOKUP($A5,DATA!$A$3:$F$301,3,FALSE))^2),"")</f>
        <v>17.4928556845359</v>
      </c>
      <c r="S5" s="14">
        <f>_xlfn.IFNA(SQRT((VLOOKUP(S$1,DATA!$A$3:$F$301,2,FALSE)-VLOOKUP($A5,DATA!$A$3:$F$301,2,FALSE))^2+(VLOOKUP(S$1,DATA!$A$3:$F$301,3,FALSE)-VLOOKUP($A5,DATA!$A$3:$F$301,3,FALSE))^2),"")</f>
        <v>23.021728866442675</v>
      </c>
      <c r="T5" s="14">
        <f>_xlfn.IFNA(SQRT((VLOOKUP(T$1,DATA!$A$3:$F$301,2,FALSE)-VLOOKUP($A5,DATA!$A$3:$F$301,2,FALSE))^2+(VLOOKUP(T$1,DATA!$A$3:$F$301,3,FALSE)-VLOOKUP($A5,DATA!$A$3:$F$301,3,FALSE))^2),"")</f>
        <v>35.355339059327378</v>
      </c>
      <c r="U5" s="14">
        <f>_xlfn.IFNA(SQRT((VLOOKUP(U$1,DATA!$A$3:$F$301,2,FALSE)-VLOOKUP($A5,DATA!$A$3:$F$301,2,FALSE))^2+(VLOOKUP(U$1,DATA!$A$3:$F$301,3,FALSE)-VLOOKUP($A5,DATA!$A$3:$F$301,3,FALSE))^2),"")</f>
        <v>10.770329614269007</v>
      </c>
      <c r="V5" s="14">
        <f>_xlfn.IFNA(SQRT((VLOOKUP(V$1,DATA!$A$3:$F$301,2,FALSE)-VLOOKUP($A5,DATA!$A$3:$F$301,2,FALSE))^2+(VLOOKUP(V$1,DATA!$A$3:$F$301,3,FALSE)-VLOOKUP($A5,DATA!$A$3:$F$301,3,FALSE))^2),"")</f>
        <v>19.924858845171276</v>
      </c>
      <c r="W5" s="14">
        <f>_xlfn.IFNA(SQRT((VLOOKUP(W$1,DATA!$A$3:$F$301,2,FALSE)-VLOOKUP($A5,DATA!$A$3:$F$301,2,FALSE))^2+(VLOOKUP(W$1,DATA!$A$3:$F$301,3,FALSE)-VLOOKUP($A5,DATA!$A$3:$F$301,3,FALSE))^2),"")</f>
        <v>23.021728866442675</v>
      </c>
      <c r="X5" s="14">
        <f>_xlfn.IFNA(SQRT((VLOOKUP(X$1,DATA!$A$3:$F$301,2,FALSE)-VLOOKUP($A5,DATA!$A$3:$F$301,2,FALSE))^2+(VLOOKUP(X$1,DATA!$A$3:$F$301,3,FALSE)-VLOOKUP($A5,DATA!$A$3:$F$301,3,FALSE))^2),"")</f>
        <v>29.068883707497267</v>
      </c>
      <c r="Y5" s="14">
        <f>_xlfn.IFNA(SQRT((VLOOKUP(Y$1,DATA!$A$3:$F$301,2,FALSE)-VLOOKUP($A5,DATA!$A$3:$F$301,2,FALSE))^2+(VLOOKUP(Y$1,DATA!$A$3:$F$301,3,FALSE)-VLOOKUP($A5,DATA!$A$3:$F$301,3,FALSE))^2),"")</f>
        <v>33.421549934136806</v>
      </c>
      <c r="Z5" s="14">
        <f>_xlfn.IFNA(SQRT((VLOOKUP(Z$1,DATA!$A$3:$F$301,2,FALSE)-VLOOKUP($A5,DATA!$A$3:$F$301,2,FALSE))^2+(VLOOKUP(Z$1,DATA!$A$3:$F$301,3,FALSE)-VLOOKUP($A5,DATA!$A$3:$F$301,3,FALSE))^2),"")</f>
        <v>16.401219466856727</v>
      </c>
      <c r="AA5" s="14">
        <f>_xlfn.IFNA(SQRT((VLOOKUP(AA$1,DATA!$A$3:$F$301,2,FALSE)-VLOOKUP($A5,DATA!$A$3:$F$301,2,FALSE))^2+(VLOOKUP(AA$1,DATA!$A$3:$F$301,3,FALSE)-VLOOKUP($A5,DATA!$A$3:$F$301,3,FALSE))^2),"")</f>
        <v>27.892651361962706</v>
      </c>
      <c r="AB5" s="14">
        <f>_xlfn.IFNA(SQRT((VLOOKUP(AB$1,DATA!$A$3:$F$301,2,FALSE)-VLOOKUP($A5,DATA!$A$3:$F$301,2,FALSE))^2+(VLOOKUP(AB$1,DATA!$A$3:$F$301,3,FALSE)-VLOOKUP($A5,DATA!$A$3:$F$301,3,FALSE))^2),"")</f>
        <v>10.816653826391969</v>
      </c>
      <c r="AC5" s="14">
        <f>_xlfn.IFNA(SQRT((VLOOKUP(AC$1,DATA!$A$3:$F$301,2,FALSE)-VLOOKUP($A5,DATA!$A$3:$F$301,2,FALSE))^2+(VLOOKUP(AC$1,DATA!$A$3:$F$301,3,FALSE)-VLOOKUP($A5,DATA!$A$3:$F$301,3,FALSE))^2),"")</f>
        <v>27.294688127912362</v>
      </c>
      <c r="AD5" s="14">
        <f>_xlfn.IFNA(SQRT((VLOOKUP(AD$1,DATA!$A$3:$F$301,2,FALSE)-VLOOKUP($A5,DATA!$A$3:$F$301,2,FALSE))^2+(VLOOKUP(AD$1,DATA!$A$3:$F$301,3,FALSE)-VLOOKUP($A5,DATA!$A$3:$F$301,3,FALSE))^2),"")</f>
        <v>27.459060435491963</v>
      </c>
      <c r="AE5" s="14">
        <f>_xlfn.IFNA(SQRT((VLOOKUP(AE$1,DATA!$A$3:$F$301,2,FALSE)-VLOOKUP($A5,DATA!$A$3:$F$301,2,FALSE))^2+(VLOOKUP(AE$1,DATA!$A$3:$F$301,3,FALSE)-VLOOKUP($A5,DATA!$A$3:$F$301,3,FALSE))^2),"")</f>
        <v>32.802438933713454</v>
      </c>
      <c r="AF5" s="14">
        <f>_xlfn.IFNA(SQRT((VLOOKUP(AF$1,DATA!$A$3:$F$301,2,FALSE)-VLOOKUP($A5,DATA!$A$3:$F$301,2,FALSE))^2+(VLOOKUP(AF$1,DATA!$A$3:$F$301,3,FALSE)-VLOOKUP($A5,DATA!$A$3:$F$301,3,FALSE))^2),"")</f>
        <v>16.492422502470642</v>
      </c>
      <c r="AG5" s="14">
        <f>_xlfn.IFNA(SQRT((VLOOKUP(AG$1,DATA!$A$3:$F$301,2,FALSE)-VLOOKUP($A5,DATA!$A$3:$F$301,2,FALSE))^2+(VLOOKUP(AG$1,DATA!$A$3:$F$301,3,FALSE)-VLOOKUP($A5,DATA!$A$3:$F$301,3,FALSE))^2),"")</f>
        <v>25.317977802344327</v>
      </c>
      <c r="AH5" s="14">
        <f>_xlfn.IFNA(SQRT((VLOOKUP(AH$1,DATA!$A$3:$F$301,2,FALSE)-VLOOKUP($A5,DATA!$A$3:$F$301,2,FALSE))^2+(VLOOKUP(AH$1,DATA!$A$3:$F$301,3,FALSE)-VLOOKUP($A5,DATA!$A$3:$F$301,3,FALSE))^2),"")</f>
        <v>16.643316977093239</v>
      </c>
      <c r="AI5" s="14">
        <f>_xlfn.IFNA(SQRT((VLOOKUP(AI$1,DATA!$A$3:$F$301,2,FALSE)-VLOOKUP($A5,DATA!$A$3:$F$301,2,FALSE))^2+(VLOOKUP(AI$1,DATA!$A$3:$F$301,3,FALSE)-VLOOKUP($A5,DATA!$A$3:$F$301,3,FALSE))^2),"")</f>
        <v>15</v>
      </c>
      <c r="AJ5" s="14">
        <f>_xlfn.IFNA(SQRT((VLOOKUP(AJ$1,DATA!$A$3:$F$301,2,FALSE)-VLOOKUP($A5,DATA!$A$3:$F$301,2,FALSE))^2+(VLOOKUP(AJ$1,DATA!$A$3:$F$301,3,FALSE)-VLOOKUP($A5,DATA!$A$3:$F$301,3,FALSE))^2),"")</f>
        <v>28.231188426986208</v>
      </c>
      <c r="AK5" s="14">
        <f>_xlfn.IFNA(SQRT((VLOOKUP(AK$1,DATA!$A$3:$F$301,2,FALSE)-VLOOKUP($A5,DATA!$A$3:$F$301,2,FALSE))^2+(VLOOKUP(AK$1,DATA!$A$3:$F$301,3,FALSE)-VLOOKUP($A5,DATA!$A$3:$F$301,3,FALSE))^2),"")</f>
        <v>20.223748416156685</v>
      </c>
      <c r="AL5" s="14">
        <f>_xlfn.IFNA(SQRT((VLOOKUP(AL$1,DATA!$A$3:$F$301,2,FALSE)-VLOOKUP($A5,DATA!$A$3:$F$301,2,FALSE))^2+(VLOOKUP(AL$1,DATA!$A$3:$F$301,3,FALSE)-VLOOKUP($A5,DATA!$A$3:$F$301,3,FALSE))^2),"")</f>
        <v>41.146081222881968</v>
      </c>
      <c r="AM5" s="14">
        <f>_xlfn.IFNA(SQRT((VLOOKUP(AM$1,DATA!$A$3:$F$301,2,FALSE)-VLOOKUP($A5,DATA!$A$3:$F$301,2,FALSE))^2+(VLOOKUP(AM$1,DATA!$A$3:$F$301,3,FALSE)-VLOOKUP($A5,DATA!$A$3:$F$301,3,FALSE))^2),"")</f>
        <v>30.265491900843113</v>
      </c>
      <c r="AN5" s="14">
        <f>_xlfn.IFNA(SQRT((VLOOKUP(AN$1,DATA!$A$3:$F$301,2,FALSE)-VLOOKUP($A5,DATA!$A$3:$F$301,2,FALSE))^2+(VLOOKUP(AN$1,DATA!$A$3:$F$301,3,FALSE)-VLOOKUP($A5,DATA!$A$3:$F$301,3,FALSE))^2),"")</f>
        <v>27.658633371878661</v>
      </c>
      <c r="AO5" s="14">
        <f>_xlfn.IFNA(SQRT((VLOOKUP(AO$1,DATA!$A$3:$F$301,2,FALSE)-VLOOKUP($A5,DATA!$A$3:$F$301,2,FALSE))^2+(VLOOKUP(AO$1,DATA!$A$3:$F$301,3,FALSE)-VLOOKUP($A5,DATA!$A$3:$F$301,3,FALSE))^2),"")</f>
        <v>19.235384061671343</v>
      </c>
      <c r="AP5" s="14" t="str">
        <f>_xlfn.IFNA(SQRT((VLOOKUP(AP$1,DATA!$A$3:$F$301,2,FALSE)-VLOOKUP($A5,DATA!$A$3:$F$301,2,FALSE))^2+(VLOOKUP(AP$1,DATA!$A$3:$F$301,3,FALSE)-VLOOKUP($A5,DATA!$A$3:$F$301,3,FALSE))^2),"")</f>
        <v/>
      </c>
      <c r="AQ5" s="14" t="str">
        <f>_xlfn.IFNA(SQRT((VLOOKUP(AQ$1,DATA!$A$3:$F$301,2,FALSE)-VLOOKUP($A5,DATA!$A$3:$F$301,2,FALSE))^2+(VLOOKUP(AQ$1,DATA!$A$3:$F$301,3,FALSE)-VLOOKUP($A5,DATA!$A$3:$F$301,3,FALSE))^2),"")</f>
        <v/>
      </c>
      <c r="AR5" s="14" t="str">
        <f>_xlfn.IFNA(SQRT((VLOOKUP(AR$1,DATA!$A$3:$F$301,2,FALSE)-VLOOKUP($A5,DATA!$A$3:$F$301,2,FALSE))^2+(VLOOKUP(AR$1,DATA!$A$3:$F$301,3,FALSE)-VLOOKUP($A5,DATA!$A$3:$F$301,3,FALSE))^2),"")</f>
        <v/>
      </c>
      <c r="AS5" s="14" t="str">
        <f>_xlfn.IFNA(SQRT((VLOOKUP(AS$1,DATA!$A$3:$F$301,2,FALSE)-VLOOKUP($A5,DATA!$A$3:$F$301,2,FALSE))^2+(VLOOKUP(AS$1,DATA!$A$3:$F$301,3,FALSE)-VLOOKUP($A5,DATA!$A$3:$F$301,3,FALSE))^2),"")</f>
        <v/>
      </c>
      <c r="AT5" s="14" t="str">
        <f>_xlfn.IFNA(SQRT((VLOOKUP(AT$1,DATA!$A$3:$F$301,2,FALSE)-VLOOKUP($A5,DATA!$A$3:$F$301,2,FALSE))^2+(VLOOKUP(AT$1,DATA!$A$3:$F$301,3,FALSE)-VLOOKUP($A5,DATA!$A$3:$F$301,3,FALSE))^2),"")</f>
        <v/>
      </c>
      <c r="AU5" s="14" t="str">
        <f>_xlfn.IFNA(SQRT((VLOOKUP(AU$1,DATA!$A$3:$F$301,2,FALSE)-VLOOKUP($A5,DATA!$A$3:$F$301,2,FALSE))^2+(VLOOKUP(AU$1,DATA!$A$3:$F$301,3,FALSE)-VLOOKUP($A5,DATA!$A$3:$F$301,3,FALSE))^2),"")</f>
        <v/>
      </c>
      <c r="AV5" s="14" t="str">
        <f>_xlfn.IFNA(SQRT((VLOOKUP(AV$1,DATA!$A$3:$F$301,2,FALSE)-VLOOKUP($A5,DATA!$A$3:$F$301,2,FALSE))^2+(VLOOKUP(AV$1,DATA!$A$3:$F$301,3,FALSE)-VLOOKUP($A5,DATA!$A$3:$F$301,3,FALSE))^2),"")</f>
        <v/>
      </c>
      <c r="AW5" s="14" t="str">
        <f>_xlfn.IFNA(SQRT((VLOOKUP(AW$1,DATA!$A$3:$F$301,2,FALSE)-VLOOKUP($A5,DATA!$A$3:$F$301,2,FALSE))^2+(VLOOKUP(AW$1,DATA!$A$3:$F$301,3,FALSE)-VLOOKUP($A5,DATA!$A$3:$F$301,3,FALSE))^2),"")</f>
        <v/>
      </c>
      <c r="AX5" s="14" t="str">
        <f>_xlfn.IFNA(SQRT((VLOOKUP(AX$1,DATA!$A$3:$F$301,2,FALSE)-VLOOKUP($A5,DATA!$A$3:$F$301,2,FALSE))^2+(VLOOKUP(AX$1,DATA!$A$3:$F$301,3,FALSE)-VLOOKUP($A5,DATA!$A$3:$F$301,3,FALSE))^2),"")</f>
        <v/>
      </c>
      <c r="AY5" s="14" t="str">
        <f>_xlfn.IFNA(SQRT((VLOOKUP(AY$1,DATA!$A$3:$F$301,2,FALSE)-VLOOKUP($A5,DATA!$A$3:$F$301,2,FALSE))^2+(VLOOKUP(AY$1,DATA!$A$3:$F$301,3,FALSE)-VLOOKUP($A5,DATA!$A$3:$F$301,3,FALSE))^2),"")</f>
        <v/>
      </c>
      <c r="AZ5" s="14" t="str">
        <f>_xlfn.IFNA(SQRT((VLOOKUP(AZ$1,DATA!$A$3:$F$301,2,FALSE)-VLOOKUP($A5,DATA!$A$3:$F$301,2,FALSE))^2+(VLOOKUP(AZ$1,DATA!$A$3:$F$301,3,FALSE)-VLOOKUP($A5,DATA!$A$3:$F$301,3,FALSE))^2),"")</f>
        <v/>
      </c>
      <c r="BA5" s="14" t="str">
        <f>_xlfn.IFNA(SQRT((VLOOKUP(BA$1,DATA!$A$3:$F$301,2,FALSE)-VLOOKUP($A5,DATA!$A$3:$F$301,2,FALSE))^2+(VLOOKUP(BA$1,DATA!$A$3:$F$301,3,FALSE)-VLOOKUP($A5,DATA!$A$3:$F$301,3,FALSE))^2),"")</f>
        <v/>
      </c>
      <c r="BB5" s="14" t="str">
        <f>_xlfn.IFNA(SQRT((VLOOKUP(BB$1,DATA!$A$3:$F$301,2,FALSE)-VLOOKUP($A5,DATA!$A$3:$F$301,2,FALSE))^2+(VLOOKUP(BB$1,DATA!$A$3:$F$301,3,FALSE)-VLOOKUP($A5,DATA!$A$3:$F$301,3,FALSE))^2),"")</f>
        <v/>
      </c>
      <c r="BC5" s="14" t="str">
        <f>_xlfn.IFNA(SQRT((VLOOKUP(BC$1,DATA!$A$3:$F$301,2,FALSE)-VLOOKUP($A5,DATA!$A$3:$F$301,2,FALSE))^2+(VLOOKUP(BC$1,DATA!$A$3:$F$301,3,FALSE)-VLOOKUP($A5,DATA!$A$3:$F$301,3,FALSE))^2),"")</f>
        <v/>
      </c>
      <c r="BD5" s="14" t="str">
        <f>_xlfn.IFNA(SQRT((VLOOKUP(BD$1,DATA!$A$3:$F$301,2,FALSE)-VLOOKUP($A5,DATA!$A$3:$F$301,2,FALSE))^2+(VLOOKUP(BD$1,DATA!$A$3:$F$301,3,FALSE)-VLOOKUP($A5,DATA!$A$3:$F$301,3,FALSE))^2),"")</f>
        <v/>
      </c>
      <c r="BE5" s="14" t="str">
        <f>_xlfn.IFNA(SQRT((VLOOKUP(BE$1,DATA!$A$3:$F$301,2,FALSE)-VLOOKUP($A5,DATA!$A$3:$F$301,2,FALSE))^2+(VLOOKUP(BE$1,DATA!$A$3:$F$301,3,FALSE)-VLOOKUP($A5,DATA!$A$3:$F$301,3,FALSE))^2),"")</f>
        <v/>
      </c>
      <c r="BF5" s="14" t="str">
        <f>_xlfn.IFNA(SQRT((VLOOKUP(BF$1,DATA!$A$3:$F$301,2,FALSE)-VLOOKUP($A5,DATA!$A$3:$F$301,2,FALSE))^2+(VLOOKUP(BF$1,DATA!$A$3:$F$301,3,FALSE)-VLOOKUP($A5,DATA!$A$3:$F$301,3,FALSE))^2),"")</f>
        <v/>
      </c>
      <c r="BG5" s="14" t="str">
        <f>_xlfn.IFNA(SQRT((VLOOKUP(BG$1,DATA!$A$3:$F$301,2,FALSE)-VLOOKUP($A5,DATA!$A$3:$F$301,2,FALSE))^2+(VLOOKUP(BG$1,DATA!$A$3:$F$301,3,FALSE)-VLOOKUP($A5,DATA!$A$3:$F$301,3,FALSE))^2),"")</f>
        <v/>
      </c>
      <c r="BH5" s="14" t="str">
        <f>_xlfn.IFNA(SQRT((VLOOKUP(BH$1,DATA!$A$3:$F$301,2,FALSE)-VLOOKUP($A5,DATA!$A$3:$F$301,2,FALSE))^2+(VLOOKUP(BH$1,DATA!$A$3:$F$301,3,FALSE)-VLOOKUP($A5,DATA!$A$3:$F$301,3,FALSE))^2),"")</f>
        <v/>
      </c>
      <c r="BI5" s="14" t="str">
        <f>_xlfn.IFNA(SQRT((VLOOKUP(BI$1,DATA!$A$3:$F$301,2,FALSE)-VLOOKUP($A5,DATA!$A$3:$F$301,2,FALSE))^2+(VLOOKUP(BI$1,DATA!$A$3:$F$301,3,FALSE)-VLOOKUP($A5,DATA!$A$3:$F$301,3,FALSE))^2),"")</f>
        <v/>
      </c>
      <c r="BJ5" s="14" t="str">
        <f>_xlfn.IFNA(SQRT((VLOOKUP(BJ$1,DATA!$A$3:$F$301,2,FALSE)-VLOOKUP($A5,DATA!$A$3:$F$301,2,FALSE))^2+(VLOOKUP(BJ$1,DATA!$A$3:$F$301,3,FALSE)-VLOOKUP($A5,DATA!$A$3:$F$301,3,FALSE))^2),"")</f>
        <v/>
      </c>
      <c r="BK5" s="14" t="str">
        <f>_xlfn.IFNA(SQRT((VLOOKUP(BK$1,DATA!$A$3:$F$301,2,FALSE)-VLOOKUP($A5,DATA!$A$3:$F$301,2,FALSE))^2+(VLOOKUP(BK$1,DATA!$A$3:$F$301,3,FALSE)-VLOOKUP($A5,DATA!$A$3:$F$301,3,FALSE))^2),"")</f>
        <v/>
      </c>
      <c r="BL5" s="14" t="str">
        <f>_xlfn.IFNA(SQRT((VLOOKUP(BL$1,DATA!$A$3:$F$301,2,FALSE)-VLOOKUP($A5,DATA!$A$3:$F$301,2,FALSE))^2+(VLOOKUP(BL$1,DATA!$A$3:$F$301,3,FALSE)-VLOOKUP($A5,DATA!$A$3:$F$301,3,FALSE))^2),"")</f>
        <v/>
      </c>
      <c r="BM5" s="14" t="str">
        <f>_xlfn.IFNA(SQRT((VLOOKUP(BM$1,DATA!$A$3:$F$301,2,FALSE)-VLOOKUP($A5,DATA!$A$3:$F$301,2,FALSE))^2+(VLOOKUP(BM$1,DATA!$A$3:$F$301,3,FALSE)-VLOOKUP($A5,DATA!$A$3:$F$301,3,FALSE))^2),"")</f>
        <v/>
      </c>
      <c r="BN5" s="14" t="str">
        <f>_xlfn.IFNA(SQRT((VLOOKUP(BN$1,DATA!$A$3:$F$301,2,FALSE)-VLOOKUP($A5,DATA!$A$3:$F$301,2,FALSE))^2+(VLOOKUP(BN$1,DATA!$A$3:$F$301,3,FALSE)-VLOOKUP($A5,DATA!$A$3:$F$301,3,FALSE))^2),"")</f>
        <v/>
      </c>
      <c r="BO5" s="14" t="str">
        <f>_xlfn.IFNA(SQRT((VLOOKUP(BO$1,DATA!$A$3:$F$301,2,FALSE)-VLOOKUP($A5,DATA!$A$3:$F$301,2,FALSE))^2+(VLOOKUP(BO$1,DATA!$A$3:$F$301,3,FALSE)-VLOOKUP($A5,DATA!$A$3:$F$301,3,FALSE))^2),"")</f>
        <v/>
      </c>
      <c r="BP5" s="14" t="str">
        <f>_xlfn.IFNA(SQRT((VLOOKUP(BP$1,DATA!$A$3:$F$301,2,FALSE)-VLOOKUP($A5,DATA!$A$3:$F$301,2,FALSE))^2+(VLOOKUP(BP$1,DATA!$A$3:$F$301,3,FALSE)-VLOOKUP($A5,DATA!$A$3:$F$301,3,FALSE))^2),"")</f>
        <v/>
      </c>
      <c r="BQ5" s="14" t="str">
        <f>_xlfn.IFNA(SQRT((VLOOKUP(BQ$1,DATA!$A$3:$F$301,2,FALSE)-VLOOKUP($A5,DATA!$A$3:$F$301,2,FALSE))^2+(VLOOKUP(BQ$1,DATA!$A$3:$F$301,3,FALSE)-VLOOKUP($A5,DATA!$A$3:$F$301,3,FALSE))^2),"")</f>
        <v/>
      </c>
      <c r="BR5" s="14" t="str">
        <f>_xlfn.IFNA(SQRT((VLOOKUP(BR$1,DATA!$A$3:$F$301,2,FALSE)-VLOOKUP($A5,DATA!$A$3:$F$301,2,FALSE))^2+(VLOOKUP(BR$1,DATA!$A$3:$F$301,3,FALSE)-VLOOKUP($A5,DATA!$A$3:$F$301,3,FALSE))^2),"")</f>
        <v/>
      </c>
      <c r="BS5" s="14" t="str">
        <f>_xlfn.IFNA(SQRT((VLOOKUP(BS$1,DATA!$A$3:$F$301,2,FALSE)-VLOOKUP($A5,DATA!$A$3:$F$301,2,FALSE))^2+(VLOOKUP(BS$1,DATA!$A$3:$F$301,3,FALSE)-VLOOKUP($A5,DATA!$A$3:$F$301,3,FALSE))^2),"")</f>
        <v/>
      </c>
      <c r="BT5" s="14" t="str">
        <f>_xlfn.IFNA(SQRT((VLOOKUP(BT$1,DATA!$A$3:$F$301,2,FALSE)-VLOOKUP($A5,DATA!$A$3:$F$301,2,FALSE))^2+(VLOOKUP(BT$1,DATA!$A$3:$F$301,3,FALSE)-VLOOKUP($A5,DATA!$A$3:$F$301,3,FALSE))^2),"")</f>
        <v/>
      </c>
      <c r="BU5" s="14" t="str">
        <f>_xlfn.IFNA(SQRT((VLOOKUP(BU$1,DATA!$A$3:$F$301,2,FALSE)-VLOOKUP($A5,DATA!$A$3:$F$301,2,FALSE))^2+(VLOOKUP(BU$1,DATA!$A$3:$F$301,3,FALSE)-VLOOKUP($A5,DATA!$A$3:$F$301,3,FALSE))^2),"")</f>
        <v/>
      </c>
      <c r="BV5" s="14" t="str">
        <f>_xlfn.IFNA(SQRT((VLOOKUP(BV$1,DATA!$A$3:$F$301,2,FALSE)-VLOOKUP($A5,DATA!$A$3:$F$301,2,FALSE))^2+(VLOOKUP(BV$1,DATA!$A$3:$F$301,3,FALSE)-VLOOKUP($A5,DATA!$A$3:$F$301,3,FALSE))^2),"")</f>
        <v/>
      </c>
      <c r="BW5" s="14" t="str">
        <f>_xlfn.IFNA(SQRT((VLOOKUP(BW$1,DATA!$A$3:$F$301,2,FALSE)-VLOOKUP($A5,DATA!$A$3:$F$301,2,FALSE))^2+(VLOOKUP(BW$1,DATA!$A$3:$F$301,3,FALSE)-VLOOKUP($A5,DATA!$A$3:$F$301,3,FALSE))^2),"")</f>
        <v/>
      </c>
      <c r="BX5" s="14" t="str">
        <f>_xlfn.IFNA(SQRT((VLOOKUP(BX$1,DATA!$A$3:$F$301,2,FALSE)-VLOOKUP($A5,DATA!$A$3:$F$301,2,FALSE))^2+(VLOOKUP(BX$1,DATA!$A$3:$F$301,3,FALSE)-VLOOKUP($A5,DATA!$A$3:$F$301,3,FALSE))^2),"")</f>
        <v/>
      </c>
      <c r="BY5" s="14" t="str">
        <f>_xlfn.IFNA(SQRT((VLOOKUP(BY$1,DATA!$A$3:$F$301,2,FALSE)-VLOOKUP($A5,DATA!$A$3:$F$301,2,FALSE))^2+(VLOOKUP(BY$1,DATA!$A$3:$F$301,3,FALSE)-VLOOKUP($A5,DATA!$A$3:$F$301,3,FALSE))^2),"")</f>
        <v/>
      </c>
      <c r="BZ5" s="14" t="str">
        <f>_xlfn.IFNA(SQRT((VLOOKUP(BZ$1,DATA!$A$3:$F$301,2,FALSE)-VLOOKUP($A5,DATA!$A$3:$F$301,2,FALSE))^2+(VLOOKUP(BZ$1,DATA!$A$3:$F$301,3,FALSE)-VLOOKUP($A5,DATA!$A$3:$F$301,3,FALSE))^2),"")</f>
        <v/>
      </c>
      <c r="CA5" s="14" t="str">
        <f>_xlfn.IFNA(SQRT((VLOOKUP(CA$1,DATA!$A$3:$F$301,2,FALSE)-VLOOKUP($A5,DATA!$A$3:$F$301,2,FALSE))^2+(VLOOKUP(CA$1,DATA!$A$3:$F$301,3,FALSE)-VLOOKUP($A5,DATA!$A$3:$F$301,3,FALSE))^2),"")</f>
        <v/>
      </c>
      <c r="CB5" s="14" t="str">
        <f>_xlfn.IFNA(SQRT((VLOOKUP(CB$1,DATA!$A$3:$F$301,2,FALSE)-VLOOKUP($A5,DATA!$A$3:$F$301,2,FALSE))^2+(VLOOKUP(CB$1,DATA!$A$3:$F$301,3,FALSE)-VLOOKUP($A5,DATA!$A$3:$F$301,3,FALSE))^2),"")</f>
        <v/>
      </c>
      <c r="CC5" s="14" t="str">
        <f>_xlfn.IFNA(SQRT((VLOOKUP(CC$1,DATA!$A$3:$F$301,2,FALSE)-VLOOKUP($A5,DATA!$A$3:$F$301,2,FALSE))^2+(VLOOKUP(CC$1,DATA!$A$3:$F$301,3,FALSE)-VLOOKUP($A5,DATA!$A$3:$F$301,3,FALSE))^2),"")</f>
        <v/>
      </c>
      <c r="CD5" s="14" t="str">
        <f>_xlfn.IFNA(SQRT((VLOOKUP(CD$1,DATA!$A$3:$F$301,2,FALSE)-VLOOKUP($A5,DATA!$A$3:$F$301,2,FALSE))^2+(VLOOKUP(CD$1,DATA!$A$3:$F$301,3,FALSE)-VLOOKUP($A5,DATA!$A$3:$F$301,3,FALSE))^2),"")</f>
        <v/>
      </c>
      <c r="CE5" s="14" t="str">
        <f>_xlfn.IFNA(SQRT((VLOOKUP(CE$1,DATA!$A$3:$F$301,2,FALSE)-VLOOKUP($A5,DATA!$A$3:$F$301,2,FALSE))^2+(VLOOKUP(CE$1,DATA!$A$3:$F$301,3,FALSE)-VLOOKUP($A5,DATA!$A$3:$F$301,3,FALSE))^2),"")</f>
        <v/>
      </c>
      <c r="CF5" s="14" t="str">
        <f>_xlfn.IFNA(SQRT((VLOOKUP(CF$1,DATA!$A$3:$F$301,2,FALSE)-VLOOKUP($A5,DATA!$A$3:$F$301,2,FALSE))^2+(VLOOKUP(CF$1,DATA!$A$3:$F$301,3,FALSE)-VLOOKUP($A5,DATA!$A$3:$F$301,3,FALSE))^2),"")</f>
        <v/>
      </c>
      <c r="CG5" s="14" t="str">
        <f>_xlfn.IFNA(SQRT((VLOOKUP(CG$1,DATA!$A$3:$F$301,2,FALSE)-VLOOKUP($A5,DATA!$A$3:$F$301,2,FALSE))^2+(VLOOKUP(CG$1,DATA!$A$3:$F$301,3,FALSE)-VLOOKUP($A5,DATA!$A$3:$F$301,3,FALSE))^2),"")</f>
        <v/>
      </c>
      <c r="CH5" s="14" t="str">
        <f>_xlfn.IFNA(SQRT((VLOOKUP(CH$1,DATA!$A$3:$F$301,2,FALSE)-VLOOKUP($A5,DATA!$A$3:$F$301,2,FALSE))^2+(VLOOKUP(CH$1,DATA!$A$3:$F$301,3,FALSE)-VLOOKUP($A5,DATA!$A$3:$F$301,3,FALSE))^2),"")</f>
        <v/>
      </c>
      <c r="CI5" s="14" t="str">
        <f>_xlfn.IFNA(SQRT((VLOOKUP(CI$1,DATA!$A$3:$F$301,2,FALSE)-VLOOKUP($A5,DATA!$A$3:$F$301,2,FALSE))^2+(VLOOKUP(CI$1,DATA!$A$3:$F$301,3,FALSE)-VLOOKUP($A5,DATA!$A$3:$F$301,3,FALSE))^2),"")</f>
        <v/>
      </c>
      <c r="CJ5" s="14" t="str">
        <f>_xlfn.IFNA(SQRT((VLOOKUP(CJ$1,DATA!$A$3:$F$301,2,FALSE)-VLOOKUP($A5,DATA!$A$3:$F$301,2,FALSE))^2+(VLOOKUP(CJ$1,DATA!$A$3:$F$301,3,FALSE)-VLOOKUP($A5,DATA!$A$3:$F$301,3,FALSE))^2),"")</f>
        <v/>
      </c>
      <c r="CK5" s="14" t="str">
        <f>_xlfn.IFNA(SQRT((VLOOKUP(CK$1,DATA!$A$3:$F$301,2,FALSE)-VLOOKUP($A5,DATA!$A$3:$F$301,2,FALSE))^2+(VLOOKUP(CK$1,DATA!$A$3:$F$301,3,FALSE)-VLOOKUP($A5,DATA!$A$3:$F$301,3,FALSE))^2),"")</f>
        <v/>
      </c>
      <c r="CL5" s="14" t="str">
        <f>_xlfn.IFNA(SQRT((VLOOKUP(CL$1,DATA!$A$3:$F$301,2,FALSE)-VLOOKUP($A5,DATA!$A$3:$F$301,2,FALSE))^2+(VLOOKUP(CL$1,DATA!$A$3:$F$301,3,FALSE)-VLOOKUP($A5,DATA!$A$3:$F$301,3,FALSE))^2),"")</f>
        <v/>
      </c>
      <c r="CM5" s="14" t="str">
        <f>_xlfn.IFNA(SQRT((VLOOKUP(CM$1,DATA!$A$3:$F$301,2,FALSE)-VLOOKUP($A5,DATA!$A$3:$F$301,2,FALSE))^2+(VLOOKUP(CM$1,DATA!$A$3:$F$301,3,FALSE)-VLOOKUP($A5,DATA!$A$3:$F$301,3,FALSE))^2),"")</f>
        <v/>
      </c>
      <c r="CN5" s="14" t="str">
        <f>_xlfn.IFNA(SQRT((VLOOKUP(CN$1,DATA!$A$3:$F$301,2,FALSE)-VLOOKUP($A5,DATA!$A$3:$F$301,2,FALSE))^2+(VLOOKUP(CN$1,DATA!$A$3:$F$301,3,FALSE)-VLOOKUP($A5,DATA!$A$3:$F$301,3,FALSE))^2),"")</f>
        <v/>
      </c>
      <c r="CO5" s="14" t="str">
        <f>_xlfn.IFNA(SQRT((VLOOKUP(CO$1,DATA!$A$3:$F$301,2,FALSE)-VLOOKUP($A5,DATA!$A$3:$F$301,2,FALSE))^2+(VLOOKUP(CO$1,DATA!$A$3:$F$301,3,FALSE)-VLOOKUP($A5,DATA!$A$3:$F$301,3,FALSE))^2),"")</f>
        <v/>
      </c>
      <c r="CP5" s="14" t="str">
        <f>_xlfn.IFNA(SQRT((VLOOKUP(CP$1,DATA!$A$3:$F$301,2,FALSE)-VLOOKUP($A5,DATA!$A$3:$F$301,2,FALSE))^2+(VLOOKUP(CP$1,DATA!$A$3:$F$301,3,FALSE)-VLOOKUP($A5,DATA!$A$3:$F$301,3,FALSE))^2),"")</f>
        <v/>
      </c>
      <c r="CQ5" s="14" t="str">
        <f>_xlfn.IFNA(SQRT((VLOOKUP(CQ$1,DATA!$A$3:$F$301,2,FALSE)-VLOOKUP($A5,DATA!$A$3:$F$301,2,FALSE))^2+(VLOOKUP(CQ$1,DATA!$A$3:$F$301,3,FALSE)-VLOOKUP($A5,DATA!$A$3:$F$301,3,FALSE))^2),"")</f>
        <v/>
      </c>
      <c r="CR5" s="14" t="str">
        <f>_xlfn.IFNA(SQRT((VLOOKUP(CR$1,DATA!$A$3:$F$301,2,FALSE)-VLOOKUP($A5,DATA!$A$3:$F$301,2,FALSE))^2+(VLOOKUP(CR$1,DATA!$A$3:$F$301,3,FALSE)-VLOOKUP($A5,DATA!$A$3:$F$301,3,FALSE))^2),"")</f>
        <v/>
      </c>
      <c r="CS5" s="14" t="str">
        <f>_xlfn.IFNA(SQRT((VLOOKUP(CS$1,DATA!$A$3:$F$301,2,FALSE)-VLOOKUP($A5,DATA!$A$3:$F$301,2,FALSE))^2+(VLOOKUP(CS$1,DATA!$A$3:$F$301,3,FALSE)-VLOOKUP($A5,DATA!$A$3:$F$301,3,FALSE))^2),"")</f>
        <v/>
      </c>
      <c r="CT5" s="14" t="str">
        <f>_xlfn.IFNA(SQRT((VLOOKUP(CT$1,DATA!$A$3:$F$301,2,FALSE)-VLOOKUP($A5,DATA!$A$3:$F$301,2,FALSE))^2+(VLOOKUP(CT$1,DATA!$A$3:$F$301,3,FALSE)-VLOOKUP($A5,DATA!$A$3:$F$301,3,FALSE))^2),"")</f>
        <v/>
      </c>
      <c r="CU5" s="14" t="str">
        <f>_xlfn.IFNA(SQRT((VLOOKUP(CU$1,DATA!$A$3:$F$301,2,FALSE)-VLOOKUP($A5,DATA!$A$3:$F$301,2,FALSE))^2+(VLOOKUP(CU$1,DATA!$A$3:$F$301,3,FALSE)-VLOOKUP($A5,DATA!$A$3:$F$301,3,FALSE))^2),"")</f>
        <v/>
      </c>
      <c r="CV5" s="14" t="str">
        <f>_xlfn.IFNA(SQRT((VLOOKUP(CV$1,DATA!$A$3:$F$301,2,FALSE)-VLOOKUP($A5,DATA!$A$3:$F$301,2,FALSE))^2+(VLOOKUP(CV$1,DATA!$A$3:$F$301,3,FALSE)-VLOOKUP($A5,DATA!$A$3:$F$301,3,FALSE))^2),"")</f>
        <v/>
      </c>
      <c r="CW5" s="14" t="str">
        <f>_xlfn.IFNA(SQRT((VLOOKUP(CW$1,DATA!$A$3:$F$301,2,FALSE)-VLOOKUP($A5,DATA!$A$3:$F$301,2,FALSE))^2+(VLOOKUP(CW$1,DATA!$A$3:$F$301,3,FALSE)-VLOOKUP($A5,DATA!$A$3:$F$301,3,FALSE))^2),"")</f>
        <v/>
      </c>
      <c r="CX5" s="14" t="str">
        <f>_xlfn.IFNA(SQRT((VLOOKUP(CX$1,DATA!$A$3:$F$301,2,FALSE)-VLOOKUP($A5,DATA!$A$3:$F$301,2,FALSE))^2+(VLOOKUP(CX$1,DATA!$A$3:$F$301,3,FALSE)-VLOOKUP($A5,DATA!$A$3:$F$301,3,FALSE))^2),"")</f>
        <v/>
      </c>
    </row>
    <row r="6" spans="1:102">
      <c r="A6" s="13">
        <v>5</v>
      </c>
      <c r="B6" s="14">
        <f>_xlfn.IFNA(SQRT((VLOOKUP(B$1,DATA!$A$3:$F$301,2,FALSE)-VLOOKUP($A6,DATA!$A$3:$F$301,2,FALSE))^2+(VLOOKUP(B$1,DATA!$A$3:$F$301,3,FALSE)-VLOOKUP($A6,DATA!$A$3:$F$301,3,FALSE))^2),"")</f>
        <v>25.632011235952593</v>
      </c>
      <c r="C6" s="14">
        <f>_xlfn.IFNA(SQRT((VLOOKUP(C$1,DATA!$A$3:$F$301,2,FALSE)-VLOOKUP($A6,DATA!$A$3:$F$301,2,FALSE))^2+(VLOOKUP(C$1,DATA!$A$3:$F$301,3,FALSE)-VLOOKUP($A6,DATA!$A$3:$F$301,3,FALSE))^2),"")</f>
        <v>23.345235059857504</v>
      </c>
      <c r="D6" s="14">
        <f>_xlfn.IFNA(SQRT((VLOOKUP(D$1,DATA!$A$3:$F$301,2,FALSE)-VLOOKUP($A6,DATA!$A$3:$F$301,2,FALSE))^2+(VLOOKUP(D$1,DATA!$A$3:$F$301,3,FALSE)-VLOOKUP($A6,DATA!$A$3:$F$301,3,FALSE))^2),"")</f>
        <v>37.107950630558946</v>
      </c>
      <c r="E6" s="14">
        <f>_xlfn.IFNA(SQRT((VLOOKUP(E$1,DATA!$A$3:$F$301,2,FALSE)-VLOOKUP($A6,DATA!$A$3:$F$301,2,FALSE))^2+(VLOOKUP(E$1,DATA!$A$3:$F$301,3,FALSE)-VLOOKUP($A6,DATA!$A$3:$F$301,3,FALSE))^2),"")</f>
        <v>31.780497164141408</v>
      </c>
      <c r="F6" s="14">
        <f>_xlfn.IFNA(SQRT((VLOOKUP(F$1,DATA!$A$3:$F$301,2,FALSE)-VLOOKUP($A6,DATA!$A$3:$F$301,2,FALSE))^2+(VLOOKUP(F$1,DATA!$A$3:$F$301,3,FALSE)-VLOOKUP($A6,DATA!$A$3:$F$301,3,FALSE))^2),"")</f>
        <v>0</v>
      </c>
      <c r="G6" s="14">
        <f>_xlfn.IFNA(SQRT((VLOOKUP(G$1,DATA!$A$3:$F$301,2,FALSE)-VLOOKUP($A6,DATA!$A$3:$F$301,2,FALSE))^2+(VLOOKUP(G$1,DATA!$A$3:$F$301,3,FALSE)-VLOOKUP($A6,DATA!$A$3:$F$301,3,FALSE))^2),"")</f>
        <v>33.541019662496844</v>
      </c>
      <c r="H6" s="14">
        <f>_xlfn.IFNA(SQRT((VLOOKUP(H$1,DATA!$A$3:$F$301,2,FALSE)-VLOOKUP($A6,DATA!$A$3:$F$301,2,FALSE))^2+(VLOOKUP(H$1,DATA!$A$3:$F$301,3,FALSE)-VLOOKUP($A6,DATA!$A$3:$F$301,3,FALSE))^2),"")</f>
        <v>46.324939287601879</v>
      </c>
      <c r="I6" s="14">
        <f>_xlfn.IFNA(SQRT((VLOOKUP(I$1,DATA!$A$3:$F$301,2,FALSE)-VLOOKUP($A6,DATA!$A$3:$F$301,2,FALSE))^2+(VLOOKUP(I$1,DATA!$A$3:$F$301,3,FALSE)-VLOOKUP($A6,DATA!$A$3:$F$301,3,FALSE))^2),"")</f>
        <v>35.057096285916209</v>
      </c>
      <c r="J6" s="14">
        <f>_xlfn.IFNA(SQRT((VLOOKUP(J$1,DATA!$A$3:$F$301,2,FALSE)-VLOOKUP($A6,DATA!$A$3:$F$301,2,FALSE))^2+(VLOOKUP(J$1,DATA!$A$3:$F$301,3,FALSE)-VLOOKUP($A6,DATA!$A$3:$F$301,3,FALSE))^2),"")</f>
        <v>29.832867780352597</v>
      </c>
      <c r="K6" s="14">
        <f>_xlfn.IFNA(SQRT((VLOOKUP(K$1,DATA!$A$3:$F$301,2,FALSE)-VLOOKUP($A6,DATA!$A$3:$F$301,2,FALSE))^2+(VLOOKUP(K$1,DATA!$A$3:$F$301,3,FALSE)-VLOOKUP($A6,DATA!$A$3:$F$301,3,FALSE))^2),"")</f>
        <v>35.057096285916209</v>
      </c>
      <c r="L6" s="14">
        <f>_xlfn.IFNA(SQRT((VLOOKUP(L$1,DATA!$A$3:$F$301,2,FALSE)-VLOOKUP($A6,DATA!$A$3:$F$301,2,FALSE))^2+(VLOOKUP(L$1,DATA!$A$3:$F$301,3,FALSE)-VLOOKUP($A6,DATA!$A$3:$F$301,3,FALSE))^2),"")</f>
        <v>37.107950630558946</v>
      </c>
      <c r="M6" s="14">
        <f>_xlfn.IFNA(SQRT((VLOOKUP(M$1,DATA!$A$3:$F$301,2,FALSE)-VLOOKUP($A6,DATA!$A$3:$F$301,2,FALSE))^2+(VLOOKUP(M$1,DATA!$A$3:$F$301,3,FALSE)-VLOOKUP($A6,DATA!$A$3:$F$301,3,FALSE))^2),"")</f>
        <v>16.278820596099706</v>
      </c>
      <c r="N6" s="14">
        <f>_xlfn.IFNA(SQRT((VLOOKUP(N$1,DATA!$A$3:$F$301,2,FALSE)-VLOOKUP($A6,DATA!$A$3:$F$301,2,FALSE))^2+(VLOOKUP(N$1,DATA!$A$3:$F$301,3,FALSE)-VLOOKUP($A6,DATA!$A$3:$F$301,3,FALSE))^2),"")</f>
        <v>27.459060435491963</v>
      </c>
      <c r="O6" s="14">
        <f>_xlfn.IFNA(SQRT((VLOOKUP(O$1,DATA!$A$3:$F$301,2,FALSE)-VLOOKUP($A6,DATA!$A$3:$F$301,2,FALSE))^2+(VLOOKUP(O$1,DATA!$A$3:$F$301,3,FALSE)-VLOOKUP($A6,DATA!$A$3:$F$301,3,FALSE))^2),"")</f>
        <v>7.2801098892805181</v>
      </c>
      <c r="P6" s="14">
        <f>_xlfn.IFNA(SQRT((VLOOKUP(P$1,DATA!$A$3:$F$301,2,FALSE)-VLOOKUP($A6,DATA!$A$3:$F$301,2,FALSE))^2+(VLOOKUP(P$1,DATA!$A$3:$F$301,3,FALSE)-VLOOKUP($A6,DATA!$A$3:$F$301,3,FALSE))^2),"")</f>
        <v>39.45883931389772</v>
      </c>
      <c r="Q6" s="14">
        <f>_xlfn.IFNA(SQRT((VLOOKUP(Q$1,DATA!$A$3:$F$301,2,FALSE)-VLOOKUP($A6,DATA!$A$3:$F$301,2,FALSE))^2+(VLOOKUP(Q$1,DATA!$A$3:$F$301,3,FALSE)-VLOOKUP($A6,DATA!$A$3:$F$301,3,FALSE))^2),"")</f>
        <v>35.341194094144583</v>
      </c>
      <c r="R6" s="14">
        <f>_xlfn.IFNA(SQRT((VLOOKUP(R$1,DATA!$A$3:$F$301,2,FALSE)-VLOOKUP($A6,DATA!$A$3:$F$301,2,FALSE))^2+(VLOOKUP(R$1,DATA!$A$3:$F$301,3,FALSE)-VLOOKUP($A6,DATA!$A$3:$F$301,3,FALSE))^2),"")</f>
        <v>47.201694884823787</v>
      </c>
      <c r="S6" s="14">
        <f>_xlfn.IFNA(SQRT((VLOOKUP(S$1,DATA!$A$3:$F$301,2,FALSE)-VLOOKUP($A6,DATA!$A$3:$F$301,2,FALSE))^2+(VLOOKUP(S$1,DATA!$A$3:$F$301,3,FALSE)-VLOOKUP($A6,DATA!$A$3:$F$301,3,FALSE))^2),"")</f>
        <v>27.856776554368238</v>
      </c>
      <c r="T6" s="14">
        <f>_xlfn.IFNA(SQRT((VLOOKUP(T$1,DATA!$A$3:$F$301,2,FALSE)-VLOOKUP($A6,DATA!$A$3:$F$301,2,FALSE))^2+(VLOOKUP(T$1,DATA!$A$3:$F$301,3,FALSE)-VLOOKUP($A6,DATA!$A$3:$F$301,3,FALSE))^2),"")</f>
        <v>10</v>
      </c>
      <c r="U6" s="14">
        <f>_xlfn.IFNA(SQRT((VLOOKUP(U$1,DATA!$A$3:$F$301,2,FALSE)-VLOOKUP($A6,DATA!$A$3:$F$301,2,FALSE))^2+(VLOOKUP(U$1,DATA!$A$3:$F$301,3,FALSE)-VLOOKUP($A6,DATA!$A$3:$F$301,3,FALSE))^2),"")</f>
        <v>40.224370722237531</v>
      </c>
      <c r="V6" s="14">
        <f>_xlfn.IFNA(SQRT((VLOOKUP(V$1,DATA!$A$3:$F$301,2,FALSE)-VLOOKUP($A6,DATA!$A$3:$F$301,2,FALSE))^2+(VLOOKUP(V$1,DATA!$A$3:$F$301,3,FALSE)-VLOOKUP($A6,DATA!$A$3:$F$301,3,FALSE))^2),"")</f>
        <v>39.408120990476064</v>
      </c>
      <c r="W6" s="14">
        <f>_xlfn.IFNA(SQRT((VLOOKUP(W$1,DATA!$A$3:$F$301,2,FALSE)-VLOOKUP($A6,DATA!$A$3:$F$301,2,FALSE))^2+(VLOOKUP(W$1,DATA!$A$3:$F$301,3,FALSE)-VLOOKUP($A6,DATA!$A$3:$F$301,3,FALSE))^2),"")</f>
        <v>46.861498055439924</v>
      </c>
      <c r="X6" s="14">
        <f>_xlfn.IFNA(SQRT((VLOOKUP(X$1,DATA!$A$3:$F$301,2,FALSE)-VLOOKUP($A6,DATA!$A$3:$F$301,2,FALSE))^2+(VLOOKUP(X$1,DATA!$A$3:$F$301,3,FALSE)-VLOOKUP($A6,DATA!$A$3:$F$301,3,FALSE))^2),"")</f>
        <v>52.201532544552748</v>
      </c>
      <c r="Y6" s="14">
        <f>_xlfn.IFNA(SQRT((VLOOKUP(Y$1,DATA!$A$3:$F$301,2,FALSE)-VLOOKUP($A6,DATA!$A$3:$F$301,2,FALSE))^2+(VLOOKUP(Y$1,DATA!$A$3:$F$301,3,FALSE)-VLOOKUP($A6,DATA!$A$3:$F$301,3,FALSE))^2),"")</f>
        <v>34.132096331752024</v>
      </c>
      <c r="Z6" s="14">
        <f>_xlfn.IFNA(SQRT((VLOOKUP(Z$1,DATA!$A$3:$F$301,2,FALSE)-VLOOKUP($A6,DATA!$A$3:$F$301,2,FALSE))^2+(VLOOKUP(Z$1,DATA!$A$3:$F$301,3,FALSE)-VLOOKUP($A6,DATA!$A$3:$F$301,3,FALSE))^2),"")</f>
        <v>46.872166581031863</v>
      </c>
      <c r="AA6" s="14">
        <f>_xlfn.IFNA(SQRT((VLOOKUP(AA$1,DATA!$A$3:$F$301,2,FALSE)-VLOOKUP($A6,DATA!$A$3:$F$301,2,FALSE))^2+(VLOOKUP(AA$1,DATA!$A$3:$F$301,3,FALSE)-VLOOKUP($A6,DATA!$A$3:$F$301,3,FALSE))^2),"")</f>
        <v>20.09975124224178</v>
      </c>
      <c r="AB6" s="14">
        <f>_xlfn.IFNA(SQRT((VLOOKUP(AB$1,DATA!$A$3:$F$301,2,FALSE)-VLOOKUP($A6,DATA!$A$3:$F$301,2,FALSE))^2+(VLOOKUP(AB$1,DATA!$A$3:$F$301,3,FALSE)-VLOOKUP($A6,DATA!$A$3:$F$301,3,FALSE))^2),"")</f>
        <v>38.639358172723313</v>
      </c>
      <c r="AC6" s="14">
        <f>_xlfn.IFNA(SQRT((VLOOKUP(AC$1,DATA!$A$3:$F$301,2,FALSE)-VLOOKUP($A6,DATA!$A$3:$F$301,2,FALSE))^2+(VLOOKUP(AC$1,DATA!$A$3:$F$301,3,FALSE)-VLOOKUP($A6,DATA!$A$3:$F$301,3,FALSE))^2),"")</f>
        <v>9.2195444572928871</v>
      </c>
      <c r="AD6" s="14">
        <f>_xlfn.IFNA(SQRT((VLOOKUP(AD$1,DATA!$A$3:$F$301,2,FALSE)-VLOOKUP($A6,DATA!$A$3:$F$301,2,FALSE))^2+(VLOOKUP(AD$1,DATA!$A$3:$F$301,3,FALSE)-VLOOKUP($A6,DATA!$A$3:$F$301,3,FALSE))^2),"")</f>
        <v>52.497618993626752</v>
      </c>
      <c r="AE6" s="14">
        <f>_xlfn.IFNA(SQRT((VLOOKUP(AE$1,DATA!$A$3:$F$301,2,FALSE)-VLOOKUP($A6,DATA!$A$3:$F$301,2,FALSE))^2+(VLOOKUP(AE$1,DATA!$A$3:$F$301,3,FALSE)-VLOOKUP($A6,DATA!$A$3:$F$301,3,FALSE))^2),"")</f>
        <v>7.6157731058639087</v>
      </c>
      <c r="AF6" s="14">
        <f>_xlfn.IFNA(SQRT((VLOOKUP(AF$1,DATA!$A$3:$F$301,2,FALSE)-VLOOKUP($A6,DATA!$A$3:$F$301,2,FALSE))^2+(VLOOKUP(AF$1,DATA!$A$3:$F$301,3,FALSE)-VLOOKUP($A6,DATA!$A$3:$F$301,3,FALSE))^2),"")</f>
        <v>43.931765272977593</v>
      </c>
      <c r="AG6" s="14">
        <f>_xlfn.IFNA(SQRT((VLOOKUP(AG$1,DATA!$A$3:$F$301,2,FALSE)-VLOOKUP($A6,DATA!$A$3:$F$301,2,FALSE))^2+(VLOOKUP(AG$1,DATA!$A$3:$F$301,3,FALSE)-VLOOKUP($A6,DATA!$A$3:$F$301,3,FALSE))^2),"")</f>
        <v>9.8488578017961039</v>
      </c>
      <c r="AH6" s="14">
        <f>_xlfn.IFNA(SQRT((VLOOKUP(AH$1,DATA!$A$3:$F$301,2,FALSE)-VLOOKUP($A6,DATA!$A$3:$F$301,2,FALSE))^2+(VLOOKUP(AH$1,DATA!$A$3:$F$301,3,FALSE)-VLOOKUP($A6,DATA!$A$3:$F$301,3,FALSE))^2),"")</f>
        <v>26.627053911388696</v>
      </c>
      <c r="AI6" s="14">
        <f>_xlfn.IFNA(SQRT((VLOOKUP(AI$1,DATA!$A$3:$F$301,2,FALSE)-VLOOKUP($A6,DATA!$A$3:$F$301,2,FALSE))^2+(VLOOKUP(AI$1,DATA!$A$3:$F$301,3,FALSE)-VLOOKUP($A6,DATA!$A$3:$F$301,3,FALSE))^2),"")</f>
        <v>45.486261662176638</v>
      </c>
      <c r="AJ6" s="14">
        <f>_xlfn.IFNA(SQRT((VLOOKUP(AJ$1,DATA!$A$3:$F$301,2,FALSE)-VLOOKUP($A6,DATA!$A$3:$F$301,2,FALSE))^2+(VLOOKUP(AJ$1,DATA!$A$3:$F$301,3,FALSE)-VLOOKUP($A6,DATA!$A$3:$F$301,3,FALSE))^2),"")</f>
        <v>42.953463189829058</v>
      </c>
      <c r="AK6" s="14">
        <f>_xlfn.IFNA(SQRT((VLOOKUP(AK$1,DATA!$A$3:$F$301,2,FALSE)-VLOOKUP($A6,DATA!$A$3:$F$301,2,FALSE))^2+(VLOOKUP(AK$1,DATA!$A$3:$F$301,3,FALSE)-VLOOKUP($A6,DATA!$A$3:$F$301,3,FALSE))^2),"")</f>
        <v>18.357559750685819</v>
      </c>
      <c r="AL6" s="14">
        <f>_xlfn.IFNA(SQRT((VLOOKUP(AL$1,DATA!$A$3:$F$301,2,FALSE)-VLOOKUP($A6,DATA!$A$3:$F$301,2,FALSE))^2+(VLOOKUP(AL$1,DATA!$A$3:$F$301,3,FALSE)-VLOOKUP($A6,DATA!$A$3:$F$301,3,FALSE))^2),"")</f>
        <v>32.015621187164243</v>
      </c>
      <c r="AM6" s="14">
        <f>_xlfn.IFNA(SQRT((VLOOKUP(AM$1,DATA!$A$3:$F$301,2,FALSE)-VLOOKUP($A6,DATA!$A$3:$F$301,2,FALSE))^2+(VLOOKUP(AM$1,DATA!$A$3:$F$301,3,FALSE)-VLOOKUP($A6,DATA!$A$3:$F$301,3,FALSE))^2),"")</f>
        <v>17.029386365926403</v>
      </c>
      <c r="AN6" s="14">
        <f>_xlfn.IFNA(SQRT((VLOOKUP(AN$1,DATA!$A$3:$F$301,2,FALSE)-VLOOKUP($A6,DATA!$A$3:$F$301,2,FALSE))^2+(VLOOKUP(AN$1,DATA!$A$3:$F$301,3,FALSE)-VLOOKUP($A6,DATA!$A$3:$F$301,3,FALSE))^2),"")</f>
        <v>53.150729063673246</v>
      </c>
      <c r="AO6" s="14">
        <f>_xlfn.IFNA(SQRT((VLOOKUP(AO$1,DATA!$A$3:$F$301,2,FALSE)-VLOOKUP($A6,DATA!$A$3:$F$301,2,FALSE))^2+(VLOOKUP(AO$1,DATA!$A$3:$F$301,3,FALSE)-VLOOKUP($A6,DATA!$A$3:$F$301,3,FALSE))^2),"")</f>
        <v>18.867962264113206</v>
      </c>
      <c r="AP6" s="14" t="str">
        <f>_xlfn.IFNA(SQRT((VLOOKUP(AP$1,DATA!$A$3:$F$301,2,FALSE)-VLOOKUP($A6,DATA!$A$3:$F$301,2,FALSE))^2+(VLOOKUP(AP$1,DATA!$A$3:$F$301,3,FALSE)-VLOOKUP($A6,DATA!$A$3:$F$301,3,FALSE))^2),"")</f>
        <v/>
      </c>
      <c r="AQ6" s="14" t="str">
        <f>_xlfn.IFNA(SQRT((VLOOKUP(AQ$1,DATA!$A$3:$F$301,2,FALSE)-VLOOKUP($A6,DATA!$A$3:$F$301,2,FALSE))^2+(VLOOKUP(AQ$1,DATA!$A$3:$F$301,3,FALSE)-VLOOKUP($A6,DATA!$A$3:$F$301,3,FALSE))^2),"")</f>
        <v/>
      </c>
      <c r="AR6" s="14" t="str">
        <f>_xlfn.IFNA(SQRT((VLOOKUP(AR$1,DATA!$A$3:$F$301,2,FALSE)-VLOOKUP($A6,DATA!$A$3:$F$301,2,FALSE))^2+(VLOOKUP(AR$1,DATA!$A$3:$F$301,3,FALSE)-VLOOKUP($A6,DATA!$A$3:$F$301,3,FALSE))^2),"")</f>
        <v/>
      </c>
      <c r="AS6" s="14" t="str">
        <f>_xlfn.IFNA(SQRT((VLOOKUP(AS$1,DATA!$A$3:$F$301,2,FALSE)-VLOOKUP($A6,DATA!$A$3:$F$301,2,FALSE))^2+(VLOOKUP(AS$1,DATA!$A$3:$F$301,3,FALSE)-VLOOKUP($A6,DATA!$A$3:$F$301,3,FALSE))^2),"")</f>
        <v/>
      </c>
      <c r="AT6" s="14" t="str">
        <f>_xlfn.IFNA(SQRT((VLOOKUP(AT$1,DATA!$A$3:$F$301,2,FALSE)-VLOOKUP($A6,DATA!$A$3:$F$301,2,FALSE))^2+(VLOOKUP(AT$1,DATA!$A$3:$F$301,3,FALSE)-VLOOKUP($A6,DATA!$A$3:$F$301,3,FALSE))^2),"")</f>
        <v/>
      </c>
      <c r="AU6" s="14" t="str">
        <f>_xlfn.IFNA(SQRT((VLOOKUP(AU$1,DATA!$A$3:$F$301,2,FALSE)-VLOOKUP($A6,DATA!$A$3:$F$301,2,FALSE))^2+(VLOOKUP(AU$1,DATA!$A$3:$F$301,3,FALSE)-VLOOKUP($A6,DATA!$A$3:$F$301,3,FALSE))^2),"")</f>
        <v/>
      </c>
      <c r="AV6" s="14" t="str">
        <f>_xlfn.IFNA(SQRT((VLOOKUP(AV$1,DATA!$A$3:$F$301,2,FALSE)-VLOOKUP($A6,DATA!$A$3:$F$301,2,FALSE))^2+(VLOOKUP(AV$1,DATA!$A$3:$F$301,3,FALSE)-VLOOKUP($A6,DATA!$A$3:$F$301,3,FALSE))^2),"")</f>
        <v/>
      </c>
      <c r="AW6" s="14" t="str">
        <f>_xlfn.IFNA(SQRT((VLOOKUP(AW$1,DATA!$A$3:$F$301,2,FALSE)-VLOOKUP($A6,DATA!$A$3:$F$301,2,FALSE))^2+(VLOOKUP(AW$1,DATA!$A$3:$F$301,3,FALSE)-VLOOKUP($A6,DATA!$A$3:$F$301,3,FALSE))^2),"")</f>
        <v/>
      </c>
      <c r="AX6" s="14" t="str">
        <f>_xlfn.IFNA(SQRT((VLOOKUP(AX$1,DATA!$A$3:$F$301,2,FALSE)-VLOOKUP($A6,DATA!$A$3:$F$301,2,FALSE))^2+(VLOOKUP(AX$1,DATA!$A$3:$F$301,3,FALSE)-VLOOKUP($A6,DATA!$A$3:$F$301,3,FALSE))^2),"")</f>
        <v/>
      </c>
      <c r="AY6" s="14" t="str">
        <f>_xlfn.IFNA(SQRT((VLOOKUP(AY$1,DATA!$A$3:$F$301,2,FALSE)-VLOOKUP($A6,DATA!$A$3:$F$301,2,FALSE))^2+(VLOOKUP(AY$1,DATA!$A$3:$F$301,3,FALSE)-VLOOKUP($A6,DATA!$A$3:$F$301,3,FALSE))^2),"")</f>
        <v/>
      </c>
      <c r="AZ6" s="14" t="str">
        <f>_xlfn.IFNA(SQRT((VLOOKUP(AZ$1,DATA!$A$3:$F$301,2,FALSE)-VLOOKUP($A6,DATA!$A$3:$F$301,2,FALSE))^2+(VLOOKUP(AZ$1,DATA!$A$3:$F$301,3,FALSE)-VLOOKUP($A6,DATA!$A$3:$F$301,3,FALSE))^2),"")</f>
        <v/>
      </c>
      <c r="BA6" s="14" t="str">
        <f>_xlfn.IFNA(SQRT((VLOOKUP(BA$1,DATA!$A$3:$F$301,2,FALSE)-VLOOKUP($A6,DATA!$A$3:$F$301,2,FALSE))^2+(VLOOKUP(BA$1,DATA!$A$3:$F$301,3,FALSE)-VLOOKUP($A6,DATA!$A$3:$F$301,3,FALSE))^2),"")</f>
        <v/>
      </c>
      <c r="BB6" s="14" t="str">
        <f>_xlfn.IFNA(SQRT((VLOOKUP(BB$1,DATA!$A$3:$F$301,2,FALSE)-VLOOKUP($A6,DATA!$A$3:$F$301,2,FALSE))^2+(VLOOKUP(BB$1,DATA!$A$3:$F$301,3,FALSE)-VLOOKUP($A6,DATA!$A$3:$F$301,3,FALSE))^2),"")</f>
        <v/>
      </c>
      <c r="BC6" s="14" t="str">
        <f>_xlfn.IFNA(SQRT((VLOOKUP(BC$1,DATA!$A$3:$F$301,2,FALSE)-VLOOKUP($A6,DATA!$A$3:$F$301,2,FALSE))^2+(VLOOKUP(BC$1,DATA!$A$3:$F$301,3,FALSE)-VLOOKUP($A6,DATA!$A$3:$F$301,3,FALSE))^2),"")</f>
        <v/>
      </c>
      <c r="BD6" s="14" t="str">
        <f>_xlfn.IFNA(SQRT((VLOOKUP(BD$1,DATA!$A$3:$F$301,2,FALSE)-VLOOKUP($A6,DATA!$A$3:$F$301,2,FALSE))^2+(VLOOKUP(BD$1,DATA!$A$3:$F$301,3,FALSE)-VLOOKUP($A6,DATA!$A$3:$F$301,3,FALSE))^2),"")</f>
        <v/>
      </c>
      <c r="BE6" s="14" t="str">
        <f>_xlfn.IFNA(SQRT((VLOOKUP(BE$1,DATA!$A$3:$F$301,2,FALSE)-VLOOKUP($A6,DATA!$A$3:$F$301,2,FALSE))^2+(VLOOKUP(BE$1,DATA!$A$3:$F$301,3,FALSE)-VLOOKUP($A6,DATA!$A$3:$F$301,3,FALSE))^2),"")</f>
        <v/>
      </c>
      <c r="BF6" s="14" t="str">
        <f>_xlfn.IFNA(SQRT((VLOOKUP(BF$1,DATA!$A$3:$F$301,2,FALSE)-VLOOKUP($A6,DATA!$A$3:$F$301,2,FALSE))^2+(VLOOKUP(BF$1,DATA!$A$3:$F$301,3,FALSE)-VLOOKUP($A6,DATA!$A$3:$F$301,3,FALSE))^2),"")</f>
        <v/>
      </c>
      <c r="BG6" s="14" t="str">
        <f>_xlfn.IFNA(SQRT((VLOOKUP(BG$1,DATA!$A$3:$F$301,2,FALSE)-VLOOKUP($A6,DATA!$A$3:$F$301,2,FALSE))^2+(VLOOKUP(BG$1,DATA!$A$3:$F$301,3,FALSE)-VLOOKUP($A6,DATA!$A$3:$F$301,3,FALSE))^2),"")</f>
        <v/>
      </c>
      <c r="BH6" s="14" t="str">
        <f>_xlfn.IFNA(SQRT((VLOOKUP(BH$1,DATA!$A$3:$F$301,2,FALSE)-VLOOKUP($A6,DATA!$A$3:$F$301,2,FALSE))^2+(VLOOKUP(BH$1,DATA!$A$3:$F$301,3,FALSE)-VLOOKUP($A6,DATA!$A$3:$F$301,3,FALSE))^2),"")</f>
        <v/>
      </c>
      <c r="BI6" s="14" t="str">
        <f>_xlfn.IFNA(SQRT((VLOOKUP(BI$1,DATA!$A$3:$F$301,2,FALSE)-VLOOKUP($A6,DATA!$A$3:$F$301,2,FALSE))^2+(VLOOKUP(BI$1,DATA!$A$3:$F$301,3,FALSE)-VLOOKUP($A6,DATA!$A$3:$F$301,3,FALSE))^2),"")</f>
        <v/>
      </c>
      <c r="BJ6" s="14" t="str">
        <f>_xlfn.IFNA(SQRT((VLOOKUP(BJ$1,DATA!$A$3:$F$301,2,FALSE)-VLOOKUP($A6,DATA!$A$3:$F$301,2,FALSE))^2+(VLOOKUP(BJ$1,DATA!$A$3:$F$301,3,FALSE)-VLOOKUP($A6,DATA!$A$3:$F$301,3,FALSE))^2),"")</f>
        <v/>
      </c>
      <c r="BK6" s="14" t="str">
        <f>_xlfn.IFNA(SQRT((VLOOKUP(BK$1,DATA!$A$3:$F$301,2,FALSE)-VLOOKUP($A6,DATA!$A$3:$F$301,2,FALSE))^2+(VLOOKUP(BK$1,DATA!$A$3:$F$301,3,FALSE)-VLOOKUP($A6,DATA!$A$3:$F$301,3,FALSE))^2),"")</f>
        <v/>
      </c>
      <c r="BL6" s="14" t="str">
        <f>_xlfn.IFNA(SQRT((VLOOKUP(BL$1,DATA!$A$3:$F$301,2,FALSE)-VLOOKUP($A6,DATA!$A$3:$F$301,2,FALSE))^2+(VLOOKUP(BL$1,DATA!$A$3:$F$301,3,FALSE)-VLOOKUP($A6,DATA!$A$3:$F$301,3,FALSE))^2),"")</f>
        <v/>
      </c>
      <c r="BM6" s="14" t="str">
        <f>_xlfn.IFNA(SQRT((VLOOKUP(BM$1,DATA!$A$3:$F$301,2,FALSE)-VLOOKUP($A6,DATA!$A$3:$F$301,2,FALSE))^2+(VLOOKUP(BM$1,DATA!$A$3:$F$301,3,FALSE)-VLOOKUP($A6,DATA!$A$3:$F$301,3,FALSE))^2),"")</f>
        <v/>
      </c>
      <c r="BN6" s="14" t="str">
        <f>_xlfn.IFNA(SQRT((VLOOKUP(BN$1,DATA!$A$3:$F$301,2,FALSE)-VLOOKUP($A6,DATA!$A$3:$F$301,2,FALSE))^2+(VLOOKUP(BN$1,DATA!$A$3:$F$301,3,FALSE)-VLOOKUP($A6,DATA!$A$3:$F$301,3,FALSE))^2),"")</f>
        <v/>
      </c>
      <c r="BO6" s="14" t="str">
        <f>_xlfn.IFNA(SQRT((VLOOKUP(BO$1,DATA!$A$3:$F$301,2,FALSE)-VLOOKUP($A6,DATA!$A$3:$F$301,2,FALSE))^2+(VLOOKUP(BO$1,DATA!$A$3:$F$301,3,FALSE)-VLOOKUP($A6,DATA!$A$3:$F$301,3,FALSE))^2),"")</f>
        <v/>
      </c>
      <c r="BP6" s="14" t="str">
        <f>_xlfn.IFNA(SQRT((VLOOKUP(BP$1,DATA!$A$3:$F$301,2,FALSE)-VLOOKUP($A6,DATA!$A$3:$F$301,2,FALSE))^2+(VLOOKUP(BP$1,DATA!$A$3:$F$301,3,FALSE)-VLOOKUP($A6,DATA!$A$3:$F$301,3,FALSE))^2),"")</f>
        <v/>
      </c>
      <c r="BQ6" s="14" t="str">
        <f>_xlfn.IFNA(SQRT((VLOOKUP(BQ$1,DATA!$A$3:$F$301,2,FALSE)-VLOOKUP($A6,DATA!$A$3:$F$301,2,FALSE))^2+(VLOOKUP(BQ$1,DATA!$A$3:$F$301,3,FALSE)-VLOOKUP($A6,DATA!$A$3:$F$301,3,FALSE))^2),"")</f>
        <v/>
      </c>
      <c r="BR6" s="14" t="str">
        <f>_xlfn.IFNA(SQRT((VLOOKUP(BR$1,DATA!$A$3:$F$301,2,FALSE)-VLOOKUP($A6,DATA!$A$3:$F$301,2,FALSE))^2+(VLOOKUP(BR$1,DATA!$A$3:$F$301,3,FALSE)-VLOOKUP($A6,DATA!$A$3:$F$301,3,FALSE))^2),"")</f>
        <v/>
      </c>
      <c r="BS6" s="14" t="str">
        <f>_xlfn.IFNA(SQRT((VLOOKUP(BS$1,DATA!$A$3:$F$301,2,FALSE)-VLOOKUP($A6,DATA!$A$3:$F$301,2,FALSE))^2+(VLOOKUP(BS$1,DATA!$A$3:$F$301,3,FALSE)-VLOOKUP($A6,DATA!$A$3:$F$301,3,FALSE))^2),"")</f>
        <v/>
      </c>
      <c r="BT6" s="14" t="str">
        <f>_xlfn.IFNA(SQRT((VLOOKUP(BT$1,DATA!$A$3:$F$301,2,FALSE)-VLOOKUP($A6,DATA!$A$3:$F$301,2,FALSE))^2+(VLOOKUP(BT$1,DATA!$A$3:$F$301,3,FALSE)-VLOOKUP($A6,DATA!$A$3:$F$301,3,FALSE))^2),"")</f>
        <v/>
      </c>
      <c r="BU6" s="14" t="str">
        <f>_xlfn.IFNA(SQRT((VLOOKUP(BU$1,DATA!$A$3:$F$301,2,FALSE)-VLOOKUP($A6,DATA!$A$3:$F$301,2,FALSE))^2+(VLOOKUP(BU$1,DATA!$A$3:$F$301,3,FALSE)-VLOOKUP($A6,DATA!$A$3:$F$301,3,FALSE))^2),"")</f>
        <v/>
      </c>
      <c r="BV6" s="14" t="str">
        <f>_xlfn.IFNA(SQRT((VLOOKUP(BV$1,DATA!$A$3:$F$301,2,FALSE)-VLOOKUP($A6,DATA!$A$3:$F$301,2,FALSE))^2+(VLOOKUP(BV$1,DATA!$A$3:$F$301,3,FALSE)-VLOOKUP($A6,DATA!$A$3:$F$301,3,FALSE))^2),"")</f>
        <v/>
      </c>
      <c r="BW6" s="14" t="str">
        <f>_xlfn.IFNA(SQRT((VLOOKUP(BW$1,DATA!$A$3:$F$301,2,FALSE)-VLOOKUP($A6,DATA!$A$3:$F$301,2,FALSE))^2+(VLOOKUP(BW$1,DATA!$A$3:$F$301,3,FALSE)-VLOOKUP($A6,DATA!$A$3:$F$301,3,FALSE))^2),"")</f>
        <v/>
      </c>
      <c r="BX6" s="14" t="str">
        <f>_xlfn.IFNA(SQRT((VLOOKUP(BX$1,DATA!$A$3:$F$301,2,FALSE)-VLOOKUP($A6,DATA!$A$3:$F$301,2,FALSE))^2+(VLOOKUP(BX$1,DATA!$A$3:$F$301,3,FALSE)-VLOOKUP($A6,DATA!$A$3:$F$301,3,FALSE))^2),"")</f>
        <v/>
      </c>
      <c r="BY6" s="14" t="str">
        <f>_xlfn.IFNA(SQRT((VLOOKUP(BY$1,DATA!$A$3:$F$301,2,FALSE)-VLOOKUP($A6,DATA!$A$3:$F$301,2,FALSE))^2+(VLOOKUP(BY$1,DATA!$A$3:$F$301,3,FALSE)-VLOOKUP($A6,DATA!$A$3:$F$301,3,FALSE))^2),"")</f>
        <v/>
      </c>
      <c r="BZ6" s="14" t="str">
        <f>_xlfn.IFNA(SQRT((VLOOKUP(BZ$1,DATA!$A$3:$F$301,2,FALSE)-VLOOKUP($A6,DATA!$A$3:$F$301,2,FALSE))^2+(VLOOKUP(BZ$1,DATA!$A$3:$F$301,3,FALSE)-VLOOKUP($A6,DATA!$A$3:$F$301,3,FALSE))^2),"")</f>
        <v/>
      </c>
      <c r="CA6" s="14" t="str">
        <f>_xlfn.IFNA(SQRT((VLOOKUP(CA$1,DATA!$A$3:$F$301,2,FALSE)-VLOOKUP($A6,DATA!$A$3:$F$301,2,FALSE))^2+(VLOOKUP(CA$1,DATA!$A$3:$F$301,3,FALSE)-VLOOKUP($A6,DATA!$A$3:$F$301,3,FALSE))^2),"")</f>
        <v/>
      </c>
      <c r="CB6" s="14" t="str">
        <f>_xlfn.IFNA(SQRT((VLOOKUP(CB$1,DATA!$A$3:$F$301,2,FALSE)-VLOOKUP($A6,DATA!$A$3:$F$301,2,FALSE))^2+(VLOOKUP(CB$1,DATA!$A$3:$F$301,3,FALSE)-VLOOKUP($A6,DATA!$A$3:$F$301,3,FALSE))^2),"")</f>
        <v/>
      </c>
      <c r="CC6" s="14" t="str">
        <f>_xlfn.IFNA(SQRT((VLOOKUP(CC$1,DATA!$A$3:$F$301,2,FALSE)-VLOOKUP($A6,DATA!$A$3:$F$301,2,FALSE))^2+(VLOOKUP(CC$1,DATA!$A$3:$F$301,3,FALSE)-VLOOKUP($A6,DATA!$A$3:$F$301,3,FALSE))^2),"")</f>
        <v/>
      </c>
      <c r="CD6" s="14" t="str">
        <f>_xlfn.IFNA(SQRT((VLOOKUP(CD$1,DATA!$A$3:$F$301,2,FALSE)-VLOOKUP($A6,DATA!$A$3:$F$301,2,FALSE))^2+(VLOOKUP(CD$1,DATA!$A$3:$F$301,3,FALSE)-VLOOKUP($A6,DATA!$A$3:$F$301,3,FALSE))^2),"")</f>
        <v/>
      </c>
      <c r="CE6" s="14" t="str">
        <f>_xlfn.IFNA(SQRT((VLOOKUP(CE$1,DATA!$A$3:$F$301,2,FALSE)-VLOOKUP($A6,DATA!$A$3:$F$301,2,FALSE))^2+(VLOOKUP(CE$1,DATA!$A$3:$F$301,3,FALSE)-VLOOKUP($A6,DATA!$A$3:$F$301,3,FALSE))^2),"")</f>
        <v/>
      </c>
      <c r="CF6" s="14" t="str">
        <f>_xlfn.IFNA(SQRT((VLOOKUP(CF$1,DATA!$A$3:$F$301,2,FALSE)-VLOOKUP($A6,DATA!$A$3:$F$301,2,FALSE))^2+(VLOOKUP(CF$1,DATA!$A$3:$F$301,3,FALSE)-VLOOKUP($A6,DATA!$A$3:$F$301,3,FALSE))^2),"")</f>
        <v/>
      </c>
      <c r="CG6" s="14" t="str">
        <f>_xlfn.IFNA(SQRT((VLOOKUP(CG$1,DATA!$A$3:$F$301,2,FALSE)-VLOOKUP($A6,DATA!$A$3:$F$301,2,FALSE))^2+(VLOOKUP(CG$1,DATA!$A$3:$F$301,3,FALSE)-VLOOKUP($A6,DATA!$A$3:$F$301,3,FALSE))^2),"")</f>
        <v/>
      </c>
      <c r="CH6" s="14" t="str">
        <f>_xlfn.IFNA(SQRT((VLOOKUP(CH$1,DATA!$A$3:$F$301,2,FALSE)-VLOOKUP($A6,DATA!$A$3:$F$301,2,FALSE))^2+(VLOOKUP(CH$1,DATA!$A$3:$F$301,3,FALSE)-VLOOKUP($A6,DATA!$A$3:$F$301,3,FALSE))^2),"")</f>
        <v/>
      </c>
      <c r="CI6" s="14" t="str">
        <f>_xlfn.IFNA(SQRT((VLOOKUP(CI$1,DATA!$A$3:$F$301,2,FALSE)-VLOOKUP($A6,DATA!$A$3:$F$301,2,FALSE))^2+(VLOOKUP(CI$1,DATA!$A$3:$F$301,3,FALSE)-VLOOKUP($A6,DATA!$A$3:$F$301,3,FALSE))^2),"")</f>
        <v/>
      </c>
      <c r="CJ6" s="14" t="str">
        <f>_xlfn.IFNA(SQRT((VLOOKUP(CJ$1,DATA!$A$3:$F$301,2,FALSE)-VLOOKUP($A6,DATA!$A$3:$F$301,2,FALSE))^2+(VLOOKUP(CJ$1,DATA!$A$3:$F$301,3,FALSE)-VLOOKUP($A6,DATA!$A$3:$F$301,3,FALSE))^2),"")</f>
        <v/>
      </c>
      <c r="CK6" s="14" t="str">
        <f>_xlfn.IFNA(SQRT((VLOOKUP(CK$1,DATA!$A$3:$F$301,2,FALSE)-VLOOKUP($A6,DATA!$A$3:$F$301,2,FALSE))^2+(VLOOKUP(CK$1,DATA!$A$3:$F$301,3,FALSE)-VLOOKUP($A6,DATA!$A$3:$F$301,3,FALSE))^2),"")</f>
        <v/>
      </c>
      <c r="CL6" s="14" t="str">
        <f>_xlfn.IFNA(SQRT((VLOOKUP(CL$1,DATA!$A$3:$F$301,2,FALSE)-VLOOKUP($A6,DATA!$A$3:$F$301,2,FALSE))^2+(VLOOKUP(CL$1,DATA!$A$3:$F$301,3,FALSE)-VLOOKUP($A6,DATA!$A$3:$F$301,3,FALSE))^2),"")</f>
        <v/>
      </c>
      <c r="CM6" s="14" t="str">
        <f>_xlfn.IFNA(SQRT((VLOOKUP(CM$1,DATA!$A$3:$F$301,2,FALSE)-VLOOKUP($A6,DATA!$A$3:$F$301,2,FALSE))^2+(VLOOKUP(CM$1,DATA!$A$3:$F$301,3,FALSE)-VLOOKUP($A6,DATA!$A$3:$F$301,3,FALSE))^2),"")</f>
        <v/>
      </c>
      <c r="CN6" s="14" t="str">
        <f>_xlfn.IFNA(SQRT((VLOOKUP(CN$1,DATA!$A$3:$F$301,2,FALSE)-VLOOKUP($A6,DATA!$A$3:$F$301,2,FALSE))^2+(VLOOKUP(CN$1,DATA!$A$3:$F$301,3,FALSE)-VLOOKUP($A6,DATA!$A$3:$F$301,3,FALSE))^2),"")</f>
        <v/>
      </c>
      <c r="CO6" s="14" t="str">
        <f>_xlfn.IFNA(SQRT((VLOOKUP(CO$1,DATA!$A$3:$F$301,2,FALSE)-VLOOKUP($A6,DATA!$A$3:$F$301,2,FALSE))^2+(VLOOKUP(CO$1,DATA!$A$3:$F$301,3,FALSE)-VLOOKUP($A6,DATA!$A$3:$F$301,3,FALSE))^2),"")</f>
        <v/>
      </c>
      <c r="CP6" s="14" t="str">
        <f>_xlfn.IFNA(SQRT((VLOOKUP(CP$1,DATA!$A$3:$F$301,2,FALSE)-VLOOKUP($A6,DATA!$A$3:$F$301,2,FALSE))^2+(VLOOKUP(CP$1,DATA!$A$3:$F$301,3,FALSE)-VLOOKUP($A6,DATA!$A$3:$F$301,3,FALSE))^2),"")</f>
        <v/>
      </c>
      <c r="CQ6" s="14" t="str">
        <f>_xlfn.IFNA(SQRT((VLOOKUP(CQ$1,DATA!$A$3:$F$301,2,FALSE)-VLOOKUP($A6,DATA!$A$3:$F$301,2,FALSE))^2+(VLOOKUP(CQ$1,DATA!$A$3:$F$301,3,FALSE)-VLOOKUP($A6,DATA!$A$3:$F$301,3,FALSE))^2),"")</f>
        <v/>
      </c>
      <c r="CR6" s="14" t="str">
        <f>_xlfn.IFNA(SQRT((VLOOKUP(CR$1,DATA!$A$3:$F$301,2,FALSE)-VLOOKUP($A6,DATA!$A$3:$F$301,2,FALSE))^2+(VLOOKUP(CR$1,DATA!$A$3:$F$301,3,FALSE)-VLOOKUP($A6,DATA!$A$3:$F$301,3,FALSE))^2),"")</f>
        <v/>
      </c>
      <c r="CS6" s="14" t="str">
        <f>_xlfn.IFNA(SQRT((VLOOKUP(CS$1,DATA!$A$3:$F$301,2,FALSE)-VLOOKUP($A6,DATA!$A$3:$F$301,2,FALSE))^2+(VLOOKUP(CS$1,DATA!$A$3:$F$301,3,FALSE)-VLOOKUP($A6,DATA!$A$3:$F$301,3,FALSE))^2),"")</f>
        <v/>
      </c>
      <c r="CT6" s="14" t="str">
        <f>_xlfn.IFNA(SQRT((VLOOKUP(CT$1,DATA!$A$3:$F$301,2,FALSE)-VLOOKUP($A6,DATA!$A$3:$F$301,2,FALSE))^2+(VLOOKUP(CT$1,DATA!$A$3:$F$301,3,FALSE)-VLOOKUP($A6,DATA!$A$3:$F$301,3,FALSE))^2),"")</f>
        <v/>
      </c>
      <c r="CU6" s="14" t="str">
        <f>_xlfn.IFNA(SQRT((VLOOKUP(CU$1,DATA!$A$3:$F$301,2,FALSE)-VLOOKUP($A6,DATA!$A$3:$F$301,2,FALSE))^2+(VLOOKUP(CU$1,DATA!$A$3:$F$301,3,FALSE)-VLOOKUP($A6,DATA!$A$3:$F$301,3,FALSE))^2),"")</f>
        <v/>
      </c>
      <c r="CV6" s="14" t="str">
        <f>_xlfn.IFNA(SQRT((VLOOKUP(CV$1,DATA!$A$3:$F$301,2,FALSE)-VLOOKUP($A6,DATA!$A$3:$F$301,2,FALSE))^2+(VLOOKUP(CV$1,DATA!$A$3:$F$301,3,FALSE)-VLOOKUP($A6,DATA!$A$3:$F$301,3,FALSE))^2),"")</f>
        <v/>
      </c>
      <c r="CW6" s="14" t="str">
        <f>_xlfn.IFNA(SQRT((VLOOKUP(CW$1,DATA!$A$3:$F$301,2,FALSE)-VLOOKUP($A6,DATA!$A$3:$F$301,2,FALSE))^2+(VLOOKUP(CW$1,DATA!$A$3:$F$301,3,FALSE)-VLOOKUP($A6,DATA!$A$3:$F$301,3,FALSE))^2),"")</f>
        <v/>
      </c>
      <c r="CX6" s="14" t="str">
        <f>_xlfn.IFNA(SQRT((VLOOKUP(CX$1,DATA!$A$3:$F$301,2,FALSE)-VLOOKUP($A6,DATA!$A$3:$F$301,2,FALSE))^2+(VLOOKUP(CX$1,DATA!$A$3:$F$301,3,FALSE)-VLOOKUP($A6,DATA!$A$3:$F$301,3,FALSE))^2),"")</f>
        <v/>
      </c>
    </row>
    <row r="7" spans="1:102">
      <c r="A7" s="13">
        <v>6</v>
      </c>
      <c r="B7" s="14">
        <f>_xlfn.IFNA(SQRT((VLOOKUP(B$1,DATA!$A$3:$F$301,2,FALSE)-VLOOKUP($A7,DATA!$A$3:$F$301,2,FALSE))^2+(VLOOKUP(B$1,DATA!$A$3:$F$301,3,FALSE)-VLOOKUP($A7,DATA!$A$3:$F$301,3,FALSE))^2),"")</f>
        <v>22.847319317591726</v>
      </c>
      <c r="C7" s="14">
        <f>_xlfn.IFNA(SQRT((VLOOKUP(C$1,DATA!$A$3:$F$301,2,FALSE)-VLOOKUP($A7,DATA!$A$3:$F$301,2,FALSE))^2+(VLOOKUP(C$1,DATA!$A$3:$F$301,3,FALSE)-VLOOKUP($A7,DATA!$A$3:$F$301,3,FALSE))^2),"")</f>
        <v>27.202941017470888</v>
      </c>
      <c r="D7" s="14">
        <f>_xlfn.IFNA(SQRT((VLOOKUP(D$1,DATA!$A$3:$F$301,2,FALSE)-VLOOKUP($A7,DATA!$A$3:$F$301,2,FALSE))^2+(VLOOKUP(D$1,DATA!$A$3:$F$301,3,FALSE)-VLOOKUP($A7,DATA!$A$3:$F$301,3,FALSE))^2),"")</f>
        <v>29.698484809834994</v>
      </c>
      <c r="E7" s="14">
        <f>_xlfn.IFNA(SQRT((VLOOKUP(E$1,DATA!$A$3:$F$301,2,FALSE)-VLOOKUP($A7,DATA!$A$3:$F$301,2,FALSE))^2+(VLOOKUP(E$1,DATA!$A$3:$F$301,3,FALSE)-VLOOKUP($A7,DATA!$A$3:$F$301,3,FALSE))^2),"")</f>
        <v>22.022715545545239</v>
      </c>
      <c r="F7" s="14">
        <f>_xlfn.IFNA(SQRT((VLOOKUP(F$1,DATA!$A$3:$F$301,2,FALSE)-VLOOKUP($A7,DATA!$A$3:$F$301,2,FALSE))^2+(VLOOKUP(F$1,DATA!$A$3:$F$301,3,FALSE)-VLOOKUP($A7,DATA!$A$3:$F$301,3,FALSE))^2),"")</f>
        <v>33.541019662496844</v>
      </c>
      <c r="G7" s="14">
        <f>_xlfn.IFNA(SQRT((VLOOKUP(G$1,DATA!$A$3:$F$301,2,FALSE)-VLOOKUP($A7,DATA!$A$3:$F$301,2,FALSE))^2+(VLOOKUP(G$1,DATA!$A$3:$F$301,3,FALSE)-VLOOKUP($A7,DATA!$A$3:$F$301,3,FALSE))^2),"")</f>
        <v>0</v>
      </c>
      <c r="H7" s="14">
        <f>_xlfn.IFNA(SQRT((VLOOKUP(H$1,DATA!$A$3:$F$301,2,FALSE)-VLOOKUP($A7,DATA!$A$3:$F$301,2,FALSE))^2+(VLOOKUP(H$1,DATA!$A$3:$F$301,3,FALSE)-VLOOKUP($A7,DATA!$A$3:$F$301,3,FALSE))^2),"")</f>
        <v>13.45362404707371</v>
      </c>
      <c r="I7" s="14">
        <f>_xlfn.IFNA(SQRT((VLOOKUP(I$1,DATA!$A$3:$F$301,2,FALSE)-VLOOKUP($A7,DATA!$A$3:$F$301,2,FALSE))^2+(VLOOKUP(I$1,DATA!$A$3:$F$301,3,FALSE)-VLOOKUP($A7,DATA!$A$3:$F$301,3,FALSE))^2),"")</f>
        <v>13.928388277184119</v>
      </c>
      <c r="J7" s="14">
        <f>_xlfn.IFNA(SQRT((VLOOKUP(J$1,DATA!$A$3:$F$301,2,FALSE)-VLOOKUP($A7,DATA!$A$3:$F$301,2,FALSE))^2+(VLOOKUP(J$1,DATA!$A$3:$F$301,3,FALSE)-VLOOKUP($A7,DATA!$A$3:$F$301,3,FALSE))^2),"")</f>
        <v>8.0622577482985491</v>
      </c>
      <c r="K7" s="14">
        <f>_xlfn.IFNA(SQRT((VLOOKUP(K$1,DATA!$A$3:$F$301,2,FALSE)-VLOOKUP($A7,DATA!$A$3:$F$301,2,FALSE))^2+(VLOOKUP(K$1,DATA!$A$3:$F$301,3,FALSE)-VLOOKUP($A7,DATA!$A$3:$F$301,3,FALSE))^2),"")</f>
        <v>34.409301068170507</v>
      </c>
      <c r="L7" s="14">
        <f>_xlfn.IFNA(SQRT((VLOOKUP(L$1,DATA!$A$3:$F$301,2,FALSE)-VLOOKUP($A7,DATA!$A$3:$F$301,2,FALSE))^2+(VLOOKUP(L$1,DATA!$A$3:$F$301,3,FALSE)-VLOOKUP($A7,DATA!$A$3:$F$301,3,FALSE))^2),"")</f>
        <v>8.4852813742385695</v>
      </c>
      <c r="M7" s="14">
        <f>_xlfn.IFNA(SQRT((VLOOKUP(M$1,DATA!$A$3:$F$301,2,FALSE)-VLOOKUP($A7,DATA!$A$3:$F$301,2,FALSE))^2+(VLOOKUP(M$1,DATA!$A$3:$F$301,3,FALSE)-VLOOKUP($A7,DATA!$A$3:$F$301,3,FALSE))^2),"")</f>
        <v>19.235384061671343</v>
      </c>
      <c r="N7" s="14">
        <f>_xlfn.IFNA(SQRT((VLOOKUP(N$1,DATA!$A$3:$F$301,2,FALSE)-VLOOKUP($A7,DATA!$A$3:$F$301,2,FALSE))^2+(VLOOKUP(N$1,DATA!$A$3:$F$301,3,FALSE)-VLOOKUP($A7,DATA!$A$3:$F$301,3,FALSE))^2),"")</f>
        <v>17</v>
      </c>
      <c r="O7" s="14">
        <f>_xlfn.IFNA(SQRT((VLOOKUP(O$1,DATA!$A$3:$F$301,2,FALSE)-VLOOKUP($A7,DATA!$A$3:$F$301,2,FALSE))^2+(VLOOKUP(O$1,DATA!$A$3:$F$301,3,FALSE)-VLOOKUP($A7,DATA!$A$3:$F$301,3,FALSE))^2),"")</f>
        <v>38.832975677895199</v>
      </c>
      <c r="P7" s="14">
        <f>_xlfn.IFNA(SQRT((VLOOKUP(P$1,DATA!$A$3:$F$301,2,FALSE)-VLOOKUP($A7,DATA!$A$3:$F$301,2,FALSE))^2+(VLOOKUP(P$1,DATA!$A$3:$F$301,3,FALSE)-VLOOKUP($A7,DATA!$A$3:$F$301,3,FALSE))^2),"")</f>
        <v>22.847319317591726</v>
      </c>
      <c r="Q7" s="14">
        <f>_xlfn.IFNA(SQRT((VLOOKUP(Q$1,DATA!$A$3:$F$301,2,FALSE)-VLOOKUP($A7,DATA!$A$3:$F$301,2,FALSE))^2+(VLOOKUP(Q$1,DATA!$A$3:$F$301,3,FALSE)-VLOOKUP($A7,DATA!$A$3:$F$301,3,FALSE))^2),"")</f>
        <v>2</v>
      </c>
      <c r="R7" s="14">
        <f>_xlfn.IFNA(SQRT((VLOOKUP(R$1,DATA!$A$3:$F$301,2,FALSE)-VLOOKUP($A7,DATA!$A$3:$F$301,2,FALSE))^2+(VLOOKUP(R$1,DATA!$A$3:$F$301,3,FALSE)-VLOOKUP($A7,DATA!$A$3:$F$301,3,FALSE))^2),"")</f>
        <v>23.086792761230392</v>
      </c>
      <c r="S7" s="14">
        <f>_xlfn.IFNA(SQRT((VLOOKUP(S$1,DATA!$A$3:$F$301,2,FALSE)-VLOOKUP($A7,DATA!$A$3:$F$301,2,FALSE))^2+(VLOOKUP(S$1,DATA!$A$3:$F$301,3,FALSE)-VLOOKUP($A7,DATA!$A$3:$F$301,3,FALSE))^2),"")</f>
        <v>6.4031242374328485</v>
      </c>
      <c r="T7" s="14">
        <f>_xlfn.IFNA(SQRT((VLOOKUP(T$1,DATA!$A$3:$F$301,2,FALSE)-VLOOKUP($A7,DATA!$A$3:$F$301,2,FALSE))^2+(VLOOKUP(T$1,DATA!$A$3:$F$301,3,FALSE)-VLOOKUP($A7,DATA!$A$3:$F$301,3,FALSE))^2),"")</f>
        <v>30.413812651491099</v>
      </c>
      <c r="U7" s="14">
        <f>_xlfn.IFNA(SQRT((VLOOKUP(U$1,DATA!$A$3:$F$301,2,FALSE)-VLOOKUP($A7,DATA!$A$3:$F$301,2,FALSE))^2+(VLOOKUP(U$1,DATA!$A$3:$F$301,3,FALSE)-VLOOKUP($A7,DATA!$A$3:$F$301,3,FALSE))^2),"")</f>
        <v>19.313207915827967</v>
      </c>
      <c r="V7" s="14">
        <f>_xlfn.IFNA(SQRT((VLOOKUP(V$1,DATA!$A$3:$F$301,2,FALSE)-VLOOKUP($A7,DATA!$A$3:$F$301,2,FALSE))^2+(VLOOKUP(V$1,DATA!$A$3:$F$301,3,FALSE)-VLOOKUP($A7,DATA!$A$3:$F$301,3,FALSE))^2),"")</f>
        <v>8.2462112512353212</v>
      </c>
      <c r="W7" s="14">
        <f>_xlfn.IFNA(SQRT((VLOOKUP(W$1,DATA!$A$3:$F$301,2,FALSE)-VLOOKUP($A7,DATA!$A$3:$F$301,2,FALSE))^2+(VLOOKUP(W$1,DATA!$A$3:$F$301,3,FALSE)-VLOOKUP($A7,DATA!$A$3:$F$301,3,FALSE))^2),"")</f>
        <v>16.15549442140351</v>
      </c>
      <c r="X7" s="14">
        <f>_xlfn.IFNA(SQRT((VLOOKUP(X$1,DATA!$A$3:$F$301,2,FALSE)-VLOOKUP($A7,DATA!$A$3:$F$301,2,FALSE))^2+(VLOOKUP(X$1,DATA!$A$3:$F$301,3,FALSE)-VLOOKUP($A7,DATA!$A$3:$F$301,3,FALSE))^2),"")</f>
        <v>20</v>
      </c>
      <c r="Y7" s="14">
        <f>_xlfn.IFNA(SQRT((VLOOKUP(Y$1,DATA!$A$3:$F$301,2,FALSE)-VLOOKUP($A7,DATA!$A$3:$F$301,2,FALSE))^2+(VLOOKUP(Y$1,DATA!$A$3:$F$301,3,FALSE)-VLOOKUP($A7,DATA!$A$3:$F$301,3,FALSE))^2),"")</f>
        <v>12.649110640673518</v>
      </c>
      <c r="Z7" s="14">
        <f>_xlfn.IFNA(SQRT((VLOOKUP(Z$1,DATA!$A$3:$F$301,2,FALSE)-VLOOKUP($A7,DATA!$A$3:$F$301,2,FALSE))^2+(VLOOKUP(Z$1,DATA!$A$3:$F$301,3,FALSE)-VLOOKUP($A7,DATA!$A$3:$F$301,3,FALSE))^2),"")</f>
        <v>24.331050121192877</v>
      </c>
      <c r="AA7" s="14">
        <f>_xlfn.IFNA(SQRT((VLOOKUP(AA$1,DATA!$A$3:$F$301,2,FALSE)-VLOOKUP($A7,DATA!$A$3:$F$301,2,FALSE))^2+(VLOOKUP(AA$1,DATA!$A$3:$F$301,3,FALSE)-VLOOKUP($A7,DATA!$A$3:$F$301,3,FALSE))^2),"")</f>
        <v>16.401219466856727</v>
      </c>
      <c r="AB7" s="14">
        <f>_xlfn.IFNA(SQRT((VLOOKUP(AB$1,DATA!$A$3:$F$301,2,FALSE)-VLOOKUP($A7,DATA!$A$3:$F$301,2,FALSE))^2+(VLOOKUP(AB$1,DATA!$A$3:$F$301,3,FALSE)-VLOOKUP($A7,DATA!$A$3:$F$301,3,FALSE))^2),"")</f>
        <v>32.526911934581186</v>
      </c>
      <c r="AC7" s="14">
        <f>_xlfn.IFNA(SQRT((VLOOKUP(AC$1,DATA!$A$3:$F$301,2,FALSE)-VLOOKUP($A7,DATA!$A$3:$F$301,2,FALSE))^2+(VLOOKUP(AC$1,DATA!$A$3:$F$301,3,FALSE)-VLOOKUP($A7,DATA!$A$3:$F$301,3,FALSE))^2),"")</f>
        <v>24.698178070456937</v>
      </c>
      <c r="AD7" s="14">
        <f>_xlfn.IFNA(SQRT((VLOOKUP(AD$1,DATA!$A$3:$F$301,2,FALSE)-VLOOKUP($A7,DATA!$A$3:$F$301,2,FALSE))^2+(VLOOKUP(AD$1,DATA!$A$3:$F$301,3,FALSE)-VLOOKUP($A7,DATA!$A$3:$F$301,3,FALSE))^2),"")</f>
        <v>21.470910553583888</v>
      </c>
      <c r="AE7" s="14">
        <f>_xlfn.IFNA(SQRT((VLOOKUP(AE$1,DATA!$A$3:$F$301,2,FALSE)-VLOOKUP($A7,DATA!$A$3:$F$301,2,FALSE))^2+(VLOOKUP(AE$1,DATA!$A$3:$F$301,3,FALSE)-VLOOKUP($A7,DATA!$A$3:$F$301,3,FALSE))^2),"")</f>
        <v>38.897300677553446</v>
      </c>
      <c r="AF7" s="14">
        <f>_xlfn.IFNA(SQRT((VLOOKUP(AF$1,DATA!$A$3:$F$301,2,FALSE)-VLOOKUP($A7,DATA!$A$3:$F$301,2,FALSE))^2+(VLOOKUP(AF$1,DATA!$A$3:$F$301,3,FALSE)-VLOOKUP($A7,DATA!$A$3:$F$301,3,FALSE))^2),"")</f>
        <v>18.027756377319946</v>
      </c>
      <c r="AG7" s="14">
        <f>_xlfn.IFNA(SQRT((VLOOKUP(AG$1,DATA!$A$3:$F$301,2,FALSE)-VLOOKUP($A7,DATA!$A$3:$F$301,2,FALSE))^2+(VLOOKUP(AG$1,DATA!$A$3:$F$301,3,FALSE)-VLOOKUP($A7,DATA!$A$3:$F$301,3,FALSE))^2),"")</f>
        <v>23.706539182259394</v>
      </c>
      <c r="AH7" s="14">
        <f>_xlfn.IFNA(SQRT((VLOOKUP(AH$1,DATA!$A$3:$F$301,2,FALSE)-VLOOKUP($A7,DATA!$A$3:$F$301,2,FALSE))^2+(VLOOKUP(AH$1,DATA!$A$3:$F$301,3,FALSE)-VLOOKUP($A7,DATA!$A$3:$F$301,3,FALSE))^2),"")</f>
        <v>8</v>
      </c>
      <c r="AI7" s="14">
        <f>_xlfn.IFNA(SQRT((VLOOKUP(AI$1,DATA!$A$3:$F$301,2,FALSE)-VLOOKUP($A7,DATA!$A$3:$F$301,2,FALSE))^2+(VLOOKUP(AI$1,DATA!$A$3:$F$301,3,FALSE)-VLOOKUP($A7,DATA!$A$3:$F$301,3,FALSE))^2),"")</f>
        <v>23.53720459187964</v>
      </c>
      <c r="AJ7" s="14">
        <f>_xlfn.IFNA(SQRT((VLOOKUP(AJ$1,DATA!$A$3:$F$301,2,FALSE)-VLOOKUP($A7,DATA!$A$3:$F$301,2,FALSE))^2+(VLOOKUP(AJ$1,DATA!$A$3:$F$301,3,FALSE)-VLOOKUP($A7,DATA!$A$3:$F$301,3,FALSE))^2),"")</f>
        <v>9.4868329805051381</v>
      </c>
      <c r="AK7" s="14">
        <f>_xlfn.IFNA(SQRT((VLOOKUP(AK$1,DATA!$A$3:$F$301,2,FALSE)-VLOOKUP($A7,DATA!$A$3:$F$301,2,FALSE))^2+(VLOOKUP(AK$1,DATA!$A$3:$F$301,3,FALSE)-VLOOKUP($A7,DATA!$A$3:$F$301,3,FALSE))^2),"")</f>
        <v>15.231546211727817</v>
      </c>
      <c r="AL7" s="14">
        <f>_xlfn.IFNA(SQRT((VLOOKUP(AL$1,DATA!$A$3:$F$301,2,FALSE)-VLOOKUP($A7,DATA!$A$3:$F$301,2,FALSE))^2+(VLOOKUP(AL$1,DATA!$A$3:$F$301,3,FALSE)-VLOOKUP($A7,DATA!$A$3:$F$301,3,FALSE))^2),"")</f>
        <v>23.021728866442675</v>
      </c>
      <c r="AM7" s="14">
        <f>_xlfn.IFNA(SQRT((VLOOKUP(AM$1,DATA!$A$3:$F$301,2,FALSE)-VLOOKUP($A7,DATA!$A$3:$F$301,2,FALSE))^2+(VLOOKUP(AM$1,DATA!$A$3:$F$301,3,FALSE)-VLOOKUP($A7,DATA!$A$3:$F$301,3,FALSE))^2),"")</f>
        <v>20.615528128088304</v>
      </c>
      <c r="AN7" s="14">
        <f>_xlfn.IFNA(SQRT((VLOOKUP(AN$1,DATA!$A$3:$F$301,2,FALSE)-VLOOKUP($A7,DATA!$A$3:$F$301,2,FALSE))^2+(VLOOKUP(AN$1,DATA!$A$3:$F$301,3,FALSE)-VLOOKUP($A7,DATA!$A$3:$F$301,3,FALSE))^2),"")</f>
        <v>22.360679774997898</v>
      </c>
      <c r="AO7" s="14">
        <f>_xlfn.IFNA(SQRT((VLOOKUP(AO$1,DATA!$A$3:$F$301,2,FALSE)-VLOOKUP($A7,DATA!$A$3:$F$301,2,FALSE))^2+(VLOOKUP(AO$1,DATA!$A$3:$F$301,3,FALSE)-VLOOKUP($A7,DATA!$A$3:$F$301,3,FALSE))^2),"")</f>
        <v>14.866068747318506</v>
      </c>
      <c r="AP7" s="14" t="str">
        <f>_xlfn.IFNA(SQRT((VLOOKUP(AP$1,DATA!$A$3:$F$301,2,FALSE)-VLOOKUP($A7,DATA!$A$3:$F$301,2,FALSE))^2+(VLOOKUP(AP$1,DATA!$A$3:$F$301,3,FALSE)-VLOOKUP($A7,DATA!$A$3:$F$301,3,FALSE))^2),"")</f>
        <v/>
      </c>
      <c r="AQ7" s="14" t="str">
        <f>_xlfn.IFNA(SQRT((VLOOKUP(AQ$1,DATA!$A$3:$F$301,2,FALSE)-VLOOKUP($A7,DATA!$A$3:$F$301,2,FALSE))^2+(VLOOKUP(AQ$1,DATA!$A$3:$F$301,3,FALSE)-VLOOKUP($A7,DATA!$A$3:$F$301,3,FALSE))^2),"")</f>
        <v/>
      </c>
      <c r="AR7" s="14" t="str">
        <f>_xlfn.IFNA(SQRT((VLOOKUP(AR$1,DATA!$A$3:$F$301,2,FALSE)-VLOOKUP($A7,DATA!$A$3:$F$301,2,FALSE))^2+(VLOOKUP(AR$1,DATA!$A$3:$F$301,3,FALSE)-VLOOKUP($A7,DATA!$A$3:$F$301,3,FALSE))^2),"")</f>
        <v/>
      </c>
      <c r="AS7" s="14" t="str">
        <f>_xlfn.IFNA(SQRT((VLOOKUP(AS$1,DATA!$A$3:$F$301,2,FALSE)-VLOOKUP($A7,DATA!$A$3:$F$301,2,FALSE))^2+(VLOOKUP(AS$1,DATA!$A$3:$F$301,3,FALSE)-VLOOKUP($A7,DATA!$A$3:$F$301,3,FALSE))^2),"")</f>
        <v/>
      </c>
      <c r="AT7" s="14" t="str">
        <f>_xlfn.IFNA(SQRT((VLOOKUP(AT$1,DATA!$A$3:$F$301,2,FALSE)-VLOOKUP($A7,DATA!$A$3:$F$301,2,FALSE))^2+(VLOOKUP(AT$1,DATA!$A$3:$F$301,3,FALSE)-VLOOKUP($A7,DATA!$A$3:$F$301,3,FALSE))^2),"")</f>
        <v/>
      </c>
      <c r="AU7" s="14" t="str">
        <f>_xlfn.IFNA(SQRT((VLOOKUP(AU$1,DATA!$A$3:$F$301,2,FALSE)-VLOOKUP($A7,DATA!$A$3:$F$301,2,FALSE))^2+(VLOOKUP(AU$1,DATA!$A$3:$F$301,3,FALSE)-VLOOKUP($A7,DATA!$A$3:$F$301,3,FALSE))^2),"")</f>
        <v/>
      </c>
      <c r="AV7" s="14" t="str">
        <f>_xlfn.IFNA(SQRT((VLOOKUP(AV$1,DATA!$A$3:$F$301,2,FALSE)-VLOOKUP($A7,DATA!$A$3:$F$301,2,FALSE))^2+(VLOOKUP(AV$1,DATA!$A$3:$F$301,3,FALSE)-VLOOKUP($A7,DATA!$A$3:$F$301,3,FALSE))^2),"")</f>
        <v/>
      </c>
      <c r="AW7" s="14" t="str">
        <f>_xlfn.IFNA(SQRT((VLOOKUP(AW$1,DATA!$A$3:$F$301,2,FALSE)-VLOOKUP($A7,DATA!$A$3:$F$301,2,FALSE))^2+(VLOOKUP(AW$1,DATA!$A$3:$F$301,3,FALSE)-VLOOKUP($A7,DATA!$A$3:$F$301,3,FALSE))^2),"")</f>
        <v/>
      </c>
      <c r="AX7" s="14" t="str">
        <f>_xlfn.IFNA(SQRT((VLOOKUP(AX$1,DATA!$A$3:$F$301,2,FALSE)-VLOOKUP($A7,DATA!$A$3:$F$301,2,FALSE))^2+(VLOOKUP(AX$1,DATA!$A$3:$F$301,3,FALSE)-VLOOKUP($A7,DATA!$A$3:$F$301,3,FALSE))^2),"")</f>
        <v/>
      </c>
      <c r="AY7" s="14" t="str">
        <f>_xlfn.IFNA(SQRT((VLOOKUP(AY$1,DATA!$A$3:$F$301,2,FALSE)-VLOOKUP($A7,DATA!$A$3:$F$301,2,FALSE))^2+(VLOOKUP(AY$1,DATA!$A$3:$F$301,3,FALSE)-VLOOKUP($A7,DATA!$A$3:$F$301,3,FALSE))^2),"")</f>
        <v/>
      </c>
      <c r="AZ7" s="14" t="str">
        <f>_xlfn.IFNA(SQRT((VLOOKUP(AZ$1,DATA!$A$3:$F$301,2,FALSE)-VLOOKUP($A7,DATA!$A$3:$F$301,2,FALSE))^2+(VLOOKUP(AZ$1,DATA!$A$3:$F$301,3,FALSE)-VLOOKUP($A7,DATA!$A$3:$F$301,3,FALSE))^2),"")</f>
        <v/>
      </c>
      <c r="BA7" s="14" t="str">
        <f>_xlfn.IFNA(SQRT((VLOOKUP(BA$1,DATA!$A$3:$F$301,2,FALSE)-VLOOKUP($A7,DATA!$A$3:$F$301,2,FALSE))^2+(VLOOKUP(BA$1,DATA!$A$3:$F$301,3,FALSE)-VLOOKUP($A7,DATA!$A$3:$F$301,3,FALSE))^2),"")</f>
        <v/>
      </c>
      <c r="BB7" s="14" t="str">
        <f>_xlfn.IFNA(SQRT((VLOOKUP(BB$1,DATA!$A$3:$F$301,2,FALSE)-VLOOKUP($A7,DATA!$A$3:$F$301,2,FALSE))^2+(VLOOKUP(BB$1,DATA!$A$3:$F$301,3,FALSE)-VLOOKUP($A7,DATA!$A$3:$F$301,3,FALSE))^2),"")</f>
        <v/>
      </c>
      <c r="BC7" s="14" t="str">
        <f>_xlfn.IFNA(SQRT((VLOOKUP(BC$1,DATA!$A$3:$F$301,2,FALSE)-VLOOKUP($A7,DATA!$A$3:$F$301,2,FALSE))^2+(VLOOKUP(BC$1,DATA!$A$3:$F$301,3,FALSE)-VLOOKUP($A7,DATA!$A$3:$F$301,3,FALSE))^2),"")</f>
        <v/>
      </c>
      <c r="BD7" s="14" t="str">
        <f>_xlfn.IFNA(SQRT((VLOOKUP(BD$1,DATA!$A$3:$F$301,2,FALSE)-VLOOKUP($A7,DATA!$A$3:$F$301,2,FALSE))^2+(VLOOKUP(BD$1,DATA!$A$3:$F$301,3,FALSE)-VLOOKUP($A7,DATA!$A$3:$F$301,3,FALSE))^2),"")</f>
        <v/>
      </c>
      <c r="BE7" s="14" t="str">
        <f>_xlfn.IFNA(SQRT((VLOOKUP(BE$1,DATA!$A$3:$F$301,2,FALSE)-VLOOKUP($A7,DATA!$A$3:$F$301,2,FALSE))^2+(VLOOKUP(BE$1,DATA!$A$3:$F$301,3,FALSE)-VLOOKUP($A7,DATA!$A$3:$F$301,3,FALSE))^2),"")</f>
        <v/>
      </c>
      <c r="BF7" s="14" t="str">
        <f>_xlfn.IFNA(SQRT((VLOOKUP(BF$1,DATA!$A$3:$F$301,2,FALSE)-VLOOKUP($A7,DATA!$A$3:$F$301,2,FALSE))^2+(VLOOKUP(BF$1,DATA!$A$3:$F$301,3,FALSE)-VLOOKUP($A7,DATA!$A$3:$F$301,3,FALSE))^2),"")</f>
        <v/>
      </c>
      <c r="BG7" s="14" t="str">
        <f>_xlfn.IFNA(SQRT((VLOOKUP(BG$1,DATA!$A$3:$F$301,2,FALSE)-VLOOKUP($A7,DATA!$A$3:$F$301,2,FALSE))^2+(VLOOKUP(BG$1,DATA!$A$3:$F$301,3,FALSE)-VLOOKUP($A7,DATA!$A$3:$F$301,3,FALSE))^2),"")</f>
        <v/>
      </c>
      <c r="BH7" s="14" t="str">
        <f>_xlfn.IFNA(SQRT((VLOOKUP(BH$1,DATA!$A$3:$F$301,2,FALSE)-VLOOKUP($A7,DATA!$A$3:$F$301,2,FALSE))^2+(VLOOKUP(BH$1,DATA!$A$3:$F$301,3,FALSE)-VLOOKUP($A7,DATA!$A$3:$F$301,3,FALSE))^2),"")</f>
        <v/>
      </c>
      <c r="BI7" s="14" t="str">
        <f>_xlfn.IFNA(SQRT((VLOOKUP(BI$1,DATA!$A$3:$F$301,2,FALSE)-VLOOKUP($A7,DATA!$A$3:$F$301,2,FALSE))^2+(VLOOKUP(BI$1,DATA!$A$3:$F$301,3,FALSE)-VLOOKUP($A7,DATA!$A$3:$F$301,3,FALSE))^2),"")</f>
        <v/>
      </c>
      <c r="BJ7" s="14" t="str">
        <f>_xlfn.IFNA(SQRT((VLOOKUP(BJ$1,DATA!$A$3:$F$301,2,FALSE)-VLOOKUP($A7,DATA!$A$3:$F$301,2,FALSE))^2+(VLOOKUP(BJ$1,DATA!$A$3:$F$301,3,FALSE)-VLOOKUP($A7,DATA!$A$3:$F$301,3,FALSE))^2),"")</f>
        <v/>
      </c>
      <c r="BK7" s="14" t="str">
        <f>_xlfn.IFNA(SQRT((VLOOKUP(BK$1,DATA!$A$3:$F$301,2,FALSE)-VLOOKUP($A7,DATA!$A$3:$F$301,2,FALSE))^2+(VLOOKUP(BK$1,DATA!$A$3:$F$301,3,FALSE)-VLOOKUP($A7,DATA!$A$3:$F$301,3,FALSE))^2),"")</f>
        <v/>
      </c>
      <c r="BL7" s="14" t="str">
        <f>_xlfn.IFNA(SQRT((VLOOKUP(BL$1,DATA!$A$3:$F$301,2,FALSE)-VLOOKUP($A7,DATA!$A$3:$F$301,2,FALSE))^2+(VLOOKUP(BL$1,DATA!$A$3:$F$301,3,FALSE)-VLOOKUP($A7,DATA!$A$3:$F$301,3,FALSE))^2),"")</f>
        <v/>
      </c>
      <c r="BM7" s="14" t="str">
        <f>_xlfn.IFNA(SQRT((VLOOKUP(BM$1,DATA!$A$3:$F$301,2,FALSE)-VLOOKUP($A7,DATA!$A$3:$F$301,2,FALSE))^2+(VLOOKUP(BM$1,DATA!$A$3:$F$301,3,FALSE)-VLOOKUP($A7,DATA!$A$3:$F$301,3,FALSE))^2),"")</f>
        <v/>
      </c>
      <c r="BN7" s="14" t="str">
        <f>_xlfn.IFNA(SQRT((VLOOKUP(BN$1,DATA!$A$3:$F$301,2,FALSE)-VLOOKUP($A7,DATA!$A$3:$F$301,2,FALSE))^2+(VLOOKUP(BN$1,DATA!$A$3:$F$301,3,FALSE)-VLOOKUP($A7,DATA!$A$3:$F$301,3,FALSE))^2),"")</f>
        <v/>
      </c>
      <c r="BO7" s="14" t="str">
        <f>_xlfn.IFNA(SQRT((VLOOKUP(BO$1,DATA!$A$3:$F$301,2,FALSE)-VLOOKUP($A7,DATA!$A$3:$F$301,2,FALSE))^2+(VLOOKUP(BO$1,DATA!$A$3:$F$301,3,FALSE)-VLOOKUP($A7,DATA!$A$3:$F$301,3,FALSE))^2),"")</f>
        <v/>
      </c>
      <c r="BP7" s="14" t="str">
        <f>_xlfn.IFNA(SQRT((VLOOKUP(BP$1,DATA!$A$3:$F$301,2,FALSE)-VLOOKUP($A7,DATA!$A$3:$F$301,2,FALSE))^2+(VLOOKUP(BP$1,DATA!$A$3:$F$301,3,FALSE)-VLOOKUP($A7,DATA!$A$3:$F$301,3,FALSE))^2),"")</f>
        <v/>
      </c>
      <c r="BQ7" s="14" t="str">
        <f>_xlfn.IFNA(SQRT((VLOOKUP(BQ$1,DATA!$A$3:$F$301,2,FALSE)-VLOOKUP($A7,DATA!$A$3:$F$301,2,FALSE))^2+(VLOOKUP(BQ$1,DATA!$A$3:$F$301,3,FALSE)-VLOOKUP($A7,DATA!$A$3:$F$301,3,FALSE))^2),"")</f>
        <v/>
      </c>
      <c r="BR7" s="14" t="str">
        <f>_xlfn.IFNA(SQRT((VLOOKUP(BR$1,DATA!$A$3:$F$301,2,FALSE)-VLOOKUP($A7,DATA!$A$3:$F$301,2,FALSE))^2+(VLOOKUP(BR$1,DATA!$A$3:$F$301,3,FALSE)-VLOOKUP($A7,DATA!$A$3:$F$301,3,FALSE))^2),"")</f>
        <v/>
      </c>
      <c r="BS7" s="14" t="str">
        <f>_xlfn.IFNA(SQRT((VLOOKUP(BS$1,DATA!$A$3:$F$301,2,FALSE)-VLOOKUP($A7,DATA!$A$3:$F$301,2,FALSE))^2+(VLOOKUP(BS$1,DATA!$A$3:$F$301,3,FALSE)-VLOOKUP($A7,DATA!$A$3:$F$301,3,FALSE))^2),"")</f>
        <v/>
      </c>
      <c r="BT7" s="14" t="str">
        <f>_xlfn.IFNA(SQRT((VLOOKUP(BT$1,DATA!$A$3:$F$301,2,FALSE)-VLOOKUP($A7,DATA!$A$3:$F$301,2,FALSE))^2+(VLOOKUP(BT$1,DATA!$A$3:$F$301,3,FALSE)-VLOOKUP($A7,DATA!$A$3:$F$301,3,FALSE))^2),"")</f>
        <v/>
      </c>
      <c r="BU7" s="14" t="str">
        <f>_xlfn.IFNA(SQRT((VLOOKUP(BU$1,DATA!$A$3:$F$301,2,FALSE)-VLOOKUP($A7,DATA!$A$3:$F$301,2,FALSE))^2+(VLOOKUP(BU$1,DATA!$A$3:$F$301,3,FALSE)-VLOOKUP($A7,DATA!$A$3:$F$301,3,FALSE))^2),"")</f>
        <v/>
      </c>
      <c r="BV7" s="14" t="str">
        <f>_xlfn.IFNA(SQRT((VLOOKUP(BV$1,DATA!$A$3:$F$301,2,FALSE)-VLOOKUP($A7,DATA!$A$3:$F$301,2,FALSE))^2+(VLOOKUP(BV$1,DATA!$A$3:$F$301,3,FALSE)-VLOOKUP($A7,DATA!$A$3:$F$301,3,FALSE))^2),"")</f>
        <v/>
      </c>
      <c r="BW7" s="14" t="str">
        <f>_xlfn.IFNA(SQRT((VLOOKUP(BW$1,DATA!$A$3:$F$301,2,FALSE)-VLOOKUP($A7,DATA!$A$3:$F$301,2,FALSE))^2+(VLOOKUP(BW$1,DATA!$A$3:$F$301,3,FALSE)-VLOOKUP($A7,DATA!$A$3:$F$301,3,FALSE))^2),"")</f>
        <v/>
      </c>
      <c r="BX7" s="14" t="str">
        <f>_xlfn.IFNA(SQRT((VLOOKUP(BX$1,DATA!$A$3:$F$301,2,FALSE)-VLOOKUP($A7,DATA!$A$3:$F$301,2,FALSE))^2+(VLOOKUP(BX$1,DATA!$A$3:$F$301,3,FALSE)-VLOOKUP($A7,DATA!$A$3:$F$301,3,FALSE))^2),"")</f>
        <v/>
      </c>
      <c r="BY7" s="14" t="str">
        <f>_xlfn.IFNA(SQRT((VLOOKUP(BY$1,DATA!$A$3:$F$301,2,FALSE)-VLOOKUP($A7,DATA!$A$3:$F$301,2,FALSE))^2+(VLOOKUP(BY$1,DATA!$A$3:$F$301,3,FALSE)-VLOOKUP($A7,DATA!$A$3:$F$301,3,FALSE))^2),"")</f>
        <v/>
      </c>
      <c r="BZ7" s="14" t="str">
        <f>_xlfn.IFNA(SQRT((VLOOKUP(BZ$1,DATA!$A$3:$F$301,2,FALSE)-VLOOKUP($A7,DATA!$A$3:$F$301,2,FALSE))^2+(VLOOKUP(BZ$1,DATA!$A$3:$F$301,3,FALSE)-VLOOKUP($A7,DATA!$A$3:$F$301,3,FALSE))^2),"")</f>
        <v/>
      </c>
      <c r="CA7" s="14" t="str">
        <f>_xlfn.IFNA(SQRT((VLOOKUP(CA$1,DATA!$A$3:$F$301,2,FALSE)-VLOOKUP($A7,DATA!$A$3:$F$301,2,FALSE))^2+(VLOOKUP(CA$1,DATA!$A$3:$F$301,3,FALSE)-VLOOKUP($A7,DATA!$A$3:$F$301,3,FALSE))^2),"")</f>
        <v/>
      </c>
      <c r="CB7" s="14" t="str">
        <f>_xlfn.IFNA(SQRT((VLOOKUP(CB$1,DATA!$A$3:$F$301,2,FALSE)-VLOOKUP($A7,DATA!$A$3:$F$301,2,FALSE))^2+(VLOOKUP(CB$1,DATA!$A$3:$F$301,3,FALSE)-VLOOKUP($A7,DATA!$A$3:$F$301,3,FALSE))^2),"")</f>
        <v/>
      </c>
      <c r="CC7" s="14" t="str">
        <f>_xlfn.IFNA(SQRT((VLOOKUP(CC$1,DATA!$A$3:$F$301,2,FALSE)-VLOOKUP($A7,DATA!$A$3:$F$301,2,FALSE))^2+(VLOOKUP(CC$1,DATA!$A$3:$F$301,3,FALSE)-VLOOKUP($A7,DATA!$A$3:$F$301,3,FALSE))^2),"")</f>
        <v/>
      </c>
      <c r="CD7" s="14" t="str">
        <f>_xlfn.IFNA(SQRT((VLOOKUP(CD$1,DATA!$A$3:$F$301,2,FALSE)-VLOOKUP($A7,DATA!$A$3:$F$301,2,FALSE))^2+(VLOOKUP(CD$1,DATA!$A$3:$F$301,3,FALSE)-VLOOKUP($A7,DATA!$A$3:$F$301,3,FALSE))^2),"")</f>
        <v/>
      </c>
      <c r="CE7" s="14" t="str">
        <f>_xlfn.IFNA(SQRT((VLOOKUP(CE$1,DATA!$A$3:$F$301,2,FALSE)-VLOOKUP($A7,DATA!$A$3:$F$301,2,FALSE))^2+(VLOOKUP(CE$1,DATA!$A$3:$F$301,3,FALSE)-VLOOKUP($A7,DATA!$A$3:$F$301,3,FALSE))^2),"")</f>
        <v/>
      </c>
      <c r="CF7" s="14" t="str">
        <f>_xlfn.IFNA(SQRT((VLOOKUP(CF$1,DATA!$A$3:$F$301,2,FALSE)-VLOOKUP($A7,DATA!$A$3:$F$301,2,FALSE))^2+(VLOOKUP(CF$1,DATA!$A$3:$F$301,3,FALSE)-VLOOKUP($A7,DATA!$A$3:$F$301,3,FALSE))^2),"")</f>
        <v/>
      </c>
      <c r="CG7" s="14" t="str">
        <f>_xlfn.IFNA(SQRT((VLOOKUP(CG$1,DATA!$A$3:$F$301,2,FALSE)-VLOOKUP($A7,DATA!$A$3:$F$301,2,FALSE))^2+(VLOOKUP(CG$1,DATA!$A$3:$F$301,3,FALSE)-VLOOKUP($A7,DATA!$A$3:$F$301,3,FALSE))^2),"")</f>
        <v/>
      </c>
      <c r="CH7" s="14" t="str">
        <f>_xlfn.IFNA(SQRT((VLOOKUP(CH$1,DATA!$A$3:$F$301,2,FALSE)-VLOOKUP($A7,DATA!$A$3:$F$301,2,FALSE))^2+(VLOOKUP(CH$1,DATA!$A$3:$F$301,3,FALSE)-VLOOKUP($A7,DATA!$A$3:$F$301,3,FALSE))^2),"")</f>
        <v/>
      </c>
      <c r="CI7" s="14" t="str">
        <f>_xlfn.IFNA(SQRT((VLOOKUP(CI$1,DATA!$A$3:$F$301,2,FALSE)-VLOOKUP($A7,DATA!$A$3:$F$301,2,FALSE))^2+(VLOOKUP(CI$1,DATA!$A$3:$F$301,3,FALSE)-VLOOKUP($A7,DATA!$A$3:$F$301,3,FALSE))^2),"")</f>
        <v/>
      </c>
      <c r="CJ7" s="14" t="str">
        <f>_xlfn.IFNA(SQRT((VLOOKUP(CJ$1,DATA!$A$3:$F$301,2,FALSE)-VLOOKUP($A7,DATA!$A$3:$F$301,2,FALSE))^2+(VLOOKUP(CJ$1,DATA!$A$3:$F$301,3,FALSE)-VLOOKUP($A7,DATA!$A$3:$F$301,3,FALSE))^2),"")</f>
        <v/>
      </c>
      <c r="CK7" s="14" t="str">
        <f>_xlfn.IFNA(SQRT((VLOOKUP(CK$1,DATA!$A$3:$F$301,2,FALSE)-VLOOKUP($A7,DATA!$A$3:$F$301,2,FALSE))^2+(VLOOKUP(CK$1,DATA!$A$3:$F$301,3,FALSE)-VLOOKUP($A7,DATA!$A$3:$F$301,3,FALSE))^2),"")</f>
        <v/>
      </c>
      <c r="CL7" s="14" t="str">
        <f>_xlfn.IFNA(SQRT((VLOOKUP(CL$1,DATA!$A$3:$F$301,2,FALSE)-VLOOKUP($A7,DATA!$A$3:$F$301,2,FALSE))^2+(VLOOKUP(CL$1,DATA!$A$3:$F$301,3,FALSE)-VLOOKUP($A7,DATA!$A$3:$F$301,3,FALSE))^2),"")</f>
        <v/>
      </c>
      <c r="CM7" s="14" t="str">
        <f>_xlfn.IFNA(SQRT((VLOOKUP(CM$1,DATA!$A$3:$F$301,2,FALSE)-VLOOKUP($A7,DATA!$A$3:$F$301,2,FALSE))^2+(VLOOKUP(CM$1,DATA!$A$3:$F$301,3,FALSE)-VLOOKUP($A7,DATA!$A$3:$F$301,3,FALSE))^2),"")</f>
        <v/>
      </c>
      <c r="CN7" s="14" t="str">
        <f>_xlfn.IFNA(SQRT((VLOOKUP(CN$1,DATA!$A$3:$F$301,2,FALSE)-VLOOKUP($A7,DATA!$A$3:$F$301,2,FALSE))^2+(VLOOKUP(CN$1,DATA!$A$3:$F$301,3,FALSE)-VLOOKUP($A7,DATA!$A$3:$F$301,3,FALSE))^2),"")</f>
        <v/>
      </c>
      <c r="CO7" s="14" t="str">
        <f>_xlfn.IFNA(SQRT((VLOOKUP(CO$1,DATA!$A$3:$F$301,2,FALSE)-VLOOKUP($A7,DATA!$A$3:$F$301,2,FALSE))^2+(VLOOKUP(CO$1,DATA!$A$3:$F$301,3,FALSE)-VLOOKUP($A7,DATA!$A$3:$F$301,3,FALSE))^2),"")</f>
        <v/>
      </c>
      <c r="CP7" s="14" t="str">
        <f>_xlfn.IFNA(SQRT((VLOOKUP(CP$1,DATA!$A$3:$F$301,2,FALSE)-VLOOKUP($A7,DATA!$A$3:$F$301,2,FALSE))^2+(VLOOKUP(CP$1,DATA!$A$3:$F$301,3,FALSE)-VLOOKUP($A7,DATA!$A$3:$F$301,3,FALSE))^2),"")</f>
        <v/>
      </c>
      <c r="CQ7" s="14" t="str">
        <f>_xlfn.IFNA(SQRT((VLOOKUP(CQ$1,DATA!$A$3:$F$301,2,FALSE)-VLOOKUP($A7,DATA!$A$3:$F$301,2,FALSE))^2+(VLOOKUP(CQ$1,DATA!$A$3:$F$301,3,FALSE)-VLOOKUP($A7,DATA!$A$3:$F$301,3,FALSE))^2),"")</f>
        <v/>
      </c>
      <c r="CR7" s="14" t="str">
        <f>_xlfn.IFNA(SQRT((VLOOKUP(CR$1,DATA!$A$3:$F$301,2,FALSE)-VLOOKUP($A7,DATA!$A$3:$F$301,2,FALSE))^2+(VLOOKUP(CR$1,DATA!$A$3:$F$301,3,FALSE)-VLOOKUP($A7,DATA!$A$3:$F$301,3,FALSE))^2),"")</f>
        <v/>
      </c>
      <c r="CS7" s="14" t="str">
        <f>_xlfn.IFNA(SQRT((VLOOKUP(CS$1,DATA!$A$3:$F$301,2,FALSE)-VLOOKUP($A7,DATA!$A$3:$F$301,2,FALSE))^2+(VLOOKUP(CS$1,DATA!$A$3:$F$301,3,FALSE)-VLOOKUP($A7,DATA!$A$3:$F$301,3,FALSE))^2),"")</f>
        <v/>
      </c>
      <c r="CT7" s="14" t="str">
        <f>_xlfn.IFNA(SQRT((VLOOKUP(CT$1,DATA!$A$3:$F$301,2,FALSE)-VLOOKUP($A7,DATA!$A$3:$F$301,2,FALSE))^2+(VLOOKUP(CT$1,DATA!$A$3:$F$301,3,FALSE)-VLOOKUP($A7,DATA!$A$3:$F$301,3,FALSE))^2),"")</f>
        <v/>
      </c>
      <c r="CU7" s="14" t="str">
        <f>_xlfn.IFNA(SQRT((VLOOKUP(CU$1,DATA!$A$3:$F$301,2,FALSE)-VLOOKUP($A7,DATA!$A$3:$F$301,2,FALSE))^2+(VLOOKUP(CU$1,DATA!$A$3:$F$301,3,FALSE)-VLOOKUP($A7,DATA!$A$3:$F$301,3,FALSE))^2),"")</f>
        <v/>
      </c>
      <c r="CV7" s="14" t="str">
        <f>_xlfn.IFNA(SQRT((VLOOKUP(CV$1,DATA!$A$3:$F$301,2,FALSE)-VLOOKUP($A7,DATA!$A$3:$F$301,2,FALSE))^2+(VLOOKUP(CV$1,DATA!$A$3:$F$301,3,FALSE)-VLOOKUP($A7,DATA!$A$3:$F$301,3,FALSE))^2),"")</f>
        <v/>
      </c>
      <c r="CW7" s="14" t="str">
        <f>_xlfn.IFNA(SQRT((VLOOKUP(CW$1,DATA!$A$3:$F$301,2,FALSE)-VLOOKUP($A7,DATA!$A$3:$F$301,2,FALSE))^2+(VLOOKUP(CW$1,DATA!$A$3:$F$301,3,FALSE)-VLOOKUP($A7,DATA!$A$3:$F$301,3,FALSE))^2),"")</f>
        <v/>
      </c>
      <c r="CX7" s="14" t="str">
        <f>_xlfn.IFNA(SQRT((VLOOKUP(CX$1,DATA!$A$3:$F$301,2,FALSE)-VLOOKUP($A7,DATA!$A$3:$F$301,2,FALSE))^2+(VLOOKUP(CX$1,DATA!$A$3:$F$301,3,FALSE)-VLOOKUP($A7,DATA!$A$3:$F$301,3,FALSE))^2),"")</f>
        <v/>
      </c>
    </row>
    <row r="8" spans="1:102">
      <c r="A8" s="13">
        <v>7</v>
      </c>
      <c r="B8" s="14">
        <f>_xlfn.IFNA(SQRT((VLOOKUP(B$1,DATA!$A$3:$F$301,2,FALSE)-VLOOKUP($A8,DATA!$A$3:$F$301,2,FALSE))^2+(VLOOKUP(B$1,DATA!$A$3:$F$301,3,FALSE)-VLOOKUP($A8,DATA!$A$3:$F$301,3,FALSE))^2),"")</f>
        <v>30.016662039607269</v>
      </c>
      <c r="C8" s="14">
        <f>_xlfn.IFNA(SQRT((VLOOKUP(C$1,DATA!$A$3:$F$301,2,FALSE)-VLOOKUP($A8,DATA!$A$3:$F$301,2,FALSE))^2+(VLOOKUP(C$1,DATA!$A$3:$F$301,3,FALSE)-VLOOKUP($A8,DATA!$A$3:$F$301,3,FALSE))^2),"")</f>
        <v>35.057096285916209</v>
      </c>
      <c r="D8" s="14">
        <f>_xlfn.IFNA(SQRT((VLOOKUP(D$1,DATA!$A$3:$F$301,2,FALSE)-VLOOKUP($A8,DATA!$A$3:$F$301,2,FALSE))^2+(VLOOKUP(D$1,DATA!$A$3:$F$301,3,FALSE)-VLOOKUP($A8,DATA!$A$3:$F$301,3,FALSE))^2),"")</f>
        <v>31.953090617340916</v>
      </c>
      <c r="E8" s="14">
        <f>_xlfn.IFNA(SQRT((VLOOKUP(E$1,DATA!$A$3:$F$301,2,FALSE)-VLOOKUP($A8,DATA!$A$3:$F$301,2,FALSE))^2+(VLOOKUP(E$1,DATA!$A$3:$F$301,3,FALSE)-VLOOKUP($A8,DATA!$A$3:$F$301,3,FALSE))^2),"")</f>
        <v>26.305892875931811</v>
      </c>
      <c r="F8" s="14">
        <f>_xlfn.IFNA(SQRT((VLOOKUP(F$1,DATA!$A$3:$F$301,2,FALSE)-VLOOKUP($A8,DATA!$A$3:$F$301,2,FALSE))^2+(VLOOKUP(F$1,DATA!$A$3:$F$301,3,FALSE)-VLOOKUP($A8,DATA!$A$3:$F$301,3,FALSE))^2),"")</f>
        <v>46.324939287601879</v>
      </c>
      <c r="G8" s="14">
        <f>_xlfn.IFNA(SQRT((VLOOKUP(G$1,DATA!$A$3:$F$301,2,FALSE)-VLOOKUP($A8,DATA!$A$3:$F$301,2,FALSE))^2+(VLOOKUP(G$1,DATA!$A$3:$F$301,3,FALSE)-VLOOKUP($A8,DATA!$A$3:$F$301,3,FALSE))^2),"")</f>
        <v>13.45362404707371</v>
      </c>
      <c r="H8" s="14">
        <f>_xlfn.IFNA(SQRT((VLOOKUP(H$1,DATA!$A$3:$F$301,2,FALSE)-VLOOKUP($A8,DATA!$A$3:$F$301,2,FALSE))^2+(VLOOKUP(H$1,DATA!$A$3:$F$301,3,FALSE)-VLOOKUP($A8,DATA!$A$3:$F$301,3,FALSE))^2),"")</f>
        <v>0</v>
      </c>
      <c r="I8" s="14">
        <f>_xlfn.IFNA(SQRT((VLOOKUP(I$1,DATA!$A$3:$F$301,2,FALSE)-VLOOKUP($A8,DATA!$A$3:$F$301,2,FALSE))^2+(VLOOKUP(I$1,DATA!$A$3:$F$301,3,FALSE)-VLOOKUP($A8,DATA!$A$3:$F$301,3,FALSE))^2),"")</f>
        <v>23.345235059857504</v>
      </c>
      <c r="J8" s="14">
        <f>_xlfn.IFNA(SQRT((VLOOKUP(J$1,DATA!$A$3:$F$301,2,FALSE)-VLOOKUP($A8,DATA!$A$3:$F$301,2,FALSE))^2+(VLOOKUP(J$1,DATA!$A$3:$F$301,3,FALSE)-VLOOKUP($A8,DATA!$A$3:$F$301,3,FALSE))^2),"")</f>
        <v>17.088007490635061</v>
      </c>
      <c r="K8" s="14">
        <f>_xlfn.IFNA(SQRT((VLOOKUP(K$1,DATA!$A$3:$F$301,2,FALSE)-VLOOKUP($A8,DATA!$A$3:$F$301,2,FALSE))^2+(VLOOKUP(K$1,DATA!$A$3:$F$301,3,FALSE)-VLOOKUP($A8,DATA!$A$3:$F$301,3,FALSE))^2),"")</f>
        <v>38.327535793473601</v>
      </c>
      <c r="L8" s="14">
        <f>_xlfn.IFNA(SQRT((VLOOKUP(L$1,DATA!$A$3:$F$301,2,FALSE)-VLOOKUP($A8,DATA!$A$3:$F$301,2,FALSE))^2+(VLOOKUP(L$1,DATA!$A$3:$F$301,3,FALSE)-VLOOKUP($A8,DATA!$A$3:$F$301,3,FALSE))^2),"")</f>
        <v>16.278820596099706</v>
      </c>
      <c r="M8" s="14">
        <f>_xlfn.IFNA(SQRT((VLOOKUP(M$1,DATA!$A$3:$F$301,2,FALSE)-VLOOKUP($A8,DATA!$A$3:$F$301,2,FALSE))^2+(VLOOKUP(M$1,DATA!$A$3:$F$301,3,FALSE)-VLOOKUP($A8,DATA!$A$3:$F$301,3,FALSE))^2),"")</f>
        <v>30.870698080866262</v>
      </c>
      <c r="N8" s="14">
        <f>_xlfn.IFNA(SQRT((VLOOKUP(N$1,DATA!$A$3:$F$301,2,FALSE)-VLOOKUP($A8,DATA!$A$3:$F$301,2,FALSE))^2+(VLOOKUP(N$1,DATA!$A$3:$F$301,3,FALSE)-VLOOKUP($A8,DATA!$A$3:$F$301,3,FALSE))^2),"")</f>
        <v>24.083189157584592</v>
      </c>
      <c r="O8" s="14">
        <f>_xlfn.IFNA(SQRT((VLOOKUP(O$1,DATA!$A$3:$F$301,2,FALSE)-VLOOKUP($A8,DATA!$A$3:$F$301,2,FALSE))^2+(VLOOKUP(O$1,DATA!$A$3:$F$301,3,FALSE)-VLOOKUP($A8,DATA!$A$3:$F$301,3,FALSE))^2),"")</f>
        <v>52.009614495783374</v>
      </c>
      <c r="P8" s="14">
        <f>_xlfn.IFNA(SQRT((VLOOKUP(P$1,DATA!$A$3:$F$301,2,FALSE)-VLOOKUP($A8,DATA!$A$3:$F$301,2,FALSE))^2+(VLOOKUP(P$1,DATA!$A$3:$F$301,3,FALSE)-VLOOKUP($A8,DATA!$A$3:$F$301,3,FALSE))^2),"")</f>
        <v>31</v>
      </c>
      <c r="Q8" s="14">
        <f>_xlfn.IFNA(SQRT((VLOOKUP(Q$1,DATA!$A$3:$F$301,2,FALSE)-VLOOKUP($A8,DATA!$A$3:$F$301,2,FALSE))^2+(VLOOKUP(Q$1,DATA!$A$3:$F$301,3,FALSE)-VLOOKUP($A8,DATA!$A$3:$F$301,3,FALSE))^2),"")</f>
        <v>12.206555615733702</v>
      </c>
      <c r="R8" s="14">
        <f>_xlfn.IFNA(SQRT((VLOOKUP(R$1,DATA!$A$3:$F$301,2,FALSE)-VLOOKUP($A8,DATA!$A$3:$F$301,2,FALSE))^2+(VLOOKUP(R$1,DATA!$A$3:$F$301,3,FALSE)-VLOOKUP($A8,DATA!$A$3:$F$301,3,FALSE))^2),"")</f>
        <v>17.029386365926403</v>
      </c>
      <c r="S8" s="14">
        <f>_xlfn.IFNA(SQRT((VLOOKUP(S$1,DATA!$A$3:$F$301,2,FALSE)-VLOOKUP($A8,DATA!$A$3:$F$301,2,FALSE))^2+(VLOOKUP(S$1,DATA!$A$3:$F$301,3,FALSE)-VLOOKUP($A8,DATA!$A$3:$F$301,3,FALSE))^2),"")</f>
        <v>19.849433241279208</v>
      </c>
      <c r="T8" s="14">
        <f>_xlfn.IFNA(SQRT((VLOOKUP(T$1,DATA!$A$3:$F$301,2,FALSE)-VLOOKUP($A8,DATA!$A$3:$F$301,2,FALSE))^2+(VLOOKUP(T$1,DATA!$A$3:$F$301,3,FALSE)-VLOOKUP($A8,DATA!$A$3:$F$301,3,FALSE))^2),"")</f>
        <v>43.840620433565945</v>
      </c>
      <c r="U8" s="14">
        <f>_xlfn.IFNA(SQRT((VLOOKUP(U$1,DATA!$A$3:$F$301,2,FALSE)-VLOOKUP($A8,DATA!$A$3:$F$301,2,FALSE))^2+(VLOOKUP(U$1,DATA!$A$3:$F$301,3,FALSE)-VLOOKUP($A8,DATA!$A$3:$F$301,3,FALSE))^2),"")</f>
        <v>17.888543819998318</v>
      </c>
      <c r="V8" s="14">
        <f>_xlfn.IFNA(SQRT((VLOOKUP(V$1,DATA!$A$3:$F$301,2,FALSE)-VLOOKUP($A8,DATA!$A$3:$F$301,2,FALSE))^2+(VLOOKUP(V$1,DATA!$A$3:$F$301,3,FALSE)-VLOOKUP($A8,DATA!$A$3:$F$301,3,FALSE))^2),"")</f>
        <v>7.2801098892805181</v>
      </c>
      <c r="W8" s="14">
        <f>_xlfn.IFNA(SQRT((VLOOKUP(W$1,DATA!$A$3:$F$301,2,FALSE)-VLOOKUP($A8,DATA!$A$3:$F$301,2,FALSE))^2+(VLOOKUP(W$1,DATA!$A$3:$F$301,3,FALSE)-VLOOKUP($A8,DATA!$A$3:$F$301,3,FALSE))^2),"")</f>
        <v>5.8309518948453007</v>
      </c>
      <c r="X8" s="14">
        <f>_xlfn.IFNA(SQRT((VLOOKUP(X$1,DATA!$A$3:$F$301,2,FALSE)-VLOOKUP($A8,DATA!$A$3:$F$301,2,FALSE))^2+(VLOOKUP(X$1,DATA!$A$3:$F$301,3,FALSE)-VLOOKUP($A8,DATA!$A$3:$F$301,3,FALSE))^2),"")</f>
        <v>6.7082039324993694</v>
      </c>
      <c r="Y8" s="14">
        <f>_xlfn.IFNA(SQRT((VLOOKUP(Y$1,DATA!$A$3:$F$301,2,FALSE)-VLOOKUP($A8,DATA!$A$3:$F$301,2,FALSE))^2+(VLOOKUP(Y$1,DATA!$A$3:$F$301,3,FALSE)-VLOOKUP($A8,DATA!$A$3:$F$301,3,FALSE))^2),"")</f>
        <v>22.561028345356956</v>
      </c>
      <c r="Z8" s="14">
        <f>_xlfn.IFNA(SQRT((VLOOKUP(Z$1,DATA!$A$3:$F$301,2,FALSE)-VLOOKUP($A8,DATA!$A$3:$F$301,2,FALSE))^2+(VLOOKUP(Z$1,DATA!$A$3:$F$301,3,FALSE)-VLOOKUP($A8,DATA!$A$3:$F$301,3,FALSE))^2),"")</f>
        <v>19.104973174542799</v>
      </c>
      <c r="AA8" s="14">
        <f>_xlfn.IFNA(SQRT((VLOOKUP(AA$1,DATA!$A$3:$F$301,2,FALSE)-VLOOKUP($A8,DATA!$A$3:$F$301,2,FALSE))^2+(VLOOKUP(AA$1,DATA!$A$3:$F$301,3,FALSE)-VLOOKUP($A8,DATA!$A$3:$F$301,3,FALSE))^2),"")</f>
        <v>29.832867780352597</v>
      </c>
      <c r="AB8" s="14">
        <f>_xlfn.IFNA(SQRT((VLOOKUP(AB$1,DATA!$A$3:$F$301,2,FALSE)-VLOOKUP($A8,DATA!$A$3:$F$301,2,FALSE))^2+(VLOOKUP(AB$1,DATA!$A$3:$F$301,3,FALSE)-VLOOKUP($A8,DATA!$A$3:$F$301,3,FALSE))^2),"")</f>
        <v>34.539832078341085</v>
      </c>
      <c r="AC8" s="14">
        <f>_xlfn.IFNA(SQRT((VLOOKUP(AC$1,DATA!$A$3:$F$301,2,FALSE)-VLOOKUP($A8,DATA!$A$3:$F$301,2,FALSE))^2+(VLOOKUP(AC$1,DATA!$A$3:$F$301,3,FALSE)-VLOOKUP($A8,DATA!$A$3:$F$301,3,FALSE))^2),"")</f>
        <v>37.802116342871599</v>
      </c>
      <c r="AD8" s="14">
        <f>_xlfn.IFNA(SQRT((VLOOKUP(AD$1,DATA!$A$3:$F$301,2,FALSE)-VLOOKUP($A8,DATA!$A$3:$F$301,2,FALSE))^2+(VLOOKUP(AD$1,DATA!$A$3:$F$301,3,FALSE)-VLOOKUP($A8,DATA!$A$3:$F$301,3,FALSE))^2),"")</f>
        <v>9.0553851381374173</v>
      </c>
      <c r="AE8" s="14">
        <f>_xlfn.IFNA(SQRT((VLOOKUP(AE$1,DATA!$A$3:$F$301,2,FALSE)-VLOOKUP($A8,DATA!$A$3:$F$301,2,FALSE))^2+(VLOOKUP(AE$1,DATA!$A$3:$F$301,3,FALSE)-VLOOKUP($A8,DATA!$A$3:$F$301,3,FALSE))^2),"")</f>
        <v>50.990195135927848</v>
      </c>
      <c r="AF8" s="14">
        <f>_xlfn.IFNA(SQRT((VLOOKUP(AF$1,DATA!$A$3:$F$301,2,FALSE)-VLOOKUP($A8,DATA!$A$3:$F$301,2,FALSE))^2+(VLOOKUP(AF$1,DATA!$A$3:$F$301,3,FALSE)-VLOOKUP($A8,DATA!$A$3:$F$301,3,FALSE))^2),"")</f>
        <v>12.806248474865697</v>
      </c>
      <c r="AG8" s="14">
        <f>_xlfn.IFNA(SQRT((VLOOKUP(AG$1,DATA!$A$3:$F$301,2,FALSE)-VLOOKUP($A8,DATA!$A$3:$F$301,2,FALSE))^2+(VLOOKUP(AG$1,DATA!$A$3:$F$301,3,FALSE)-VLOOKUP($A8,DATA!$A$3:$F$301,3,FALSE))^2),"")</f>
        <v>36.61966684720111</v>
      </c>
      <c r="AH8" s="14">
        <f>_xlfn.IFNA(SQRT((VLOOKUP(AH$1,DATA!$A$3:$F$301,2,FALSE)-VLOOKUP($A8,DATA!$A$3:$F$301,2,FALSE))^2+(VLOOKUP(AH$1,DATA!$A$3:$F$301,3,FALSE)-VLOOKUP($A8,DATA!$A$3:$F$301,3,FALSE))^2),"")</f>
        <v>19.723082923316021</v>
      </c>
      <c r="AI8" s="14">
        <f>_xlfn.IFNA(SQRT((VLOOKUP(AI$1,DATA!$A$3:$F$301,2,FALSE)-VLOOKUP($A8,DATA!$A$3:$F$301,2,FALSE))^2+(VLOOKUP(AI$1,DATA!$A$3:$F$301,3,FALSE)-VLOOKUP($A8,DATA!$A$3:$F$301,3,FALSE))^2),"")</f>
        <v>19.104973174542799</v>
      </c>
      <c r="AJ8" s="14">
        <f>_xlfn.IFNA(SQRT((VLOOKUP(AJ$1,DATA!$A$3:$F$301,2,FALSE)-VLOOKUP($A8,DATA!$A$3:$F$301,2,FALSE))^2+(VLOOKUP(AJ$1,DATA!$A$3:$F$301,3,FALSE)-VLOOKUP($A8,DATA!$A$3:$F$301,3,FALSE))^2),"")</f>
        <v>7</v>
      </c>
      <c r="AK8" s="14">
        <f>_xlfn.IFNA(SQRT((VLOOKUP(AK$1,DATA!$A$3:$F$301,2,FALSE)-VLOOKUP($A8,DATA!$A$3:$F$301,2,FALSE))^2+(VLOOKUP(AK$1,DATA!$A$3:$F$301,3,FALSE)-VLOOKUP($A8,DATA!$A$3:$F$301,3,FALSE))^2),"")</f>
        <v>28.0178514522438</v>
      </c>
      <c r="AL8" s="14">
        <f>_xlfn.IFNA(SQRT((VLOOKUP(AL$1,DATA!$A$3:$F$301,2,FALSE)-VLOOKUP($A8,DATA!$A$3:$F$301,2,FALSE))^2+(VLOOKUP(AL$1,DATA!$A$3:$F$301,3,FALSE)-VLOOKUP($A8,DATA!$A$3:$F$301,3,FALSE))^2),"")</f>
        <v>33.955853692699293</v>
      </c>
      <c r="AM8" s="14">
        <f>_xlfn.IFNA(SQRT((VLOOKUP(AM$1,DATA!$A$3:$F$301,2,FALSE)-VLOOKUP($A8,DATA!$A$3:$F$301,2,FALSE))^2+(VLOOKUP(AM$1,DATA!$A$3:$F$301,3,FALSE)-VLOOKUP($A8,DATA!$A$3:$F$301,3,FALSE))^2),"")</f>
        <v>34.058772731852805</v>
      </c>
      <c r="AN8" s="14">
        <f>_xlfn.IFNA(SQRT((VLOOKUP(AN$1,DATA!$A$3:$F$301,2,FALSE)-VLOOKUP($A8,DATA!$A$3:$F$301,2,FALSE))^2+(VLOOKUP(AN$1,DATA!$A$3:$F$301,3,FALSE)-VLOOKUP($A8,DATA!$A$3:$F$301,3,FALSE))^2),"")</f>
        <v>10.04987562112089</v>
      </c>
      <c r="AO8" s="14">
        <f>_xlfn.IFNA(SQRT((VLOOKUP(AO$1,DATA!$A$3:$F$301,2,FALSE)-VLOOKUP($A8,DATA!$A$3:$F$301,2,FALSE))^2+(VLOOKUP(AO$1,DATA!$A$3:$F$301,3,FALSE)-VLOOKUP($A8,DATA!$A$3:$F$301,3,FALSE))^2),"")</f>
        <v>27.459060435491963</v>
      </c>
      <c r="AP8" s="14" t="str">
        <f>_xlfn.IFNA(SQRT((VLOOKUP(AP$1,DATA!$A$3:$F$301,2,FALSE)-VLOOKUP($A8,DATA!$A$3:$F$301,2,FALSE))^2+(VLOOKUP(AP$1,DATA!$A$3:$F$301,3,FALSE)-VLOOKUP($A8,DATA!$A$3:$F$301,3,FALSE))^2),"")</f>
        <v/>
      </c>
      <c r="AQ8" s="14" t="str">
        <f>_xlfn.IFNA(SQRT((VLOOKUP(AQ$1,DATA!$A$3:$F$301,2,FALSE)-VLOOKUP($A8,DATA!$A$3:$F$301,2,FALSE))^2+(VLOOKUP(AQ$1,DATA!$A$3:$F$301,3,FALSE)-VLOOKUP($A8,DATA!$A$3:$F$301,3,FALSE))^2),"")</f>
        <v/>
      </c>
      <c r="AR8" s="14" t="str">
        <f>_xlfn.IFNA(SQRT((VLOOKUP(AR$1,DATA!$A$3:$F$301,2,FALSE)-VLOOKUP($A8,DATA!$A$3:$F$301,2,FALSE))^2+(VLOOKUP(AR$1,DATA!$A$3:$F$301,3,FALSE)-VLOOKUP($A8,DATA!$A$3:$F$301,3,FALSE))^2),"")</f>
        <v/>
      </c>
      <c r="AS8" s="14" t="str">
        <f>_xlfn.IFNA(SQRT((VLOOKUP(AS$1,DATA!$A$3:$F$301,2,FALSE)-VLOOKUP($A8,DATA!$A$3:$F$301,2,FALSE))^2+(VLOOKUP(AS$1,DATA!$A$3:$F$301,3,FALSE)-VLOOKUP($A8,DATA!$A$3:$F$301,3,FALSE))^2),"")</f>
        <v/>
      </c>
      <c r="AT8" s="14" t="str">
        <f>_xlfn.IFNA(SQRT((VLOOKUP(AT$1,DATA!$A$3:$F$301,2,FALSE)-VLOOKUP($A8,DATA!$A$3:$F$301,2,FALSE))^2+(VLOOKUP(AT$1,DATA!$A$3:$F$301,3,FALSE)-VLOOKUP($A8,DATA!$A$3:$F$301,3,FALSE))^2),"")</f>
        <v/>
      </c>
      <c r="AU8" s="14" t="str">
        <f>_xlfn.IFNA(SQRT((VLOOKUP(AU$1,DATA!$A$3:$F$301,2,FALSE)-VLOOKUP($A8,DATA!$A$3:$F$301,2,FALSE))^2+(VLOOKUP(AU$1,DATA!$A$3:$F$301,3,FALSE)-VLOOKUP($A8,DATA!$A$3:$F$301,3,FALSE))^2),"")</f>
        <v/>
      </c>
      <c r="AV8" s="14" t="str">
        <f>_xlfn.IFNA(SQRT((VLOOKUP(AV$1,DATA!$A$3:$F$301,2,FALSE)-VLOOKUP($A8,DATA!$A$3:$F$301,2,FALSE))^2+(VLOOKUP(AV$1,DATA!$A$3:$F$301,3,FALSE)-VLOOKUP($A8,DATA!$A$3:$F$301,3,FALSE))^2),"")</f>
        <v/>
      </c>
      <c r="AW8" s="14" t="str">
        <f>_xlfn.IFNA(SQRT((VLOOKUP(AW$1,DATA!$A$3:$F$301,2,FALSE)-VLOOKUP($A8,DATA!$A$3:$F$301,2,FALSE))^2+(VLOOKUP(AW$1,DATA!$A$3:$F$301,3,FALSE)-VLOOKUP($A8,DATA!$A$3:$F$301,3,FALSE))^2),"")</f>
        <v/>
      </c>
      <c r="AX8" s="14" t="str">
        <f>_xlfn.IFNA(SQRT((VLOOKUP(AX$1,DATA!$A$3:$F$301,2,FALSE)-VLOOKUP($A8,DATA!$A$3:$F$301,2,FALSE))^2+(VLOOKUP(AX$1,DATA!$A$3:$F$301,3,FALSE)-VLOOKUP($A8,DATA!$A$3:$F$301,3,FALSE))^2),"")</f>
        <v/>
      </c>
      <c r="AY8" s="14" t="str">
        <f>_xlfn.IFNA(SQRT((VLOOKUP(AY$1,DATA!$A$3:$F$301,2,FALSE)-VLOOKUP($A8,DATA!$A$3:$F$301,2,FALSE))^2+(VLOOKUP(AY$1,DATA!$A$3:$F$301,3,FALSE)-VLOOKUP($A8,DATA!$A$3:$F$301,3,FALSE))^2),"")</f>
        <v/>
      </c>
      <c r="AZ8" s="14" t="str">
        <f>_xlfn.IFNA(SQRT((VLOOKUP(AZ$1,DATA!$A$3:$F$301,2,FALSE)-VLOOKUP($A8,DATA!$A$3:$F$301,2,FALSE))^2+(VLOOKUP(AZ$1,DATA!$A$3:$F$301,3,FALSE)-VLOOKUP($A8,DATA!$A$3:$F$301,3,FALSE))^2),"")</f>
        <v/>
      </c>
      <c r="BA8" s="14" t="str">
        <f>_xlfn.IFNA(SQRT((VLOOKUP(BA$1,DATA!$A$3:$F$301,2,FALSE)-VLOOKUP($A8,DATA!$A$3:$F$301,2,FALSE))^2+(VLOOKUP(BA$1,DATA!$A$3:$F$301,3,FALSE)-VLOOKUP($A8,DATA!$A$3:$F$301,3,FALSE))^2),"")</f>
        <v/>
      </c>
      <c r="BB8" s="14" t="str">
        <f>_xlfn.IFNA(SQRT((VLOOKUP(BB$1,DATA!$A$3:$F$301,2,FALSE)-VLOOKUP($A8,DATA!$A$3:$F$301,2,FALSE))^2+(VLOOKUP(BB$1,DATA!$A$3:$F$301,3,FALSE)-VLOOKUP($A8,DATA!$A$3:$F$301,3,FALSE))^2),"")</f>
        <v/>
      </c>
      <c r="BC8" s="14" t="str">
        <f>_xlfn.IFNA(SQRT((VLOOKUP(BC$1,DATA!$A$3:$F$301,2,FALSE)-VLOOKUP($A8,DATA!$A$3:$F$301,2,FALSE))^2+(VLOOKUP(BC$1,DATA!$A$3:$F$301,3,FALSE)-VLOOKUP($A8,DATA!$A$3:$F$301,3,FALSE))^2),"")</f>
        <v/>
      </c>
      <c r="BD8" s="14" t="str">
        <f>_xlfn.IFNA(SQRT((VLOOKUP(BD$1,DATA!$A$3:$F$301,2,FALSE)-VLOOKUP($A8,DATA!$A$3:$F$301,2,FALSE))^2+(VLOOKUP(BD$1,DATA!$A$3:$F$301,3,FALSE)-VLOOKUP($A8,DATA!$A$3:$F$301,3,FALSE))^2),"")</f>
        <v/>
      </c>
      <c r="BE8" s="14" t="str">
        <f>_xlfn.IFNA(SQRT((VLOOKUP(BE$1,DATA!$A$3:$F$301,2,FALSE)-VLOOKUP($A8,DATA!$A$3:$F$301,2,FALSE))^2+(VLOOKUP(BE$1,DATA!$A$3:$F$301,3,FALSE)-VLOOKUP($A8,DATA!$A$3:$F$301,3,FALSE))^2),"")</f>
        <v/>
      </c>
      <c r="BF8" s="14" t="str">
        <f>_xlfn.IFNA(SQRT((VLOOKUP(BF$1,DATA!$A$3:$F$301,2,FALSE)-VLOOKUP($A8,DATA!$A$3:$F$301,2,FALSE))^2+(VLOOKUP(BF$1,DATA!$A$3:$F$301,3,FALSE)-VLOOKUP($A8,DATA!$A$3:$F$301,3,FALSE))^2),"")</f>
        <v/>
      </c>
      <c r="BG8" s="14" t="str">
        <f>_xlfn.IFNA(SQRT((VLOOKUP(BG$1,DATA!$A$3:$F$301,2,FALSE)-VLOOKUP($A8,DATA!$A$3:$F$301,2,FALSE))^2+(VLOOKUP(BG$1,DATA!$A$3:$F$301,3,FALSE)-VLOOKUP($A8,DATA!$A$3:$F$301,3,FALSE))^2),"")</f>
        <v/>
      </c>
      <c r="BH8" s="14" t="str">
        <f>_xlfn.IFNA(SQRT((VLOOKUP(BH$1,DATA!$A$3:$F$301,2,FALSE)-VLOOKUP($A8,DATA!$A$3:$F$301,2,FALSE))^2+(VLOOKUP(BH$1,DATA!$A$3:$F$301,3,FALSE)-VLOOKUP($A8,DATA!$A$3:$F$301,3,FALSE))^2),"")</f>
        <v/>
      </c>
      <c r="BI8" s="14" t="str">
        <f>_xlfn.IFNA(SQRT((VLOOKUP(BI$1,DATA!$A$3:$F$301,2,FALSE)-VLOOKUP($A8,DATA!$A$3:$F$301,2,FALSE))^2+(VLOOKUP(BI$1,DATA!$A$3:$F$301,3,FALSE)-VLOOKUP($A8,DATA!$A$3:$F$301,3,FALSE))^2),"")</f>
        <v/>
      </c>
      <c r="BJ8" s="14" t="str">
        <f>_xlfn.IFNA(SQRT((VLOOKUP(BJ$1,DATA!$A$3:$F$301,2,FALSE)-VLOOKUP($A8,DATA!$A$3:$F$301,2,FALSE))^2+(VLOOKUP(BJ$1,DATA!$A$3:$F$301,3,FALSE)-VLOOKUP($A8,DATA!$A$3:$F$301,3,FALSE))^2),"")</f>
        <v/>
      </c>
      <c r="BK8" s="14" t="str">
        <f>_xlfn.IFNA(SQRT((VLOOKUP(BK$1,DATA!$A$3:$F$301,2,FALSE)-VLOOKUP($A8,DATA!$A$3:$F$301,2,FALSE))^2+(VLOOKUP(BK$1,DATA!$A$3:$F$301,3,FALSE)-VLOOKUP($A8,DATA!$A$3:$F$301,3,FALSE))^2),"")</f>
        <v/>
      </c>
      <c r="BL8" s="14" t="str">
        <f>_xlfn.IFNA(SQRT((VLOOKUP(BL$1,DATA!$A$3:$F$301,2,FALSE)-VLOOKUP($A8,DATA!$A$3:$F$301,2,FALSE))^2+(VLOOKUP(BL$1,DATA!$A$3:$F$301,3,FALSE)-VLOOKUP($A8,DATA!$A$3:$F$301,3,FALSE))^2),"")</f>
        <v/>
      </c>
      <c r="BM8" s="14" t="str">
        <f>_xlfn.IFNA(SQRT((VLOOKUP(BM$1,DATA!$A$3:$F$301,2,FALSE)-VLOOKUP($A8,DATA!$A$3:$F$301,2,FALSE))^2+(VLOOKUP(BM$1,DATA!$A$3:$F$301,3,FALSE)-VLOOKUP($A8,DATA!$A$3:$F$301,3,FALSE))^2),"")</f>
        <v/>
      </c>
      <c r="BN8" s="14" t="str">
        <f>_xlfn.IFNA(SQRT((VLOOKUP(BN$1,DATA!$A$3:$F$301,2,FALSE)-VLOOKUP($A8,DATA!$A$3:$F$301,2,FALSE))^2+(VLOOKUP(BN$1,DATA!$A$3:$F$301,3,FALSE)-VLOOKUP($A8,DATA!$A$3:$F$301,3,FALSE))^2),"")</f>
        <v/>
      </c>
      <c r="BO8" s="14" t="str">
        <f>_xlfn.IFNA(SQRT((VLOOKUP(BO$1,DATA!$A$3:$F$301,2,FALSE)-VLOOKUP($A8,DATA!$A$3:$F$301,2,FALSE))^2+(VLOOKUP(BO$1,DATA!$A$3:$F$301,3,FALSE)-VLOOKUP($A8,DATA!$A$3:$F$301,3,FALSE))^2),"")</f>
        <v/>
      </c>
      <c r="BP8" s="14" t="str">
        <f>_xlfn.IFNA(SQRT((VLOOKUP(BP$1,DATA!$A$3:$F$301,2,FALSE)-VLOOKUP($A8,DATA!$A$3:$F$301,2,FALSE))^2+(VLOOKUP(BP$1,DATA!$A$3:$F$301,3,FALSE)-VLOOKUP($A8,DATA!$A$3:$F$301,3,FALSE))^2),"")</f>
        <v/>
      </c>
      <c r="BQ8" s="14" t="str">
        <f>_xlfn.IFNA(SQRT((VLOOKUP(BQ$1,DATA!$A$3:$F$301,2,FALSE)-VLOOKUP($A8,DATA!$A$3:$F$301,2,FALSE))^2+(VLOOKUP(BQ$1,DATA!$A$3:$F$301,3,FALSE)-VLOOKUP($A8,DATA!$A$3:$F$301,3,FALSE))^2),"")</f>
        <v/>
      </c>
      <c r="BR8" s="14" t="str">
        <f>_xlfn.IFNA(SQRT((VLOOKUP(BR$1,DATA!$A$3:$F$301,2,FALSE)-VLOOKUP($A8,DATA!$A$3:$F$301,2,FALSE))^2+(VLOOKUP(BR$1,DATA!$A$3:$F$301,3,FALSE)-VLOOKUP($A8,DATA!$A$3:$F$301,3,FALSE))^2),"")</f>
        <v/>
      </c>
      <c r="BS8" s="14" t="str">
        <f>_xlfn.IFNA(SQRT((VLOOKUP(BS$1,DATA!$A$3:$F$301,2,FALSE)-VLOOKUP($A8,DATA!$A$3:$F$301,2,FALSE))^2+(VLOOKUP(BS$1,DATA!$A$3:$F$301,3,FALSE)-VLOOKUP($A8,DATA!$A$3:$F$301,3,FALSE))^2),"")</f>
        <v/>
      </c>
      <c r="BT8" s="14" t="str">
        <f>_xlfn.IFNA(SQRT((VLOOKUP(BT$1,DATA!$A$3:$F$301,2,FALSE)-VLOOKUP($A8,DATA!$A$3:$F$301,2,FALSE))^2+(VLOOKUP(BT$1,DATA!$A$3:$F$301,3,FALSE)-VLOOKUP($A8,DATA!$A$3:$F$301,3,FALSE))^2),"")</f>
        <v/>
      </c>
      <c r="BU8" s="14" t="str">
        <f>_xlfn.IFNA(SQRT((VLOOKUP(BU$1,DATA!$A$3:$F$301,2,FALSE)-VLOOKUP($A8,DATA!$A$3:$F$301,2,FALSE))^2+(VLOOKUP(BU$1,DATA!$A$3:$F$301,3,FALSE)-VLOOKUP($A8,DATA!$A$3:$F$301,3,FALSE))^2),"")</f>
        <v/>
      </c>
      <c r="BV8" s="14" t="str">
        <f>_xlfn.IFNA(SQRT((VLOOKUP(BV$1,DATA!$A$3:$F$301,2,FALSE)-VLOOKUP($A8,DATA!$A$3:$F$301,2,FALSE))^2+(VLOOKUP(BV$1,DATA!$A$3:$F$301,3,FALSE)-VLOOKUP($A8,DATA!$A$3:$F$301,3,FALSE))^2),"")</f>
        <v/>
      </c>
      <c r="BW8" s="14" t="str">
        <f>_xlfn.IFNA(SQRT((VLOOKUP(BW$1,DATA!$A$3:$F$301,2,FALSE)-VLOOKUP($A8,DATA!$A$3:$F$301,2,FALSE))^2+(VLOOKUP(BW$1,DATA!$A$3:$F$301,3,FALSE)-VLOOKUP($A8,DATA!$A$3:$F$301,3,FALSE))^2),"")</f>
        <v/>
      </c>
      <c r="BX8" s="14" t="str">
        <f>_xlfn.IFNA(SQRT((VLOOKUP(BX$1,DATA!$A$3:$F$301,2,FALSE)-VLOOKUP($A8,DATA!$A$3:$F$301,2,FALSE))^2+(VLOOKUP(BX$1,DATA!$A$3:$F$301,3,FALSE)-VLOOKUP($A8,DATA!$A$3:$F$301,3,FALSE))^2),"")</f>
        <v/>
      </c>
      <c r="BY8" s="14" t="str">
        <f>_xlfn.IFNA(SQRT((VLOOKUP(BY$1,DATA!$A$3:$F$301,2,FALSE)-VLOOKUP($A8,DATA!$A$3:$F$301,2,FALSE))^2+(VLOOKUP(BY$1,DATA!$A$3:$F$301,3,FALSE)-VLOOKUP($A8,DATA!$A$3:$F$301,3,FALSE))^2),"")</f>
        <v/>
      </c>
      <c r="BZ8" s="14" t="str">
        <f>_xlfn.IFNA(SQRT((VLOOKUP(BZ$1,DATA!$A$3:$F$301,2,FALSE)-VLOOKUP($A8,DATA!$A$3:$F$301,2,FALSE))^2+(VLOOKUP(BZ$1,DATA!$A$3:$F$301,3,FALSE)-VLOOKUP($A8,DATA!$A$3:$F$301,3,FALSE))^2),"")</f>
        <v/>
      </c>
      <c r="CA8" s="14" t="str">
        <f>_xlfn.IFNA(SQRT((VLOOKUP(CA$1,DATA!$A$3:$F$301,2,FALSE)-VLOOKUP($A8,DATA!$A$3:$F$301,2,FALSE))^2+(VLOOKUP(CA$1,DATA!$A$3:$F$301,3,FALSE)-VLOOKUP($A8,DATA!$A$3:$F$301,3,FALSE))^2),"")</f>
        <v/>
      </c>
      <c r="CB8" s="14" t="str">
        <f>_xlfn.IFNA(SQRT((VLOOKUP(CB$1,DATA!$A$3:$F$301,2,FALSE)-VLOOKUP($A8,DATA!$A$3:$F$301,2,FALSE))^2+(VLOOKUP(CB$1,DATA!$A$3:$F$301,3,FALSE)-VLOOKUP($A8,DATA!$A$3:$F$301,3,FALSE))^2),"")</f>
        <v/>
      </c>
      <c r="CC8" s="14" t="str">
        <f>_xlfn.IFNA(SQRT((VLOOKUP(CC$1,DATA!$A$3:$F$301,2,FALSE)-VLOOKUP($A8,DATA!$A$3:$F$301,2,FALSE))^2+(VLOOKUP(CC$1,DATA!$A$3:$F$301,3,FALSE)-VLOOKUP($A8,DATA!$A$3:$F$301,3,FALSE))^2),"")</f>
        <v/>
      </c>
      <c r="CD8" s="14" t="str">
        <f>_xlfn.IFNA(SQRT((VLOOKUP(CD$1,DATA!$A$3:$F$301,2,FALSE)-VLOOKUP($A8,DATA!$A$3:$F$301,2,FALSE))^2+(VLOOKUP(CD$1,DATA!$A$3:$F$301,3,FALSE)-VLOOKUP($A8,DATA!$A$3:$F$301,3,FALSE))^2),"")</f>
        <v/>
      </c>
      <c r="CE8" s="14" t="str">
        <f>_xlfn.IFNA(SQRT((VLOOKUP(CE$1,DATA!$A$3:$F$301,2,FALSE)-VLOOKUP($A8,DATA!$A$3:$F$301,2,FALSE))^2+(VLOOKUP(CE$1,DATA!$A$3:$F$301,3,FALSE)-VLOOKUP($A8,DATA!$A$3:$F$301,3,FALSE))^2),"")</f>
        <v/>
      </c>
      <c r="CF8" s="14" t="str">
        <f>_xlfn.IFNA(SQRT((VLOOKUP(CF$1,DATA!$A$3:$F$301,2,FALSE)-VLOOKUP($A8,DATA!$A$3:$F$301,2,FALSE))^2+(VLOOKUP(CF$1,DATA!$A$3:$F$301,3,FALSE)-VLOOKUP($A8,DATA!$A$3:$F$301,3,FALSE))^2),"")</f>
        <v/>
      </c>
      <c r="CG8" s="14" t="str">
        <f>_xlfn.IFNA(SQRT((VLOOKUP(CG$1,DATA!$A$3:$F$301,2,FALSE)-VLOOKUP($A8,DATA!$A$3:$F$301,2,FALSE))^2+(VLOOKUP(CG$1,DATA!$A$3:$F$301,3,FALSE)-VLOOKUP($A8,DATA!$A$3:$F$301,3,FALSE))^2),"")</f>
        <v/>
      </c>
      <c r="CH8" s="14" t="str">
        <f>_xlfn.IFNA(SQRT((VLOOKUP(CH$1,DATA!$A$3:$F$301,2,FALSE)-VLOOKUP($A8,DATA!$A$3:$F$301,2,FALSE))^2+(VLOOKUP(CH$1,DATA!$A$3:$F$301,3,FALSE)-VLOOKUP($A8,DATA!$A$3:$F$301,3,FALSE))^2),"")</f>
        <v/>
      </c>
      <c r="CI8" s="14" t="str">
        <f>_xlfn.IFNA(SQRT((VLOOKUP(CI$1,DATA!$A$3:$F$301,2,FALSE)-VLOOKUP($A8,DATA!$A$3:$F$301,2,FALSE))^2+(VLOOKUP(CI$1,DATA!$A$3:$F$301,3,FALSE)-VLOOKUP($A8,DATA!$A$3:$F$301,3,FALSE))^2),"")</f>
        <v/>
      </c>
      <c r="CJ8" s="14" t="str">
        <f>_xlfn.IFNA(SQRT((VLOOKUP(CJ$1,DATA!$A$3:$F$301,2,FALSE)-VLOOKUP($A8,DATA!$A$3:$F$301,2,FALSE))^2+(VLOOKUP(CJ$1,DATA!$A$3:$F$301,3,FALSE)-VLOOKUP($A8,DATA!$A$3:$F$301,3,FALSE))^2),"")</f>
        <v/>
      </c>
      <c r="CK8" s="14" t="str">
        <f>_xlfn.IFNA(SQRT((VLOOKUP(CK$1,DATA!$A$3:$F$301,2,FALSE)-VLOOKUP($A8,DATA!$A$3:$F$301,2,FALSE))^2+(VLOOKUP(CK$1,DATA!$A$3:$F$301,3,FALSE)-VLOOKUP($A8,DATA!$A$3:$F$301,3,FALSE))^2),"")</f>
        <v/>
      </c>
      <c r="CL8" s="14" t="str">
        <f>_xlfn.IFNA(SQRT((VLOOKUP(CL$1,DATA!$A$3:$F$301,2,FALSE)-VLOOKUP($A8,DATA!$A$3:$F$301,2,FALSE))^2+(VLOOKUP(CL$1,DATA!$A$3:$F$301,3,FALSE)-VLOOKUP($A8,DATA!$A$3:$F$301,3,FALSE))^2),"")</f>
        <v/>
      </c>
      <c r="CM8" s="14" t="str">
        <f>_xlfn.IFNA(SQRT((VLOOKUP(CM$1,DATA!$A$3:$F$301,2,FALSE)-VLOOKUP($A8,DATA!$A$3:$F$301,2,FALSE))^2+(VLOOKUP(CM$1,DATA!$A$3:$F$301,3,FALSE)-VLOOKUP($A8,DATA!$A$3:$F$301,3,FALSE))^2),"")</f>
        <v/>
      </c>
      <c r="CN8" s="14" t="str">
        <f>_xlfn.IFNA(SQRT((VLOOKUP(CN$1,DATA!$A$3:$F$301,2,FALSE)-VLOOKUP($A8,DATA!$A$3:$F$301,2,FALSE))^2+(VLOOKUP(CN$1,DATA!$A$3:$F$301,3,FALSE)-VLOOKUP($A8,DATA!$A$3:$F$301,3,FALSE))^2),"")</f>
        <v/>
      </c>
      <c r="CO8" s="14" t="str">
        <f>_xlfn.IFNA(SQRT((VLOOKUP(CO$1,DATA!$A$3:$F$301,2,FALSE)-VLOOKUP($A8,DATA!$A$3:$F$301,2,FALSE))^2+(VLOOKUP(CO$1,DATA!$A$3:$F$301,3,FALSE)-VLOOKUP($A8,DATA!$A$3:$F$301,3,FALSE))^2),"")</f>
        <v/>
      </c>
      <c r="CP8" s="14" t="str">
        <f>_xlfn.IFNA(SQRT((VLOOKUP(CP$1,DATA!$A$3:$F$301,2,FALSE)-VLOOKUP($A8,DATA!$A$3:$F$301,2,FALSE))^2+(VLOOKUP(CP$1,DATA!$A$3:$F$301,3,FALSE)-VLOOKUP($A8,DATA!$A$3:$F$301,3,FALSE))^2),"")</f>
        <v/>
      </c>
      <c r="CQ8" s="14" t="str">
        <f>_xlfn.IFNA(SQRT((VLOOKUP(CQ$1,DATA!$A$3:$F$301,2,FALSE)-VLOOKUP($A8,DATA!$A$3:$F$301,2,FALSE))^2+(VLOOKUP(CQ$1,DATA!$A$3:$F$301,3,FALSE)-VLOOKUP($A8,DATA!$A$3:$F$301,3,FALSE))^2),"")</f>
        <v/>
      </c>
      <c r="CR8" s="14" t="str">
        <f>_xlfn.IFNA(SQRT((VLOOKUP(CR$1,DATA!$A$3:$F$301,2,FALSE)-VLOOKUP($A8,DATA!$A$3:$F$301,2,FALSE))^2+(VLOOKUP(CR$1,DATA!$A$3:$F$301,3,FALSE)-VLOOKUP($A8,DATA!$A$3:$F$301,3,FALSE))^2),"")</f>
        <v/>
      </c>
      <c r="CS8" s="14" t="str">
        <f>_xlfn.IFNA(SQRT((VLOOKUP(CS$1,DATA!$A$3:$F$301,2,FALSE)-VLOOKUP($A8,DATA!$A$3:$F$301,2,FALSE))^2+(VLOOKUP(CS$1,DATA!$A$3:$F$301,3,FALSE)-VLOOKUP($A8,DATA!$A$3:$F$301,3,FALSE))^2),"")</f>
        <v/>
      </c>
      <c r="CT8" s="14" t="str">
        <f>_xlfn.IFNA(SQRT((VLOOKUP(CT$1,DATA!$A$3:$F$301,2,FALSE)-VLOOKUP($A8,DATA!$A$3:$F$301,2,FALSE))^2+(VLOOKUP(CT$1,DATA!$A$3:$F$301,3,FALSE)-VLOOKUP($A8,DATA!$A$3:$F$301,3,FALSE))^2),"")</f>
        <v/>
      </c>
      <c r="CU8" s="14" t="str">
        <f>_xlfn.IFNA(SQRT((VLOOKUP(CU$1,DATA!$A$3:$F$301,2,FALSE)-VLOOKUP($A8,DATA!$A$3:$F$301,2,FALSE))^2+(VLOOKUP(CU$1,DATA!$A$3:$F$301,3,FALSE)-VLOOKUP($A8,DATA!$A$3:$F$301,3,FALSE))^2),"")</f>
        <v/>
      </c>
      <c r="CV8" s="14" t="str">
        <f>_xlfn.IFNA(SQRT((VLOOKUP(CV$1,DATA!$A$3:$F$301,2,FALSE)-VLOOKUP($A8,DATA!$A$3:$F$301,2,FALSE))^2+(VLOOKUP(CV$1,DATA!$A$3:$F$301,3,FALSE)-VLOOKUP($A8,DATA!$A$3:$F$301,3,FALSE))^2),"")</f>
        <v/>
      </c>
      <c r="CW8" s="14" t="str">
        <f>_xlfn.IFNA(SQRT((VLOOKUP(CW$1,DATA!$A$3:$F$301,2,FALSE)-VLOOKUP($A8,DATA!$A$3:$F$301,2,FALSE))^2+(VLOOKUP(CW$1,DATA!$A$3:$F$301,3,FALSE)-VLOOKUP($A8,DATA!$A$3:$F$301,3,FALSE))^2),"")</f>
        <v/>
      </c>
      <c r="CX8" s="14" t="str">
        <f>_xlfn.IFNA(SQRT((VLOOKUP(CX$1,DATA!$A$3:$F$301,2,FALSE)-VLOOKUP($A8,DATA!$A$3:$F$301,2,FALSE))^2+(VLOOKUP(CX$1,DATA!$A$3:$F$301,3,FALSE)-VLOOKUP($A8,DATA!$A$3:$F$301,3,FALSE))^2),"")</f>
        <v/>
      </c>
    </row>
    <row r="9" spans="1:102">
      <c r="A9" s="13">
        <v>8</v>
      </c>
      <c r="B9" s="14">
        <f>_xlfn.IFNA(SQRT((VLOOKUP(B$1,DATA!$A$3:$F$301,2,FALSE)-VLOOKUP($A9,DATA!$A$3:$F$301,2,FALSE))^2+(VLOOKUP(B$1,DATA!$A$3:$F$301,3,FALSE)-VLOOKUP($A9,DATA!$A$3:$F$301,3,FALSE))^2),"")</f>
        <v>34.058772731852805</v>
      </c>
      <c r="C9" s="14">
        <f>_xlfn.IFNA(SQRT((VLOOKUP(C$1,DATA!$A$3:$F$301,2,FALSE)-VLOOKUP($A9,DATA!$A$3:$F$301,2,FALSE))^2+(VLOOKUP(C$1,DATA!$A$3:$F$301,3,FALSE)-VLOOKUP($A9,DATA!$A$3:$F$301,3,FALSE))^2),"")</f>
        <v>37.443290453698111</v>
      </c>
      <c r="D9" s="14">
        <f>_xlfn.IFNA(SQRT((VLOOKUP(D$1,DATA!$A$3:$F$301,2,FALSE)-VLOOKUP($A9,DATA!$A$3:$F$301,2,FALSE))^2+(VLOOKUP(D$1,DATA!$A$3:$F$301,3,FALSE)-VLOOKUP($A9,DATA!$A$3:$F$301,3,FALSE))^2),"")</f>
        <v>42.80186911806539</v>
      </c>
      <c r="E9" s="14">
        <f>_xlfn.IFNA(SQRT((VLOOKUP(E$1,DATA!$A$3:$F$301,2,FALSE)-VLOOKUP($A9,DATA!$A$3:$F$301,2,FALSE))^2+(VLOOKUP(E$1,DATA!$A$3:$F$301,3,FALSE)-VLOOKUP($A9,DATA!$A$3:$F$301,3,FALSE))^2),"")</f>
        <v>34.828149534535996</v>
      </c>
      <c r="F9" s="14">
        <f>_xlfn.IFNA(SQRT((VLOOKUP(F$1,DATA!$A$3:$F$301,2,FALSE)-VLOOKUP($A9,DATA!$A$3:$F$301,2,FALSE))^2+(VLOOKUP(F$1,DATA!$A$3:$F$301,3,FALSE)-VLOOKUP($A9,DATA!$A$3:$F$301,3,FALSE))^2),"")</f>
        <v>35.057096285916209</v>
      </c>
      <c r="G9" s="14">
        <f>_xlfn.IFNA(SQRT((VLOOKUP(G$1,DATA!$A$3:$F$301,2,FALSE)-VLOOKUP($A9,DATA!$A$3:$F$301,2,FALSE))^2+(VLOOKUP(G$1,DATA!$A$3:$F$301,3,FALSE)-VLOOKUP($A9,DATA!$A$3:$F$301,3,FALSE))^2),"")</f>
        <v>13.928388277184119</v>
      </c>
      <c r="H9" s="14">
        <f>_xlfn.IFNA(SQRT((VLOOKUP(H$1,DATA!$A$3:$F$301,2,FALSE)-VLOOKUP($A9,DATA!$A$3:$F$301,2,FALSE))^2+(VLOOKUP(H$1,DATA!$A$3:$F$301,3,FALSE)-VLOOKUP($A9,DATA!$A$3:$F$301,3,FALSE))^2),"")</f>
        <v>23.345235059857504</v>
      </c>
      <c r="I9" s="14">
        <f>_xlfn.IFNA(SQRT((VLOOKUP(I$1,DATA!$A$3:$F$301,2,FALSE)-VLOOKUP($A9,DATA!$A$3:$F$301,2,FALSE))^2+(VLOOKUP(I$1,DATA!$A$3:$F$301,3,FALSE)-VLOOKUP($A9,DATA!$A$3:$F$301,3,FALSE))^2),"")</f>
        <v>0</v>
      </c>
      <c r="J9" s="14">
        <f>_xlfn.IFNA(SQRT((VLOOKUP(J$1,DATA!$A$3:$F$301,2,FALSE)-VLOOKUP($A9,DATA!$A$3:$F$301,2,FALSE))^2+(VLOOKUP(J$1,DATA!$A$3:$F$301,3,FALSE)-VLOOKUP($A9,DATA!$A$3:$F$301,3,FALSE))^2),"")</f>
        <v>20.808652046684813</v>
      </c>
      <c r="K9" s="14">
        <f>_xlfn.IFNA(SQRT((VLOOKUP(K$1,DATA!$A$3:$F$301,2,FALSE)-VLOOKUP($A9,DATA!$A$3:$F$301,2,FALSE))^2+(VLOOKUP(K$1,DATA!$A$3:$F$301,3,FALSE)-VLOOKUP($A9,DATA!$A$3:$F$301,3,FALSE))^2),"")</f>
        <v>46.669047558312137</v>
      </c>
      <c r="L9" s="14">
        <f>_xlfn.IFNA(SQRT((VLOOKUP(L$1,DATA!$A$3:$F$301,2,FALSE)-VLOOKUP($A9,DATA!$A$3:$F$301,2,FALSE))^2+(VLOOKUP(L$1,DATA!$A$3:$F$301,3,FALSE)-VLOOKUP($A9,DATA!$A$3:$F$301,3,FALSE))^2),"")</f>
        <v>7.0710678118654755</v>
      </c>
      <c r="M9" s="14">
        <f>_xlfn.IFNA(SQRT((VLOOKUP(M$1,DATA!$A$3:$F$301,2,FALSE)-VLOOKUP($A9,DATA!$A$3:$F$301,2,FALSE))^2+(VLOOKUP(M$1,DATA!$A$3:$F$301,3,FALSE)-VLOOKUP($A9,DATA!$A$3:$F$301,3,FALSE))^2),"")</f>
        <v>26</v>
      </c>
      <c r="N9" s="14">
        <f>_xlfn.IFNA(SQRT((VLOOKUP(N$1,DATA!$A$3:$F$301,2,FALSE)-VLOOKUP($A9,DATA!$A$3:$F$301,2,FALSE))^2+(VLOOKUP(N$1,DATA!$A$3:$F$301,3,FALSE)-VLOOKUP($A9,DATA!$A$3:$F$301,3,FALSE))^2),"")</f>
        <v>29</v>
      </c>
      <c r="O9" s="14">
        <f>_xlfn.IFNA(SQRT((VLOOKUP(O$1,DATA!$A$3:$F$301,2,FALSE)-VLOOKUP($A9,DATA!$A$3:$F$301,2,FALSE))^2+(VLOOKUP(O$1,DATA!$A$3:$F$301,3,FALSE)-VLOOKUP($A9,DATA!$A$3:$F$301,3,FALSE))^2),"")</f>
        <v>38.078865529319543</v>
      </c>
      <c r="P9" s="14">
        <f>_xlfn.IFNA(SQRT((VLOOKUP(P$1,DATA!$A$3:$F$301,2,FALSE)-VLOOKUP($A9,DATA!$A$3:$F$301,2,FALSE))^2+(VLOOKUP(P$1,DATA!$A$3:$F$301,3,FALSE)-VLOOKUP($A9,DATA!$A$3:$F$301,3,FALSE))^2),"")</f>
        <v>8.9442719099991592</v>
      </c>
      <c r="Q9" s="14">
        <f>_xlfn.IFNA(SQRT((VLOOKUP(Q$1,DATA!$A$3:$F$301,2,FALSE)-VLOOKUP($A9,DATA!$A$3:$F$301,2,FALSE))^2+(VLOOKUP(Q$1,DATA!$A$3:$F$301,3,FALSE)-VLOOKUP($A9,DATA!$A$3:$F$301,3,FALSE))^2),"")</f>
        <v>13.341664064126334</v>
      </c>
      <c r="R9" s="14">
        <f>_xlfn.IFNA(SQRT((VLOOKUP(R$1,DATA!$A$3:$F$301,2,FALSE)-VLOOKUP($A9,DATA!$A$3:$F$301,2,FALSE))^2+(VLOOKUP(R$1,DATA!$A$3:$F$301,3,FALSE)-VLOOKUP($A9,DATA!$A$3:$F$301,3,FALSE))^2),"")</f>
        <v>36.674241641784498</v>
      </c>
      <c r="S9" s="14">
        <f>_xlfn.IFNA(SQRT((VLOOKUP(S$1,DATA!$A$3:$F$301,2,FALSE)-VLOOKUP($A9,DATA!$A$3:$F$301,2,FALSE))^2+(VLOOKUP(S$1,DATA!$A$3:$F$301,3,FALSE)-VLOOKUP($A9,DATA!$A$3:$F$301,3,FALSE))^2),"")</f>
        <v>12.041594578792296</v>
      </c>
      <c r="T9" s="14">
        <f>_xlfn.IFNA(SQRT((VLOOKUP(T$1,DATA!$A$3:$F$301,2,FALSE)-VLOOKUP($A9,DATA!$A$3:$F$301,2,FALSE))^2+(VLOOKUP(T$1,DATA!$A$3:$F$301,3,FALSE)-VLOOKUP($A9,DATA!$A$3:$F$301,3,FALSE))^2),"")</f>
        <v>28.160255680657446</v>
      </c>
      <c r="U9" s="14">
        <f>_xlfn.IFNA(SQRT((VLOOKUP(U$1,DATA!$A$3:$F$301,2,FALSE)-VLOOKUP($A9,DATA!$A$3:$F$301,2,FALSE))^2+(VLOOKUP(U$1,DATA!$A$3:$F$301,3,FALSE)-VLOOKUP($A9,DATA!$A$3:$F$301,3,FALSE))^2),"")</f>
        <v>33.241540277189323</v>
      </c>
      <c r="V9" s="14">
        <f>_xlfn.IFNA(SQRT((VLOOKUP(V$1,DATA!$A$3:$F$301,2,FALSE)-VLOOKUP($A9,DATA!$A$3:$F$301,2,FALSE))^2+(VLOOKUP(V$1,DATA!$A$3:$F$301,3,FALSE)-VLOOKUP($A9,DATA!$A$3:$F$301,3,FALSE))^2),"")</f>
        <v>21.213203435596427</v>
      </c>
      <c r="W9" s="14">
        <f>_xlfn.IFNA(SQRT((VLOOKUP(W$1,DATA!$A$3:$F$301,2,FALSE)-VLOOKUP($A9,DATA!$A$3:$F$301,2,FALSE))^2+(VLOOKUP(W$1,DATA!$A$3:$F$301,3,FALSE)-VLOOKUP($A9,DATA!$A$3:$F$301,3,FALSE))^2),"")</f>
        <v>28.0178514522438</v>
      </c>
      <c r="X9" s="14">
        <f>_xlfn.IFNA(SQRT((VLOOKUP(X$1,DATA!$A$3:$F$301,2,FALSE)-VLOOKUP($A9,DATA!$A$3:$F$301,2,FALSE))^2+(VLOOKUP(X$1,DATA!$A$3:$F$301,3,FALSE)-VLOOKUP($A9,DATA!$A$3:$F$301,3,FALSE))^2),"")</f>
        <v>29.832867780352597</v>
      </c>
      <c r="Y9" s="14">
        <f>_xlfn.IFNA(SQRT((VLOOKUP(Y$1,DATA!$A$3:$F$301,2,FALSE)-VLOOKUP($A9,DATA!$A$3:$F$301,2,FALSE))^2+(VLOOKUP(Y$1,DATA!$A$3:$F$301,3,FALSE)-VLOOKUP($A9,DATA!$A$3:$F$301,3,FALSE))^2),"")</f>
        <v>1.4142135623730951</v>
      </c>
      <c r="Z9" s="14">
        <f>_xlfn.IFNA(SQRT((VLOOKUP(Z$1,DATA!$A$3:$F$301,2,FALSE)-VLOOKUP($A9,DATA!$A$3:$F$301,2,FALSE))^2+(VLOOKUP(Z$1,DATA!$A$3:$F$301,3,FALSE)-VLOOKUP($A9,DATA!$A$3:$F$301,3,FALSE))^2),"")</f>
        <v>38.078865529319543</v>
      </c>
      <c r="AA9" s="14">
        <f>_xlfn.IFNA(SQRT((VLOOKUP(AA$1,DATA!$A$3:$F$301,2,FALSE)-VLOOKUP($A9,DATA!$A$3:$F$301,2,FALSE))^2+(VLOOKUP(AA$1,DATA!$A$3:$F$301,3,FALSE)-VLOOKUP($A9,DATA!$A$3:$F$301,3,FALSE))^2),"")</f>
        <v>15</v>
      </c>
      <c r="AB9" s="14">
        <f>_xlfn.IFNA(SQRT((VLOOKUP(AB$1,DATA!$A$3:$F$301,2,FALSE)-VLOOKUP($A9,DATA!$A$3:$F$301,2,FALSE))^2+(VLOOKUP(AB$1,DATA!$A$3:$F$301,3,FALSE)-VLOOKUP($A9,DATA!$A$3:$F$301,3,FALSE))^2),"")</f>
        <v>45.607017003965517</v>
      </c>
      <c r="AC9" s="14">
        <f>_xlfn.IFNA(SQRT((VLOOKUP(AC$1,DATA!$A$3:$F$301,2,FALSE)-VLOOKUP($A9,DATA!$A$3:$F$301,2,FALSE))^2+(VLOOKUP(AC$1,DATA!$A$3:$F$301,3,FALSE)-VLOOKUP($A9,DATA!$A$3:$F$301,3,FALSE))^2),"")</f>
        <v>26</v>
      </c>
      <c r="AD9" s="14">
        <f>_xlfn.IFNA(SQRT((VLOOKUP(AD$1,DATA!$A$3:$F$301,2,FALSE)-VLOOKUP($A9,DATA!$A$3:$F$301,2,FALSE))^2+(VLOOKUP(AD$1,DATA!$A$3:$F$301,3,FALSE)-VLOOKUP($A9,DATA!$A$3:$F$301,3,FALSE))^2),"")</f>
        <v>32.388269481403292</v>
      </c>
      <c r="AE9" s="14">
        <f>_xlfn.IFNA(SQRT((VLOOKUP(AE$1,DATA!$A$3:$F$301,2,FALSE)-VLOOKUP($A9,DATA!$A$3:$F$301,2,FALSE))^2+(VLOOKUP(AE$1,DATA!$A$3:$F$301,3,FALSE)-VLOOKUP($A9,DATA!$A$3:$F$301,3,FALSE))^2),"")</f>
        <v>42.01190307520001</v>
      </c>
      <c r="AF9" s="14">
        <f>_xlfn.IFNA(SQRT((VLOOKUP(AF$1,DATA!$A$3:$F$301,2,FALSE)-VLOOKUP($A9,DATA!$A$3:$F$301,2,FALSE))^2+(VLOOKUP(AF$1,DATA!$A$3:$F$301,3,FALSE)-VLOOKUP($A9,DATA!$A$3:$F$301,3,FALSE))^2),"")</f>
        <v>31.575306807693888</v>
      </c>
      <c r="AG9" s="14">
        <f>_xlfn.IFNA(SQRT((VLOOKUP(AG$1,DATA!$A$3:$F$301,2,FALSE)-VLOOKUP($A9,DATA!$A$3:$F$301,2,FALSE))^2+(VLOOKUP(AG$1,DATA!$A$3:$F$301,3,FALSE)-VLOOKUP($A9,DATA!$A$3:$F$301,3,FALSE))^2),"")</f>
        <v>26.076809620810597</v>
      </c>
      <c r="AH9" s="14">
        <f>_xlfn.IFNA(SQRT((VLOOKUP(AH$1,DATA!$A$3:$F$301,2,FALSE)-VLOOKUP($A9,DATA!$A$3:$F$301,2,FALSE))^2+(VLOOKUP(AH$1,DATA!$A$3:$F$301,3,FALSE)-VLOOKUP($A9,DATA!$A$3:$F$301,3,FALSE))^2),"")</f>
        <v>18.384776310850235</v>
      </c>
      <c r="AI9" s="14">
        <f>_xlfn.IFNA(SQRT((VLOOKUP(AI$1,DATA!$A$3:$F$301,2,FALSE)-VLOOKUP($A9,DATA!$A$3:$F$301,2,FALSE))^2+(VLOOKUP(AI$1,DATA!$A$3:$F$301,3,FALSE)-VLOOKUP($A9,DATA!$A$3:$F$301,3,FALSE))^2),"")</f>
        <v>37.363083384538811</v>
      </c>
      <c r="AJ9" s="14">
        <f>_xlfn.IFNA(SQRT((VLOOKUP(AJ$1,DATA!$A$3:$F$301,2,FALSE)-VLOOKUP($A9,DATA!$A$3:$F$301,2,FALSE))^2+(VLOOKUP(AJ$1,DATA!$A$3:$F$301,3,FALSE)-VLOOKUP($A9,DATA!$A$3:$F$301,3,FALSE))^2),"")</f>
        <v>16.492422502470642</v>
      </c>
      <c r="AK9" s="14">
        <f>_xlfn.IFNA(SQRT((VLOOKUP(AK$1,DATA!$A$3:$F$301,2,FALSE)-VLOOKUP($A9,DATA!$A$3:$F$301,2,FALSE))^2+(VLOOKUP(AK$1,DATA!$A$3:$F$301,3,FALSE)-VLOOKUP($A9,DATA!$A$3:$F$301,3,FALSE))^2),"")</f>
        <v>20.248456731316587</v>
      </c>
      <c r="AL9" s="14">
        <f>_xlfn.IFNA(SQRT((VLOOKUP(AL$1,DATA!$A$3:$F$301,2,FALSE)-VLOOKUP($A9,DATA!$A$3:$F$301,2,FALSE))^2+(VLOOKUP(AL$1,DATA!$A$3:$F$301,3,FALSE)-VLOOKUP($A9,DATA!$A$3:$F$301,3,FALSE))^2),"")</f>
        <v>10.770329614269007</v>
      </c>
      <c r="AM9" s="14">
        <f>_xlfn.IFNA(SQRT((VLOOKUP(AM$1,DATA!$A$3:$F$301,2,FALSE)-VLOOKUP($A9,DATA!$A$3:$F$301,2,FALSE))^2+(VLOOKUP(AM$1,DATA!$A$3:$F$301,3,FALSE)-VLOOKUP($A9,DATA!$A$3:$F$301,3,FALSE))^2),"")</f>
        <v>18.248287590894659</v>
      </c>
      <c r="AN9" s="14">
        <f>_xlfn.IFNA(SQRT((VLOOKUP(AN$1,DATA!$A$3:$F$301,2,FALSE)-VLOOKUP($A9,DATA!$A$3:$F$301,2,FALSE))^2+(VLOOKUP(AN$1,DATA!$A$3:$F$301,3,FALSE)-VLOOKUP($A9,DATA!$A$3:$F$301,3,FALSE))^2),"")</f>
        <v>33.376638536557273</v>
      </c>
      <c r="AO9" s="14">
        <f>_xlfn.IFNA(SQRT((VLOOKUP(AO$1,DATA!$A$3:$F$301,2,FALSE)-VLOOKUP($A9,DATA!$A$3:$F$301,2,FALSE))^2+(VLOOKUP(AO$1,DATA!$A$3:$F$301,3,FALSE)-VLOOKUP($A9,DATA!$A$3:$F$301,3,FALSE))^2),"")</f>
        <v>20.615528128088304</v>
      </c>
      <c r="AP9" s="14" t="str">
        <f>_xlfn.IFNA(SQRT((VLOOKUP(AP$1,DATA!$A$3:$F$301,2,FALSE)-VLOOKUP($A9,DATA!$A$3:$F$301,2,FALSE))^2+(VLOOKUP(AP$1,DATA!$A$3:$F$301,3,FALSE)-VLOOKUP($A9,DATA!$A$3:$F$301,3,FALSE))^2),"")</f>
        <v/>
      </c>
      <c r="AQ9" s="14" t="str">
        <f>_xlfn.IFNA(SQRT((VLOOKUP(AQ$1,DATA!$A$3:$F$301,2,FALSE)-VLOOKUP($A9,DATA!$A$3:$F$301,2,FALSE))^2+(VLOOKUP(AQ$1,DATA!$A$3:$F$301,3,FALSE)-VLOOKUP($A9,DATA!$A$3:$F$301,3,FALSE))^2),"")</f>
        <v/>
      </c>
      <c r="AR9" s="14" t="str">
        <f>_xlfn.IFNA(SQRT((VLOOKUP(AR$1,DATA!$A$3:$F$301,2,FALSE)-VLOOKUP($A9,DATA!$A$3:$F$301,2,FALSE))^2+(VLOOKUP(AR$1,DATA!$A$3:$F$301,3,FALSE)-VLOOKUP($A9,DATA!$A$3:$F$301,3,FALSE))^2),"")</f>
        <v/>
      </c>
      <c r="AS9" s="14" t="str">
        <f>_xlfn.IFNA(SQRT((VLOOKUP(AS$1,DATA!$A$3:$F$301,2,FALSE)-VLOOKUP($A9,DATA!$A$3:$F$301,2,FALSE))^2+(VLOOKUP(AS$1,DATA!$A$3:$F$301,3,FALSE)-VLOOKUP($A9,DATA!$A$3:$F$301,3,FALSE))^2),"")</f>
        <v/>
      </c>
      <c r="AT9" s="14" t="str">
        <f>_xlfn.IFNA(SQRT((VLOOKUP(AT$1,DATA!$A$3:$F$301,2,FALSE)-VLOOKUP($A9,DATA!$A$3:$F$301,2,FALSE))^2+(VLOOKUP(AT$1,DATA!$A$3:$F$301,3,FALSE)-VLOOKUP($A9,DATA!$A$3:$F$301,3,FALSE))^2),"")</f>
        <v/>
      </c>
      <c r="AU9" s="14" t="str">
        <f>_xlfn.IFNA(SQRT((VLOOKUP(AU$1,DATA!$A$3:$F$301,2,FALSE)-VLOOKUP($A9,DATA!$A$3:$F$301,2,FALSE))^2+(VLOOKUP(AU$1,DATA!$A$3:$F$301,3,FALSE)-VLOOKUP($A9,DATA!$A$3:$F$301,3,FALSE))^2),"")</f>
        <v/>
      </c>
      <c r="AV9" s="14" t="str">
        <f>_xlfn.IFNA(SQRT((VLOOKUP(AV$1,DATA!$A$3:$F$301,2,FALSE)-VLOOKUP($A9,DATA!$A$3:$F$301,2,FALSE))^2+(VLOOKUP(AV$1,DATA!$A$3:$F$301,3,FALSE)-VLOOKUP($A9,DATA!$A$3:$F$301,3,FALSE))^2),"")</f>
        <v/>
      </c>
      <c r="AW9" s="14" t="str">
        <f>_xlfn.IFNA(SQRT((VLOOKUP(AW$1,DATA!$A$3:$F$301,2,FALSE)-VLOOKUP($A9,DATA!$A$3:$F$301,2,FALSE))^2+(VLOOKUP(AW$1,DATA!$A$3:$F$301,3,FALSE)-VLOOKUP($A9,DATA!$A$3:$F$301,3,FALSE))^2),"")</f>
        <v/>
      </c>
      <c r="AX9" s="14" t="str">
        <f>_xlfn.IFNA(SQRT((VLOOKUP(AX$1,DATA!$A$3:$F$301,2,FALSE)-VLOOKUP($A9,DATA!$A$3:$F$301,2,FALSE))^2+(VLOOKUP(AX$1,DATA!$A$3:$F$301,3,FALSE)-VLOOKUP($A9,DATA!$A$3:$F$301,3,FALSE))^2),"")</f>
        <v/>
      </c>
      <c r="AY9" s="14" t="str">
        <f>_xlfn.IFNA(SQRT((VLOOKUP(AY$1,DATA!$A$3:$F$301,2,FALSE)-VLOOKUP($A9,DATA!$A$3:$F$301,2,FALSE))^2+(VLOOKUP(AY$1,DATA!$A$3:$F$301,3,FALSE)-VLOOKUP($A9,DATA!$A$3:$F$301,3,FALSE))^2),"")</f>
        <v/>
      </c>
      <c r="AZ9" s="14" t="str">
        <f>_xlfn.IFNA(SQRT((VLOOKUP(AZ$1,DATA!$A$3:$F$301,2,FALSE)-VLOOKUP($A9,DATA!$A$3:$F$301,2,FALSE))^2+(VLOOKUP(AZ$1,DATA!$A$3:$F$301,3,FALSE)-VLOOKUP($A9,DATA!$A$3:$F$301,3,FALSE))^2),"")</f>
        <v/>
      </c>
      <c r="BA9" s="14" t="str">
        <f>_xlfn.IFNA(SQRT((VLOOKUP(BA$1,DATA!$A$3:$F$301,2,FALSE)-VLOOKUP($A9,DATA!$A$3:$F$301,2,FALSE))^2+(VLOOKUP(BA$1,DATA!$A$3:$F$301,3,FALSE)-VLOOKUP($A9,DATA!$A$3:$F$301,3,FALSE))^2),"")</f>
        <v/>
      </c>
      <c r="BB9" s="14" t="str">
        <f>_xlfn.IFNA(SQRT((VLOOKUP(BB$1,DATA!$A$3:$F$301,2,FALSE)-VLOOKUP($A9,DATA!$A$3:$F$301,2,FALSE))^2+(VLOOKUP(BB$1,DATA!$A$3:$F$301,3,FALSE)-VLOOKUP($A9,DATA!$A$3:$F$301,3,FALSE))^2),"")</f>
        <v/>
      </c>
      <c r="BC9" s="14" t="str">
        <f>_xlfn.IFNA(SQRT((VLOOKUP(BC$1,DATA!$A$3:$F$301,2,FALSE)-VLOOKUP($A9,DATA!$A$3:$F$301,2,FALSE))^2+(VLOOKUP(BC$1,DATA!$A$3:$F$301,3,FALSE)-VLOOKUP($A9,DATA!$A$3:$F$301,3,FALSE))^2),"")</f>
        <v/>
      </c>
      <c r="BD9" s="14" t="str">
        <f>_xlfn.IFNA(SQRT((VLOOKUP(BD$1,DATA!$A$3:$F$301,2,FALSE)-VLOOKUP($A9,DATA!$A$3:$F$301,2,FALSE))^2+(VLOOKUP(BD$1,DATA!$A$3:$F$301,3,FALSE)-VLOOKUP($A9,DATA!$A$3:$F$301,3,FALSE))^2),"")</f>
        <v/>
      </c>
      <c r="BE9" s="14" t="str">
        <f>_xlfn.IFNA(SQRT((VLOOKUP(BE$1,DATA!$A$3:$F$301,2,FALSE)-VLOOKUP($A9,DATA!$A$3:$F$301,2,FALSE))^2+(VLOOKUP(BE$1,DATA!$A$3:$F$301,3,FALSE)-VLOOKUP($A9,DATA!$A$3:$F$301,3,FALSE))^2),"")</f>
        <v/>
      </c>
      <c r="BF9" s="14" t="str">
        <f>_xlfn.IFNA(SQRT((VLOOKUP(BF$1,DATA!$A$3:$F$301,2,FALSE)-VLOOKUP($A9,DATA!$A$3:$F$301,2,FALSE))^2+(VLOOKUP(BF$1,DATA!$A$3:$F$301,3,FALSE)-VLOOKUP($A9,DATA!$A$3:$F$301,3,FALSE))^2),"")</f>
        <v/>
      </c>
      <c r="BG9" s="14" t="str">
        <f>_xlfn.IFNA(SQRT((VLOOKUP(BG$1,DATA!$A$3:$F$301,2,FALSE)-VLOOKUP($A9,DATA!$A$3:$F$301,2,FALSE))^2+(VLOOKUP(BG$1,DATA!$A$3:$F$301,3,FALSE)-VLOOKUP($A9,DATA!$A$3:$F$301,3,FALSE))^2),"")</f>
        <v/>
      </c>
      <c r="BH9" s="14" t="str">
        <f>_xlfn.IFNA(SQRT((VLOOKUP(BH$1,DATA!$A$3:$F$301,2,FALSE)-VLOOKUP($A9,DATA!$A$3:$F$301,2,FALSE))^2+(VLOOKUP(BH$1,DATA!$A$3:$F$301,3,FALSE)-VLOOKUP($A9,DATA!$A$3:$F$301,3,FALSE))^2),"")</f>
        <v/>
      </c>
      <c r="BI9" s="14" t="str">
        <f>_xlfn.IFNA(SQRT((VLOOKUP(BI$1,DATA!$A$3:$F$301,2,FALSE)-VLOOKUP($A9,DATA!$A$3:$F$301,2,FALSE))^2+(VLOOKUP(BI$1,DATA!$A$3:$F$301,3,FALSE)-VLOOKUP($A9,DATA!$A$3:$F$301,3,FALSE))^2),"")</f>
        <v/>
      </c>
      <c r="BJ9" s="14" t="str">
        <f>_xlfn.IFNA(SQRT((VLOOKUP(BJ$1,DATA!$A$3:$F$301,2,FALSE)-VLOOKUP($A9,DATA!$A$3:$F$301,2,FALSE))^2+(VLOOKUP(BJ$1,DATA!$A$3:$F$301,3,FALSE)-VLOOKUP($A9,DATA!$A$3:$F$301,3,FALSE))^2),"")</f>
        <v/>
      </c>
      <c r="BK9" s="14" t="str">
        <f>_xlfn.IFNA(SQRT((VLOOKUP(BK$1,DATA!$A$3:$F$301,2,FALSE)-VLOOKUP($A9,DATA!$A$3:$F$301,2,FALSE))^2+(VLOOKUP(BK$1,DATA!$A$3:$F$301,3,FALSE)-VLOOKUP($A9,DATA!$A$3:$F$301,3,FALSE))^2),"")</f>
        <v/>
      </c>
      <c r="BL9" s="14" t="str">
        <f>_xlfn.IFNA(SQRT((VLOOKUP(BL$1,DATA!$A$3:$F$301,2,FALSE)-VLOOKUP($A9,DATA!$A$3:$F$301,2,FALSE))^2+(VLOOKUP(BL$1,DATA!$A$3:$F$301,3,FALSE)-VLOOKUP($A9,DATA!$A$3:$F$301,3,FALSE))^2),"")</f>
        <v/>
      </c>
      <c r="BM9" s="14" t="str">
        <f>_xlfn.IFNA(SQRT((VLOOKUP(BM$1,DATA!$A$3:$F$301,2,FALSE)-VLOOKUP($A9,DATA!$A$3:$F$301,2,FALSE))^2+(VLOOKUP(BM$1,DATA!$A$3:$F$301,3,FALSE)-VLOOKUP($A9,DATA!$A$3:$F$301,3,FALSE))^2),"")</f>
        <v/>
      </c>
      <c r="BN9" s="14" t="str">
        <f>_xlfn.IFNA(SQRT((VLOOKUP(BN$1,DATA!$A$3:$F$301,2,FALSE)-VLOOKUP($A9,DATA!$A$3:$F$301,2,FALSE))^2+(VLOOKUP(BN$1,DATA!$A$3:$F$301,3,FALSE)-VLOOKUP($A9,DATA!$A$3:$F$301,3,FALSE))^2),"")</f>
        <v/>
      </c>
      <c r="BO9" s="14" t="str">
        <f>_xlfn.IFNA(SQRT((VLOOKUP(BO$1,DATA!$A$3:$F$301,2,FALSE)-VLOOKUP($A9,DATA!$A$3:$F$301,2,FALSE))^2+(VLOOKUP(BO$1,DATA!$A$3:$F$301,3,FALSE)-VLOOKUP($A9,DATA!$A$3:$F$301,3,FALSE))^2),"")</f>
        <v/>
      </c>
      <c r="BP9" s="14" t="str">
        <f>_xlfn.IFNA(SQRT((VLOOKUP(BP$1,DATA!$A$3:$F$301,2,FALSE)-VLOOKUP($A9,DATA!$A$3:$F$301,2,FALSE))^2+(VLOOKUP(BP$1,DATA!$A$3:$F$301,3,FALSE)-VLOOKUP($A9,DATA!$A$3:$F$301,3,FALSE))^2),"")</f>
        <v/>
      </c>
      <c r="BQ9" s="14" t="str">
        <f>_xlfn.IFNA(SQRT((VLOOKUP(BQ$1,DATA!$A$3:$F$301,2,FALSE)-VLOOKUP($A9,DATA!$A$3:$F$301,2,FALSE))^2+(VLOOKUP(BQ$1,DATA!$A$3:$F$301,3,FALSE)-VLOOKUP($A9,DATA!$A$3:$F$301,3,FALSE))^2),"")</f>
        <v/>
      </c>
      <c r="BR9" s="14" t="str">
        <f>_xlfn.IFNA(SQRT((VLOOKUP(BR$1,DATA!$A$3:$F$301,2,FALSE)-VLOOKUP($A9,DATA!$A$3:$F$301,2,FALSE))^2+(VLOOKUP(BR$1,DATA!$A$3:$F$301,3,FALSE)-VLOOKUP($A9,DATA!$A$3:$F$301,3,FALSE))^2),"")</f>
        <v/>
      </c>
      <c r="BS9" s="14" t="str">
        <f>_xlfn.IFNA(SQRT((VLOOKUP(BS$1,DATA!$A$3:$F$301,2,FALSE)-VLOOKUP($A9,DATA!$A$3:$F$301,2,FALSE))^2+(VLOOKUP(BS$1,DATA!$A$3:$F$301,3,FALSE)-VLOOKUP($A9,DATA!$A$3:$F$301,3,FALSE))^2),"")</f>
        <v/>
      </c>
      <c r="BT9" s="14" t="str">
        <f>_xlfn.IFNA(SQRT((VLOOKUP(BT$1,DATA!$A$3:$F$301,2,FALSE)-VLOOKUP($A9,DATA!$A$3:$F$301,2,FALSE))^2+(VLOOKUP(BT$1,DATA!$A$3:$F$301,3,FALSE)-VLOOKUP($A9,DATA!$A$3:$F$301,3,FALSE))^2),"")</f>
        <v/>
      </c>
      <c r="BU9" s="14" t="str">
        <f>_xlfn.IFNA(SQRT((VLOOKUP(BU$1,DATA!$A$3:$F$301,2,FALSE)-VLOOKUP($A9,DATA!$A$3:$F$301,2,FALSE))^2+(VLOOKUP(BU$1,DATA!$A$3:$F$301,3,FALSE)-VLOOKUP($A9,DATA!$A$3:$F$301,3,FALSE))^2),"")</f>
        <v/>
      </c>
      <c r="BV9" s="14" t="str">
        <f>_xlfn.IFNA(SQRT((VLOOKUP(BV$1,DATA!$A$3:$F$301,2,FALSE)-VLOOKUP($A9,DATA!$A$3:$F$301,2,FALSE))^2+(VLOOKUP(BV$1,DATA!$A$3:$F$301,3,FALSE)-VLOOKUP($A9,DATA!$A$3:$F$301,3,FALSE))^2),"")</f>
        <v/>
      </c>
      <c r="BW9" s="14" t="str">
        <f>_xlfn.IFNA(SQRT((VLOOKUP(BW$1,DATA!$A$3:$F$301,2,FALSE)-VLOOKUP($A9,DATA!$A$3:$F$301,2,FALSE))^2+(VLOOKUP(BW$1,DATA!$A$3:$F$301,3,FALSE)-VLOOKUP($A9,DATA!$A$3:$F$301,3,FALSE))^2),"")</f>
        <v/>
      </c>
      <c r="BX9" s="14" t="str">
        <f>_xlfn.IFNA(SQRT((VLOOKUP(BX$1,DATA!$A$3:$F$301,2,FALSE)-VLOOKUP($A9,DATA!$A$3:$F$301,2,FALSE))^2+(VLOOKUP(BX$1,DATA!$A$3:$F$301,3,FALSE)-VLOOKUP($A9,DATA!$A$3:$F$301,3,FALSE))^2),"")</f>
        <v/>
      </c>
      <c r="BY9" s="14" t="str">
        <f>_xlfn.IFNA(SQRT((VLOOKUP(BY$1,DATA!$A$3:$F$301,2,FALSE)-VLOOKUP($A9,DATA!$A$3:$F$301,2,FALSE))^2+(VLOOKUP(BY$1,DATA!$A$3:$F$301,3,FALSE)-VLOOKUP($A9,DATA!$A$3:$F$301,3,FALSE))^2),"")</f>
        <v/>
      </c>
      <c r="BZ9" s="14" t="str">
        <f>_xlfn.IFNA(SQRT((VLOOKUP(BZ$1,DATA!$A$3:$F$301,2,FALSE)-VLOOKUP($A9,DATA!$A$3:$F$301,2,FALSE))^2+(VLOOKUP(BZ$1,DATA!$A$3:$F$301,3,FALSE)-VLOOKUP($A9,DATA!$A$3:$F$301,3,FALSE))^2),"")</f>
        <v/>
      </c>
      <c r="CA9" s="14" t="str">
        <f>_xlfn.IFNA(SQRT((VLOOKUP(CA$1,DATA!$A$3:$F$301,2,FALSE)-VLOOKUP($A9,DATA!$A$3:$F$301,2,FALSE))^2+(VLOOKUP(CA$1,DATA!$A$3:$F$301,3,FALSE)-VLOOKUP($A9,DATA!$A$3:$F$301,3,FALSE))^2),"")</f>
        <v/>
      </c>
      <c r="CB9" s="14" t="str">
        <f>_xlfn.IFNA(SQRT((VLOOKUP(CB$1,DATA!$A$3:$F$301,2,FALSE)-VLOOKUP($A9,DATA!$A$3:$F$301,2,FALSE))^2+(VLOOKUP(CB$1,DATA!$A$3:$F$301,3,FALSE)-VLOOKUP($A9,DATA!$A$3:$F$301,3,FALSE))^2),"")</f>
        <v/>
      </c>
      <c r="CC9" s="14" t="str">
        <f>_xlfn.IFNA(SQRT((VLOOKUP(CC$1,DATA!$A$3:$F$301,2,FALSE)-VLOOKUP($A9,DATA!$A$3:$F$301,2,FALSE))^2+(VLOOKUP(CC$1,DATA!$A$3:$F$301,3,FALSE)-VLOOKUP($A9,DATA!$A$3:$F$301,3,FALSE))^2),"")</f>
        <v/>
      </c>
      <c r="CD9" s="14" t="str">
        <f>_xlfn.IFNA(SQRT((VLOOKUP(CD$1,DATA!$A$3:$F$301,2,FALSE)-VLOOKUP($A9,DATA!$A$3:$F$301,2,FALSE))^2+(VLOOKUP(CD$1,DATA!$A$3:$F$301,3,FALSE)-VLOOKUP($A9,DATA!$A$3:$F$301,3,FALSE))^2),"")</f>
        <v/>
      </c>
      <c r="CE9" s="14" t="str">
        <f>_xlfn.IFNA(SQRT((VLOOKUP(CE$1,DATA!$A$3:$F$301,2,FALSE)-VLOOKUP($A9,DATA!$A$3:$F$301,2,FALSE))^2+(VLOOKUP(CE$1,DATA!$A$3:$F$301,3,FALSE)-VLOOKUP($A9,DATA!$A$3:$F$301,3,FALSE))^2),"")</f>
        <v/>
      </c>
      <c r="CF9" s="14" t="str">
        <f>_xlfn.IFNA(SQRT((VLOOKUP(CF$1,DATA!$A$3:$F$301,2,FALSE)-VLOOKUP($A9,DATA!$A$3:$F$301,2,FALSE))^2+(VLOOKUP(CF$1,DATA!$A$3:$F$301,3,FALSE)-VLOOKUP($A9,DATA!$A$3:$F$301,3,FALSE))^2),"")</f>
        <v/>
      </c>
      <c r="CG9" s="14" t="str">
        <f>_xlfn.IFNA(SQRT((VLOOKUP(CG$1,DATA!$A$3:$F$301,2,FALSE)-VLOOKUP($A9,DATA!$A$3:$F$301,2,FALSE))^2+(VLOOKUP(CG$1,DATA!$A$3:$F$301,3,FALSE)-VLOOKUP($A9,DATA!$A$3:$F$301,3,FALSE))^2),"")</f>
        <v/>
      </c>
      <c r="CH9" s="14" t="str">
        <f>_xlfn.IFNA(SQRT((VLOOKUP(CH$1,DATA!$A$3:$F$301,2,FALSE)-VLOOKUP($A9,DATA!$A$3:$F$301,2,FALSE))^2+(VLOOKUP(CH$1,DATA!$A$3:$F$301,3,FALSE)-VLOOKUP($A9,DATA!$A$3:$F$301,3,FALSE))^2),"")</f>
        <v/>
      </c>
      <c r="CI9" s="14" t="str">
        <f>_xlfn.IFNA(SQRT((VLOOKUP(CI$1,DATA!$A$3:$F$301,2,FALSE)-VLOOKUP($A9,DATA!$A$3:$F$301,2,FALSE))^2+(VLOOKUP(CI$1,DATA!$A$3:$F$301,3,FALSE)-VLOOKUP($A9,DATA!$A$3:$F$301,3,FALSE))^2),"")</f>
        <v/>
      </c>
      <c r="CJ9" s="14" t="str">
        <f>_xlfn.IFNA(SQRT((VLOOKUP(CJ$1,DATA!$A$3:$F$301,2,FALSE)-VLOOKUP($A9,DATA!$A$3:$F$301,2,FALSE))^2+(VLOOKUP(CJ$1,DATA!$A$3:$F$301,3,FALSE)-VLOOKUP($A9,DATA!$A$3:$F$301,3,FALSE))^2),"")</f>
        <v/>
      </c>
      <c r="CK9" s="14" t="str">
        <f>_xlfn.IFNA(SQRT((VLOOKUP(CK$1,DATA!$A$3:$F$301,2,FALSE)-VLOOKUP($A9,DATA!$A$3:$F$301,2,FALSE))^2+(VLOOKUP(CK$1,DATA!$A$3:$F$301,3,FALSE)-VLOOKUP($A9,DATA!$A$3:$F$301,3,FALSE))^2),"")</f>
        <v/>
      </c>
      <c r="CL9" s="14" t="str">
        <f>_xlfn.IFNA(SQRT((VLOOKUP(CL$1,DATA!$A$3:$F$301,2,FALSE)-VLOOKUP($A9,DATA!$A$3:$F$301,2,FALSE))^2+(VLOOKUP(CL$1,DATA!$A$3:$F$301,3,FALSE)-VLOOKUP($A9,DATA!$A$3:$F$301,3,FALSE))^2),"")</f>
        <v/>
      </c>
      <c r="CM9" s="14" t="str">
        <f>_xlfn.IFNA(SQRT((VLOOKUP(CM$1,DATA!$A$3:$F$301,2,FALSE)-VLOOKUP($A9,DATA!$A$3:$F$301,2,FALSE))^2+(VLOOKUP(CM$1,DATA!$A$3:$F$301,3,FALSE)-VLOOKUP($A9,DATA!$A$3:$F$301,3,FALSE))^2),"")</f>
        <v/>
      </c>
      <c r="CN9" s="14" t="str">
        <f>_xlfn.IFNA(SQRT((VLOOKUP(CN$1,DATA!$A$3:$F$301,2,FALSE)-VLOOKUP($A9,DATA!$A$3:$F$301,2,FALSE))^2+(VLOOKUP(CN$1,DATA!$A$3:$F$301,3,FALSE)-VLOOKUP($A9,DATA!$A$3:$F$301,3,FALSE))^2),"")</f>
        <v/>
      </c>
      <c r="CO9" s="14" t="str">
        <f>_xlfn.IFNA(SQRT((VLOOKUP(CO$1,DATA!$A$3:$F$301,2,FALSE)-VLOOKUP($A9,DATA!$A$3:$F$301,2,FALSE))^2+(VLOOKUP(CO$1,DATA!$A$3:$F$301,3,FALSE)-VLOOKUP($A9,DATA!$A$3:$F$301,3,FALSE))^2),"")</f>
        <v/>
      </c>
      <c r="CP9" s="14" t="str">
        <f>_xlfn.IFNA(SQRT((VLOOKUP(CP$1,DATA!$A$3:$F$301,2,FALSE)-VLOOKUP($A9,DATA!$A$3:$F$301,2,FALSE))^2+(VLOOKUP(CP$1,DATA!$A$3:$F$301,3,FALSE)-VLOOKUP($A9,DATA!$A$3:$F$301,3,FALSE))^2),"")</f>
        <v/>
      </c>
      <c r="CQ9" s="14" t="str">
        <f>_xlfn.IFNA(SQRT((VLOOKUP(CQ$1,DATA!$A$3:$F$301,2,FALSE)-VLOOKUP($A9,DATA!$A$3:$F$301,2,FALSE))^2+(VLOOKUP(CQ$1,DATA!$A$3:$F$301,3,FALSE)-VLOOKUP($A9,DATA!$A$3:$F$301,3,FALSE))^2),"")</f>
        <v/>
      </c>
      <c r="CR9" s="14" t="str">
        <f>_xlfn.IFNA(SQRT((VLOOKUP(CR$1,DATA!$A$3:$F$301,2,FALSE)-VLOOKUP($A9,DATA!$A$3:$F$301,2,FALSE))^2+(VLOOKUP(CR$1,DATA!$A$3:$F$301,3,FALSE)-VLOOKUP($A9,DATA!$A$3:$F$301,3,FALSE))^2),"")</f>
        <v/>
      </c>
      <c r="CS9" s="14" t="str">
        <f>_xlfn.IFNA(SQRT((VLOOKUP(CS$1,DATA!$A$3:$F$301,2,FALSE)-VLOOKUP($A9,DATA!$A$3:$F$301,2,FALSE))^2+(VLOOKUP(CS$1,DATA!$A$3:$F$301,3,FALSE)-VLOOKUP($A9,DATA!$A$3:$F$301,3,FALSE))^2),"")</f>
        <v/>
      </c>
      <c r="CT9" s="14" t="str">
        <f>_xlfn.IFNA(SQRT((VLOOKUP(CT$1,DATA!$A$3:$F$301,2,FALSE)-VLOOKUP($A9,DATA!$A$3:$F$301,2,FALSE))^2+(VLOOKUP(CT$1,DATA!$A$3:$F$301,3,FALSE)-VLOOKUP($A9,DATA!$A$3:$F$301,3,FALSE))^2),"")</f>
        <v/>
      </c>
      <c r="CU9" s="14" t="str">
        <f>_xlfn.IFNA(SQRT((VLOOKUP(CU$1,DATA!$A$3:$F$301,2,FALSE)-VLOOKUP($A9,DATA!$A$3:$F$301,2,FALSE))^2+(VLOOKUP(CU$1,DATA!$A$3:$F$301,3,FALSE)-VLOOKUP($A9,DATA!$A$3:$F$301,3,FALSE))^2),"")</f>
        <v/>
      </c>
      <c r="CV9" s="14" t="str">
        <f>_xlfn.IFNA(SQRT((VLOOKUP(CV$1,DATA!$A$3:$F$301,2,FALSE)-VLOOKUP($A9,DATA!$A$3:$F$301,2,FALSE))^2+(VLOOKUP(CV$1,DATA!$A$3:$F$301,3,FALSE)-VLOOKUP($A9,DATA!$A$3:$F$301,3,FALSE))^2),"")</f>
        <v/>
      </c>
      <c r="CW9" s="14" t="str">
        <f>_xlfn.IFNA(SQRT((VLOOKUP(CW$1,DATA!$A$3:$F$301,2,FALSE)-VLOOKUP($A9,DATA!$A$3:$F$301,2,FALSE))^2+(VLOOKUP(CW$1,DATA!$A$3:$F$301,3,FALSE)-VLOOKUP($A9,DATA!$A$3:$F$301,3,FALSE))^2),"")</f>
        <v/>
      </c>
      <c r="CX9" s="14" t="str">
        <f>_xlfn.IFNA(SQRT((VLOOKUP(CX$1,DATA!$A$3:$F$301,2,FALSE)-VLOOKUP($A9,DATA!$A$3:$F$301,2,FALSE))^2+(VLOOKUP(CX$1,DATA!$A$3:$F$301,3,FALSE)-VLOOKUP($A9,DATA!$A$3:$F$301,3,FALSE))^2),"")</f>
        <v/>
      </c>
    </row>
    <row r="10" spans="1:102">
      <c r="A10" s="13">
        <v>9</v>
      </c>
      <c r="B10" s="14">
        <f>_xlfn.IFNA(SQRT((VLOOKUP(B$1,DATA!$A$3:$F$301,2,FALSE)-VLOOKUP($A10,DATA!$A$3:$F$301,2,FALSE))^2+(VLOOKUP(B$1,DATA!$A$3:$F$301,3,FALSE)-VLOOKUP($A10,DATA!$A$3:$F$301,3,FALSE))^2),"")</f>
        <v>14.866068747318506</v>
      </c>
      <c r="C10" s="14">
        <f>_xlfn.IFNA(SQRT((VLOOKUP(C$1,DATA!$A$3:$F$301,2,FALSE)-VLOOKUP($A10,DATA!$A$3:$F$301,2,FALSE))^2+(VLOOKUP(C$1,DATA!$A$3:$F$301,3,FALSE)-VLOOKUP($A10,DATA!$A$3:$F$301,3,FALSE))^2),"")</f>
        <v>19.416487838947599</v>
      </c>
      <c r="D10" s="14">
        <f>_xlfn.IFNA(SQRT((VLOOKUP(D$1,DATA!$A$3:$F$301,2,FALSE)-VLOOKUP($A10,DATA!$A$3:$F$301,2,FALSE))^2+(VLOOKUP(D$1,DATA!$A$3:$F$301,3,FALSE)-VLOOKUP($A10,DATA!$A$3:$F$301,3,FALSE))^2),"")</f>
        <v>22.022715545545239</v>
      </c>
      <c r="E10" s="14">
        <f>_xlfn.IFNA(SQRT((VLOOKUP(E$1,DATA!$A$3:$F$301,2,FALSE)-VLOOKUP($A10,DATA!$A$3:$F$301,2,FALSE))^2+(VLOOKUP(E$1,DATA!$A$3:$F$301,3,FALSE)-VLOOKUP($A10,DATA!$A$3:$F$301,3,FALSE))^2),"")</f>
        <v>14.142135623730951</v>
      </c>
      <c r="F10" s="14">
        <f>_xlfn.IFNA(SQRT((VLOOKUP(F$1,DATA!$A$3:$F$301,2,FALSE)-VLOOKUP($A10,DATA!$A$3:$F$301,2,FALSE))^2+(VLOOKUP(F$1,DATA!$A$3:$F$301,3,FALSE)-VLOOKUP($A10,DATA!$A$3:$F$301,3,FALSE))^2),"")</f>
        <v>29.832867780352597</v>
      </c>
      <c r="G10" s="14">
        <f>_xlfn.IFNA(SQRT((VLOOKUP(G$1,DATA!$A$3:$F$301,2,FALSE)-VLOOKUP($A10,DATA!$A$3:$F$301,2,FALSE))^2+(VLOOKUP(G$1,DATA!$A$3:$F$301,3,FALSE)-VLOOKUP($A10,DATA!$A$3:$F$301,3,FALSE))^2),"")</f>
        <v>8.0622577482985491</v>
      </c>
      <c r="H10" s="14">
        <f>_xlfn.IFNA(SQRT((VLOOKUP(H$1,DATA!$A$3:$F$301,2,FALSE)-VLOOKUP($A10,DATA!$A$3:$F$301,2,FALSE))^2+(VLOOKUP(H$1,DATA!$A$3:$F$301,3,FALSE)-VLOOKUP($A10,DATA!$A$3:$F$301,3,FALSE))^2),"")</f>
        <v>17.088007490635061</v>
      </c>
      <c r="I10" s="14">
        <f>_xlfn.IFNA(SQRT((VLOOKUP(I$1,DATA!$A$3:$F$301,2,FALSE)-VLOOKUP($A10,DATA!$A$3:$F$301,2,FALSE))^2+(VLOOKUP(I$1,DATA!$A$3:$F$301,3,FALSE)-VLOOKUP($A10,DATA!$A$3:$F$301,3,FALSE))^2),"")</f>
        <v>20.808652046684813</v>
      </c>
      <c r="J10" s="14">
        <f>_xlfn.IFNA(SQRT((VLOOKUP(J$1,DATA!$A$3:$F$301,2,FALSE)-VLOOKUP($A10,DATA!$A$3:$F$301,2,FALSE))^2+(VLOOKUP(J$1,DATA!$A$3:$F$301,3,FALSE)-VLOOKUP($A10,DATA!$A$3:$F$301,3,FALSE))^2),"")</f>
        <v>0</v>
      </c>
      <c r="K10" s="14">
        <f>_xlfn.IFNA(SQRT((VLOOKUP(K$1,DATA!$A$3:$F$301,2,FALSE)-VLOOKUP($A10,DATA!$A$3:$F$301,2,FALSE))^2+(VLOOKUP(K$1,DATA!$A$3:$F$301,3,FALSE)-VLOOKUP($A10,DATA!$A$3:$F$301,3,FALSE))^2),"")</f>
        <v>26.40075756488817</v>
      </c>
      <c r="L10" s="14">
        <f>_xlfn.IFNA(SQRT((VLOOKUP(L$1,DATA!$A$3:$F$301,2,FALSE)-VLOOKUP($A10,DATA!$A$3:$F$301,2,FALSE))^2+(VLOOKUP(L$1,DATA!$A$3:$F$301,3,FALSE)-VLOOKUP($A10,DATA!$A$3:$F$301,3,FALSE))^2),"")</f>
        <v>16.401219466856727</v>
      </c>
      <c r="M10" s="14">
        <f>_xlfn.IFNA(SQRT((VLOOKUP(M$1,DATA!$A$3:$F$301,2,FALSE)-VLOOKUP($A10,DATA!$A$3:$F$301,2,FALSE))^2+(VLOOKUP(M$1,DATA!$A$3:$F$301,3,FALSE)-VLOOKUP($A10,DATA!$A$3:$F$301,3,FALSE))^2),"")</f>
        <v>13.892443989449804</v>
      </c>
      <c r="N10" s="14">
        <f>_xlfn.IFNA(SQRT((VLOOKUP(N$1,DATA!$A$3:$F$301,2,FALSE)-VLOOKUP($A10,DATA!$A$3:$F$301,2,FALSE))^2+(VLOOKUP(N$1,DATA!$A$3:$F$301,3,FALSE)-VLOOKUP($A10,DATA!$A$3:$F$301,3,FALSE))^2),"")</f>
        <v>8.9442719099991592</v>
      </c>
      <c r="O10" s="14">
        <f>_xlfn.IFNA(SQRT((VLOOKUP(O$1,DATA!$A$3:$F$301,2,FALSE)-VLOOKUP($A10,DATA!$A$3:$F$301,2,FALSE))^2+(VLOOKUP(O$1,DATA!$A$3:$F$301,3,FALSE)-VLOOKUP($A10,DATA!$A$3:$F$301,3,FALSE))^2),"")</f>
        <v>36.069377593742864</v>
      </c>
      <c r="P10" s="14">
        <f>_xlfn.IFNA(SQRT((VLOOKUP(P$1,DATA!$A$3:$F$301,2,FALSE)-VLOOKUP($A10,DATA!$A$3:$F$301,2,FALSE))^2+(VLOOKUP(P$1,DATA!$A$3:$F$301,3,FALSE)-VLOOKUP($A10,DATA!$A$3:$F$301,3,FALSE))^2),"")</f>
        <v>29.681644159311659</v>
      </c>
      <c r="Q10" s="14">
        <f>_xlfn.IFNA(SQRT((VLOOKUP(Q$1,DATA!$A$3:$F$301,2,FALSE)-VLOOKUP($A10,DATA!$A$3:$F$301,2,FALSE))^2+(VLOOKUP(Q$1,DATA!$A$3:$F$301,3,FALSE)-VLOOKUP($A10,DATA!$A$3:$F$301,3,FALSE))^2),"")</f>
        <v>9.8488578017961039</v>
      </c>
      <c r="R10" s="14">
        <f>_xlfn.IFNA(SQRT((VLOOKUP(R$1,DATA!$A$3:$F$301,2,FALSE)-VLOOKUP($A10,DATA!$A$3:$F$301,2,FALSE))^2+(VLOOKUP(R$1,DATA!$A$3:$F$301,3,FALSE)-VLOOKUP($A10,DATA!$A$3:$F$301,3,FALSE))^2),"")</f>
        <v>19.646882704388499</v>
      </c>
      <c r="S10" s="14">
        <f>_xlfn.IFNA(SQRT((VLOOKUP(S$1,DATA!$A$3:$F$301,2,FALSE)-VLOOKUP($A10,DATA!$A$3:$F$301,2,FALSE))^2+(VLOOKUP(S$1,DATA!$A$3:$F$301,3,FALSE)-VLOOKUP($A10,DATA!$A$3:$F$301,3,FALSE))^2),"")</f>
        <v>9.4868329805051381</v>
      </c>
      <c r="T10" s="14">
        <f>_xlfn.IFNA(SQRT((VLOOKUP(T$1,DATA!$A$3:$F$301,2,FALSE)-VLOOKUP($A10,DATA!$A$3:$F$301,2,FALSE))^2+(VLOOKUP(T$1,DATA!$A$3:$F$301,3,FALSE)-VLOOKUP($A10,DATA!$A$3:$F$301,3,FALSE))^2),"")</f>
        <v>29.154759474226502</v>
      </c>
      <c r="U10" s="14">
        <f>_xlfn.IFNA(SQRT((VLOOKUP(U$1,DATA!$A$3:$F$301,2,FALSE)-VLOOKUP($A10,DATA!$A$3:$F$301,2,FALSE))^2+(VLOOKUP(U$1,DATA!$A$3:$F$301,3,FALSE)-VLOOKUP($A10,DATA!$A$3:$F$301,3,FALSE))^2),"")</f>
        <v>14</v>
      </c>
      <c r="V10" s="14">
        <f>_xlfn.IFNA(SQRT((VLOOKUP(V$1,DATA!$A$3:$F$301,2,FALSE)-VLOOKUP($A10,DATA!$A$3:$F$301,2,FALSE))^2+(VLOOKUP(V$1,DATA!$A$3:$F$301,3,FALSE)-VLOOKUP($A10,DATA!$A$3:$F$301,3,FALSE))^2),"")</f>
        <v>9.8488578017961039</v>
      </c>
      <c r="W10" s="14">
        <f>_xlfn.IFNA(SQRT((VLOOKUP(W$1,DATA!$A$3:$F$301,2,FALSE)-VLOOKUP($A10,DATA!$A$3:$F$301,2,FALSE))^2+(VLOOKUP(W$1,DATA!$A$3:$F$301,3,FALSE)-VLOOKUP($A10,DATA!$A$3:$F$301,3,FALSE))^2),"")</f>
        <v>17.029386365926403</v>
      </c>
      <c r="X10" s="14">
        <f>_xlfn.IFNA(SQRT((VLOOKUP(X$1,DATA!$A$3:$F$301,2,FALSE)-VLOOKUP($A10,DATA!$A$3:$F$301,2,FALSE))^2+(VLOOKUP(X$1,DATA!$A$3:$F$301,3,FALSE)-VLOOKUP($A10,DATA!$A$3:$F$301,3,FALSE))^2),"")</f>
        <v>22.472205054244231</v>
      </c>
      <c r="Y10" s="14">
        <f>_xlfn.IFNA(SQRT((VLOOKUP(Y$1,DATA!$A$3:$F$301,2,FALSE)-VLOOKUP($A10,DATA!$A$3:$F$301,2,FALSE))^2+(VLOOKUP(Y$1,DATA!$A$3:$F$301,3,FALSE)-VLOOKUP($A10,DATA!$A$3:$F$301,3,FALSE))^2),"")</f>
        <v>19.416487838947599</v>
      </c>
      <c r="Z10" s="14">
        <f>_xlfn.IFNA(SQRT((VLOOKUP(Z$1,DATA!$A$3:$F$301,2,FALSE)-VLOOKUP($A10,DATA!$A$3:$F$301,2,FALSE))^2+(VLOOKUP(Z$1,DATA!$A$3:$F$301,3,FALSE)-VLOOKUP($A10,DATA!$A$3:$F$301,3,FALSE))^2),"")</f>
        <v>20.223748416156685</v>
      </c>
      <c r="AA10" s="14">
        <f>_xlfn.IFNA(SQRT((VLOOKUP(AA$1,DATA!$A$3:$F$301,2,FALSE)-VLOOKUP($A10,DATA!$A$3:$F$301,2,FALSE))^2+(VLOOKUP(AA$1,DATA!$A$3:$F$301,3,FALSE)-VLOOKUP($A10,DATA!$A$3:$F$301,3,FALSE))^2),"")</f>
        <v>17.262676501632068</v>
      </c>
      <c r="AB10" s="14">
        <f>_xlfn.IFNA(SQRT((VLOOKUP(AB$1,DATA!$A$3:$F$301,2,FALSE)-VLOOKUP($A10,DATA!$A$3:$F$301,2,FALSE))^2+(VLOOKUP(AB$1,DATA!$A$3:$F$301,3,FALSE)-VLOOKUP($A10,DATA!$A$3:$F$301,3,FALSE))^2),"")</f>
        <v>24.839484696748443</v>
      </c>
      <c r="AC10" s="14">
        <f>_xlfn.IFNA(SQRT((VLOOKUP(AC$1,DATA!$A$3:$F$301,2,FALSE)-VLOOKUP($A10,DATA!$A$3:$F$301,2,FALSE))^2+(VLOOKUP(AC$1,DATA!$A$3:$F$301,3,FALSE)-VLOOKUP($A10,DATA!$A$3:$F$301,3,FALSE))^2),"")</f>
        <v>22.022715545545239</v>
      </c>
      <c r="AD10" s="14">
        <f>_xlfn.IFNA(SQRT((VLOOKUP(AD$1,DATA!$A$3:$F$301,2,FALSE)-VLOOKUP($A10,DATA!$A$3:$F$301,2,FALSE))^2+(VLOOKUP(AD$1,DATA!$A$3:$F$301,3,FALSE)-VLOOKUP($A10,DATA!$A$3:$F$301,3,FALSE))^2),"")</f>
        <v>22.671568097509269</v>
      </c>
      <c r="AE10" s="14">
        <f>_xlfn.IFNA(SQRT((VLOOKUP(AE$1,DATA!$A$3:$F$301,2,FALSE)-VLOOKUP($A10,DATA!$A$3:$F$301,2,FALSE))^2+(VLOOKUP(AE$1,DATA!$A$3:$F$301,3,FALSE)-VLOOKUP($A10,DATA!$A$3:$F$301,3,FALSE))^2),"")</f>
        <v>34</v>
      </c>
      <c r="AF10" s="14">
        <f>_xlfn.IFNA(SQRT((VLOOKUP(AF$1,DATA!$A$3:$F$301,2,FALSE)-VLOOKUP($A10,DATA!$A$3:$F$301,2,FALSE))^2+(VLOOKUP(AF$1,DATA!$A$3:$F$301,3,FALSE)-VLOOKUP($A10,DATA!$A$3:$F$301,3,FALSE))^2),"")</f>
        <v>15.231546211727817</v>
      </c>
      <c r="AG10" s="14">
        <f>_xlfn.IFNA(SQRT((VLOOKUP(AG$1,DATA!$A$3:$F$301,2,FALSE)-VLOOKUP($A10,DATA!$A$3:$F$301,2,FALSE))^2+(VLOOKUP(AG$1,DATA!$A$3:$F$301,3,FALSE)-VLOOKUP($A10,DATA!$A$3:$F$301,3,FALSE))^2),"")</f>
        <v>20.518284528683193</v>
      </c>
      <c r="AH10" s="14">
        <f>_xlfn.IFNA(SQRT((VLOOKUP(AH$1,DATA!$A$3:$F$301,2,FALSE)-VLOOKUP($A10,DATA!$A$3:$F$301,2,FALSE))^2+(VLOOKUP(AH$1,DATA!$A$3:$F$301,3,FALSE)-VLOOKUP($A10,DATA!$A$3:$F$301,3,FALSE))^2),"")</f>
        <v>4.1231056256176606</v>
      </c>
      <c r="AI10" s="14">
        <f>_xlfn.IFNA(SQRT((VLOOKUP(AI$1,DATA!$A$3:$F$301,2,FALSE)-VLOOKUP($A10,DATA!$A$3:$F$301,2,FALSE))^2+(VLOOKUP(AI$1,DATA!$A$3:$F$301,3,FALSE)-VLOOKUP($A10,DATA!$A$3:$F$301,3,FALSE))^2),"")</f>
        <v>19.104973174542799</v>
      </c>
      <c r="AJ10" s="14">
        <f>_xlfn.IFNA(SQRT((VLOOKUP(AJ$1,DATA!$A$3:$F$301,2,FALSE)-VLOOKUP($A10,DATA!$A$3:$F$301,2,FALSE))^2+(VLOOKUP(AJ$1,DATA!$A$3:$F$301,3,FALSE)-VLOOKUP($A10,DATA!$A$3:$F$301,3,FALSE))^2),"")</f>
        <v>16.031219541881399</v>
      </c>
      <c r="AK10" s="14">
        <f>_xlfn.IFNA(SQRT((VLOOKUP(AK$1,DATA!$A$3:$F$301,2,FALSE)-VLOOKUP($A10,DATA!$A$3:$F$301,2,FALSE))^2+(VLOOKUP(AK$1,DATA!$A$3:$F$301,3,FALSE)-VLOOKUP($A10,DATA!$A$3:$F$301,3,FALSE))^2),"")</f>
        <v>12.206555615733702</v>
      </c>
      <c r="AL10" s="14">
        <f>_xlfn.IFNA(SQRT((VLOOKUP(AL$1,DATA!$A$3:$F$301,2,FALSE)-VLOOKUP($A10,DATA!$A$3:$F$301,2,FALSE))^2+(VLOOKUP(AL$1,DATA!$A$3:$F$301,3,FALSE)-VLOOKUP($A10,DATA!$A$3:$F$301,3,FALSE))^2),"")</f>
        <v>28.160255680657446</v>
      </c>
      <c r="AM10" s="14">
        <f>_xlfn.IFNA(SQRT((VLOOKUP(AM$1,DATA!$A$3:$F$301,2,FALSE)-VLOOKUP($A10,DATA!$A$3:$F$301,2,FALSE))^2+(VLOOKUP(AM$1,DATA!$A$3:$F$301,3,FALSE)-VLOOKUP($A10,DATA!$A$3:$F$301,3,FALSE))^2),"")</f>
        <v>20.880613017821101</v>
      </c>
      <c r="AN10" s="14">
        <f>_xlfn.IFNA(SQRT((VLOOKUP(AN$1,DATA!$A$3:$F$301,2,FALSE)-VLOOKUP($A10,DATA!$A$3:$F$301,2,FALSE))^2+(VLOOKUP(AN$1,DATA!$A$3:$F$301,3,FALSE)-VLOOKUP($A10,DATA!$A$3:$F$301,3,FALSE))^2),"")</f>
        <v>23.345235059857504</v>
      </c>
      <c r="AO10" s="14">
        <f>_xlfn.IFNA(SQRT((VLOOKUP(AO$1,DATA!$A$3:$F$301,2,FALSE)-VLOOKUP($A10,DATA!$A$3:$F$301,2,FALSE))^2+(VLOOKUP(AO$1,DATA!$A$3:$F$301,3,FALSE)-VLOOKUP($A10,DATA!$A$3:$F$301,3,FALSE))^2),"")</f>
        <v>11.401754250991379</v>
      </c>
      <c r="AP10" s="14" t="str">
        <f>_xlfn.IFNA(SQRT((VLOOKUP(AP$1,DATA!$A$3:$F$301,2,FALSE)-VLOOKUP($A10,DATA!$A$3:$F$301,2,FALSE))^2+(VLOOKUP(AP$1,DATA!$A$3:$F$301,3,FALSE)-VLOOKUP($A10,DATA!$A$3:$F$301,3,FALSE))^2),"")</f>
        <v/>
      </c>
      <c r="AQ10" s="14" t="str">
        <f>_xlfn.IFNA(SQRT((VLOOKUP(AQ$1,DATA!$A$3:$F$301,2,FALSE)-VLOOKUP($A10,DATA!$A$3:$F$301,2,FALSE))^2+(VLOOKUP(AQ$1,DATA!$A$3:$F$301,3,FALSE)-VLOOKUP($A10,DATA!$A$3:$F$301,3,FALSE))^2),"")</f>
        <v/>
      </c>
      <c r="AR10" s="14" t="str">
        <f>_xlfn.IFNA(SQRT((VLOOKUP(AR$1,DATA!$A$3:$F$301,2,FALSE)-VLOOKUP($A10,DATA!$A$3:$F$301,2,FALSE))^2+(VLOOKUP(AR$1,DATA!$A$3:$F$301,3,FALSE)-VLOOKUP($A10,DATA!$A$3:$F$301,3,FALSE))^2),"")</f>
        <v/>
      </c>
      <c r="AS10" s="14" t="str">
        <f>_xlfn.IFNA(SQRT((VLOOKUP(AS$1,DATA!$A$3:$F$301,2,FALSE)-VLOOKUP($A10,DATA!$A$3:$F$301,2,FALSE))^2+(VLOOKUP(AS$1,DATA!$A$3:$F$301,3,FALSE)-VLOOKUP($A10,DATA!$A$3:$F$301,3,FALSE))^2),"")</f>
        <v/>
      </c>
      <c r="AT10" s="14" t="str">
        <f>_xlfn.IFNA(SQRT((VLOOKUP(AT$1,DATA!$A$3:$F$301,2,FALSE)-VLOOKUP($A10,DATA!$A$3:$F$301,2,FALSE))^2+(VLOOKUP(AT$1,DATA!$A$3:$F$301,3,FALSE)-VLOOKUP($A10,DATA!$A$3:$F$301,3,FALSE))^2),"")</f>
        <v/>
      </c>
      <c r="AU10" s="14" t="str">
        <f>_xlfn.IFNA(SQRT((VLOOKUP(AU$1,DATA!$A$3:$F$301,2,FALSE)-VLOOKUP($A10,DATA!$A$3:$F$301,2,FALSE))^2+(VLOOKUP(AU$1,DATA!$A$3:$F$301,3,FALSE)-VLOOKUP($A10,DATA!$A$3:$F$301,3,FALSE))^2),"")</f>
        <v/>
      </c>
      <c r="AV10" s="14" t="str">
        <f>_xlfn.IFNA(SQRT((VLOOKUP(AV$1,DATA!$A$3:$F$301,2,FALSE)-VLOOKUP($A10,DATA!$A$3:$F$301,2,FALSE))^2+(VLOOKUP(AV$1,DATA!$A$3:$F$301,3,FALSE)-VLOOKUP($A10,DATA!$A$3:$F$301,3,FALSE))^2),"")</f>
        <v/>
      </c>
      <c r="AW10" s="14" t="str">
        <f>_xlfn.IFNA(SQRT((VLOOKUP(AW$1,DATA!$A$3:$F$301,2,FALSE)-VLOOKUP($A10,DATA!$A$3:$F$301,2,FALSE))^2+(VLOOKUP(AW$1,DATA!$A$3:$F$301,3,FALSE)-VLOOKUP($A10,DATA!$A$3:$F$301,3,FALSE))^2),"")</f>
        <v/>
      </c>
      <c r="AX10" s="14" t="str">
        <f>_xlfn.IFNA(SQRT((VLOOKUP(AX$1,DATA!$A$3:$F$301,2,FALSE)-VLOOKUP($A10,DATA!$A$3:$F$301,2,FALSE))^2+(VLOOKUP(AX$1,DATA!$A$3:$F$301,3,FALSE)-VLOOKUP($A10,DATA!$A$3:$F$301,3,FALSE))^2),"")</f>
        <v/>
      </c>
      <c r="AY10" s="14" t="str">
        <f>_xlfn.IFNA(SQRT((VLOOKUP(AY$1,DATA!$A$3:$F$301,2,FALSE)-VLOOKUP($A10,DATA!$A$3:$F$301,2,FALSE))^2+(VLOOKUP(AY$1,DATA!$A$3:$F$301,3,FALSE)-VLOOKUP($A10,DATA!$A$3:$F$301,3,FALSE))^2),"")</f>
        <v/>
      </c>
      <c r="AZ10" s="14" t="str">
        <f>_xlfn.IFNA(SQRT((VLOOKUP(AZ$1,DATA!$A$3:$F$301,2,FALSE)-VLOOKUP($A10,DATA!$A$3:$F$301,2,FALSE))^2+(VLOOKUP(AZ$1,DATA!$A$3:$F$301,3,FALSE)-VLOOKUP($A10,DATA!$A$3:$F$301,3,FALSE))^2),"")</f>
        <v/>
      </c>
      <c r="BA10" s="14" t="str">
        <f>_xlfn.IFNA(SQRT((VLOOKUP(BA$1,DATA!$A$3:$F$301,2,FALSE)-VLOOKUP($A10,DATA!$A$3:$F$301,2,FALSE))^2+(VLOOKUP(BA$1,DATA!$A$3:$F$301,3,FALSE)-VLOOKUP($A10,DATA!$A$3:$F$301,3,FALSE))^2),"")</f>
        <v/>
      </c>
      <c r="BB10" s="14" t="str">
        <f>_xlfn.IFNA(SQRT((VLOOKUP(BB$1,DATA!$A$3:$F$301,2,FALSE)-VLOOKUP($A10,DATA!$A$3:$F$301,2,FALSE))^2+(VLOOKUP(BB$1,DATA!$A$3:$F$301,3,FALSE)-VLOOKUP($A10,DATA!$A$3:$F$301,3,FALSE))^2),"")</f>
        <v/>
      </c>
      <c r="BC10" s="14" t="str">
        <f>_xlfn.IFNA(SQRT((VLOOKUP(BC$1,DATA!$A$3:$F$301,2,FALSE)-VLOOKUP($A10,DATA!$A$3:$F$301,2,FALSE))^2+(VLOOKUP(BC$1,DATA!$A$3:$F$301,3,FALSE)-VLOOKUP($A10,DATA!$A$3:$F$301,3,FALSE))^2),"")</f>
        <v/>
      </c>
      <c r="BD10" s="14" t="str">
        <f>_xlfn.IFNA(SQRT((VLOOKUP(BD$1,DATA!$A$3:$F$301,2,FALSE)-VLOOKUP($A10,DATA!$A$3:$F$301,2,FALSE))^2+(VLOOKUP(BD$1,DATA!$A$3:$F$301,3,FALSE)-VLOOKUP($A10,DATA!$A$3:$F$301,3,FALSE))^2),"")</f>
        <v/>
      </c>
      <c r="BE10" s="14" t="str">
        <f>_xlfn.IFNA(SQRT((VLOOKUP(BE$1,DATA!$A$3:$F$301,2,FALSE)-VLOOKUP($A10,DATA!$A$3:$F$301,2,FALSE))^2+(VLOOKUP(BE$1,DATA!$A$3:$F$301,3,FALSE)-VLOOKUP($A10,DATA!$A$3:$F$301,3,FALSE))^2),"")</f>
        <v/>
      </c>
      <c r="BF10" s="14" t="str">
        <f>_xlfn.IFNA(SQRT((VLOOKUP(BF$1,DATA!$A$3:$F$301,2,FALSE)-VLOOKUP($A10,DATA!$A$3:$F$301,2,FALSE))^2+(VLOOKUP(BF$1,DATA!$A$3:$F$301,3,FALSE)-VLOOKUP($A10,DATA!$A$3:$F$301,3,FALSE))^2),"")</f>
        <v/>
      </c>
      <c r="BG10" s="14" t="str">
        <f>_xlfn.IFNA(SQRT((VLOOKUP(BG$1,DATA!$A$3:$F$301,2,FALSE)-VLOOKUP($A10,DATA!$A$3:$F$301,2,FALSE))^2+(VLOOKUP(BG$1,DATA!$A$3:$F$301,3,FALSE)-VLOOKUP($A10,DATA!$A$3:$F$301,3,FALSE))^2),"")</f>
        <v/>
      </c>
      <c r="BH10" s="14" t="str">
        <f>_xlfn.IFNA(SQRT((VLOOKUP(BH$1,DATA!$A$3:$F$301,2,FALSE)-VLOOKUP($A10,DATA!$A$3:$F$301,2,FALSE))^2+(VLOOKUP(BH$1,DATA!$A$3:$F$301,3,FALSE)-VLOOKUP($A10,DATA!$A$3:$F$301,3,FALSE))^2),"")</f>
        <v/>
      </c>
      <c r="BI10" s="14" t="str">
        <f>_xlfn.IFNA(SQRT((VLOOKUP(BI$1,DATA!$A$3:$F$301,2,FALSE)-VLOOKUP($A10,DATA!$A$3:$F$301,2,FALSE))^2+(VLOOKUP(BI$1,DATA!$A$3:$F$301,3,FALSE)-VLOOKUP($A10,DATA!$A$3:$F$301,3,FALSE))^2),"")</f>
        <v/>
      </c>
      <c r="BJ10" s="14" t="str">
        <f>_xlfn.IFNA(SQRT((VLOOKUP(BJ$1,DATA!$A$3:$F$301,2,FALSE)-VLOOKUP($A10,DATA!$A$3:$F$301,2,FALSE))^2+(VLOOKUP(BJ$1,DATA!$A$3:$F$301,3,FALSE)-VLOOKUP($A10,DATA!$A$3:$F$301,3,FALSE))^2),"")</f>
        <v/>
      </c>
      <c r="BK10" s="14" t="str">
        <f>_xlfn.IFNA(SQRT((VLOOKUP(BK$1,DATA!$A$3:$F$301,2,FALSE)-VLOOKUP($A10,DATA!$A$3:$F$301,2,FALSE))^2+(VLOOKUP(BK$1,DATA!$A$3:$F$301,3,FALSE)-VLOOKUP($A10,DATA!$A$3:$F$301,3,FALSE))^2),"")</f>
        <v/>
      </c>
      <c r="BL10" s="14" t="str">
        <f>_xlfn.IFNA(SQRT((VLOOKUP(BL$1,DATA!$A$3:$F$301,2,FALSE)-VLOOKUP($A10,DATA!$A$3:$F$301,2,FALSE))^2+(VLOOKUP(BL$1,DATA!$A$3:$F$301,3,FALSE)-VLOOKUP($A10,DATA!$A$3:$F$301,3,FALSE))^2),"")</f>
        <v/>
      </c>
      <c r="BM10" s="14" t="str">
        <f>_xlfn.IFNA(SQRT((VLOOKUP(BM$1,DATA!$A$3:$F$301,2,FALSE)-VLOOKUP($A10,DATA!$A$3:$F$301,2,FALSE))^2+(VLOOKUP(BM$1,DATA!$A$3:$F$301,3,FALSE)-VLOOKUP($A10,DATA!$A$3:$F$301,3,FALSE))^2),"")</f>
        <v/>
      </c>
      <c r="BN10" s="14" t="str">
        <f>_xlfn.IFNA(SQRT((VLOOKUP(BN$1,DATA!$A$3:$F$301,2,FALSE)-VLOOKUP($A10,DATA!$A$3:$F$301,2,FALSE))^2+(VLOOKUP(BN$1,DATA!$A$3:$F$301,3,FALSE)-VLOOKUP($A10,DATA!$A$3:$F$301,3,FALSE))^2),"")</f>
        <v/>
      </c>
      <c r="BO10" s="14" t="str">
        <f>_xlfn.IFNA(SQRT((VLOOKUP(BO$1,DATA!$A$3:$F$301,2,FALSE)-VLOOKUP($A10,DATA!$A$3:$F$301,2,FALSE))^2+(VLOOKUP(BO$1,DATA!$A$3:$F$301,3,FALSE)-VLOOKUP($A10,DATA!$A$3:$F$301,3,FALSE))^2),"")</f>
        <v/>
      </c>
      <c r="BP10" s="14" t="str">
        <f>_xlfn.IFNA(SQRT((VLOOKUP(BP$1,DATA!$A$3:$F$301,2,FALSE)-VLOOKUP($A10,DATA!$A$3:$F$301,2,FALSE))^2+(VLOOKUP(BP$1,DATA!$A$3:$F$301,3,FALSE)-VLOOKUP($A10,DATA!$A$3:$F$301,3,FALSE))^2),"")</f>
        <v/>
      </c>
      <c r="BQ10" s="14" t="str">
        <f>_xlfn.IFNA(SQRT((VLOOKUP(BQ$1,DATA!$A$3:$F$301,2,FALSE)-VLOOKUP($A10,DATA!$A$3:$F$301,2,FALSE))^2+(VLOOKUP(BQ$1,DATA!$A$3:$F$301,3,FALSE)-VLOOKUP($A10,DATA!$A$3:$F$301,3,FALSE))^2),"")</f>
        <v/>
      </c>
      <c r="BR10" s="14" t="str">
        <f>_xlfn.IFNA(SQRT((VLOOKUP(BR$1,DATA!$A$3:$F$301,2,FALSE)-VLOOKUP($A10,DATA!$A$3:$F$301,2,FALSE))^2+(VLOOKUP(BR$1,DATA!$A$3:$F$301,3,FALSE)-VLOOKUP($A10,DATA!$A$3:$F$301,3,FALSE))^2),"")</f>
        <v/>
      </c>
      <c r="BS10" s="14" t="str">
        <f>_xlfn.IFNA(SQRT((VLOOKUP(BS$1,DATA!$A$3:$F$301,2,FALSE)-VLOOKUP($A10,DATA!$A$3:$F$301,2,FALSE))^2+(VLOOKUP(BS$1,DATA!$A$3:$F$301,3,FALSE)-VLOOKUP($A10,DATA!$A$3:$F$301,3,FALSE))^2),"")</f>
        <v/>
      </c>
      <c r="BT10" s="14" t="str">
        <f>_xlfn.IFNA(SQRT((VLOOKUP(BT$1,DATA!$A$3:$F$301,2,FALSE)-VLOOKUP($A10,DATA!$A$3:$F$301,2,FALSE))^2+(VLOOKUP(BT$1,DATA!$A$3:$F$301,3,FALSE)-VLOOKUP($A10,DATA!$A$3:$F$301,3,FALSE))^2),"")</f>
        <v/>
      </c>
      <c r="BU10" s="14" t="str">
        <f>_xlfn.IFNA(SQRT((VLOOKUP(BU$1,DATA!$A$3:$F$301,2,FALSE)-VLOOKUP($A10,DATA!$A$3:$F$301,2,FALSE))^2+(VLOOKUP(BU$1,DATA!$A$3:$F$301,3,FALSE)-VLOOKUP($A10,DATA!$A$3:$F$301,3,FALSE))^2),"")</f>
        <v/>
      </c>
      <c r="BV10" s="14" t="str">
        <f>_xlfn.IFNA(SQRT((VLOOKUP(BV$1,DATA!$A$3:$F$301,2,FALSE)-VLOOKUP($A10,DATA!$A$3:$F$301,2,FALSE))^2+(VLOOKUP(BV$1,DATA!$A$3:$F$301,3,FALSE)-VLOOKUP($A10,DATA!$A$3:$F$301,3,FALSE))^2),"")</f>
        <v/>
      </c>
      <c r="BW10" s="14" t="str">
        <f>_xlfn.IFNA(SQRT((VLOOKUP(BW$1,DATA!$A$3:$F$301,2,FALSE)-VLOOKUP($A10,DATA!$A$3:$F$301,2,FALSE))^2+(VLOOKUP(BW$1,DATA!$A$3:$F$301,3,FALSE)-VLOOKUP($A10,DATA!$A$3:$F$301,3,FALSE))^2),"")</f>
        <v/>
      </c>
      <c r="BX10" s="14" t="str">
        <f>_xlfn.IFNA(SQRT((VLOOKUP(BX$1,DATA!$A$3:$F$301,2,FALSE)-VLOOKUP($A10,DATA!$A$3:$F$301,2,FALSE))^2+(VLOOKUP(BX$1,DATA!$A$3:$F$301,3,FALSE)-VLOOKUP($A10,DATA!$A$3:$F$301,3,FALSE))^2),"")</f>
        <v/>
      </c>
      <c r="BY10" s="14" t="str">
        <f>_xlfn.IFNA(SQRT((VLOOKUP(BY$1,DATA!$A$3:$F$301,2,FALSE)-VLOOKUP($A10,DATA!$A$3:$F$301,2,FALSE))^2+(VLOOKUP(BY$1,DATA!$A$3:$F$301,3,FALSE)-VLOOKUP($A10,DATA!$A$3:$F$301,3,FALSE))^2),"")</f>
        <v/>
      </c>
      <c r="BZ10" s="14" t="str">
        <f>_xlfn.IFNA(SQRT((VLOOKUP(BZ$1,DATA!$A$3:$F$301,2,FALSE)-VLOOKUP($A10,DATA!$A$3:$F$301,2,FALSE))^2+(VLOOKUP(BZ$1,DATA!$A$3:$F$301,3,FALSE)-VLOOKUP($A10,DATA!$A$3:$F$301,3,FALSE))^2),"")</f>
        <v/>
      </c>
      <c r="CA10" s="14" t="str">
        <f>_xlfn.IFNA(SQRT((VLOOKUP(CA$1,DATA!$A$3:$F$301,2,FALSE)-VLOOKUP($A10,DATA!$A$3:$F$301,2,FALSE))^2+(VLOOKUP(CA$1,DATA!$A$3:$F$301,3,FALSE)-VLOOKUP($A10,DATA!$A$3:$F$301,3,FALSE))^2),"")</f>
        <v/>
      </c>
      <c r="CB10" s="14" t="str">
        <f>_xlfn.IFNA(SQRT((VLOOKUP(CB$1,DATA!$A$3:$F$301,2,FALSE)-VLOOKUP($A10,DATA!$A$3:$F$301,2,FALSE))^2+(VLOOKUP(CB$1,DATA!$A$3:$F$301,3,FALSE)-VLOOKUP($A10,DATA!$A$3:$F$301,3,FALSE))^2),"")</f>
        <v/>
      </c>
      <c r="CC10" s="14" t="str">
        <f>_xlfn.IFNA(SQRT((VLOOKUP(CC$1,DATA!$A$3:$F$301,2,FALSE)-VLOOKUP($A10,DATA!$A$3:$F$301,2,FALSE))^2+(VLOOKUP(CC$1,DATA!$A$3:$F$301,3,FALSE)-VLOOKUP($A10,DATA!$A$3:$F$301,3,FALSE))^2),"")</f>
        <v/>
      </c>
      <c r="CD10" s="14" t="str">
        <f>_xlfn.IFNA(SQRT((VLOOKUP(CD$1,DATA!$A$3:$F$301,2,FALSE)-VLOOKUP($A10,DATA!$A$3:$F$301,2,FALSE))^2+(VLOOKUP(CD$1,DATA!$A$3:$F$301,3,FALSE)-VLOOKUP($A10,DATA!$A$3:$F$301,3,FALSE))^2),"")</f>
        <v/>
      </c>
      <c r="CE10" s="14" t="str">
        <f>_xlfn.IFNA(SQRT((VLOOKUP(CE$1,DATA!$A$3:$F$301,2,FALSE)-VLOOKUP($A10,DATA!$A$3:$F$301,2,FALSE))^2+(VLOOKUP(CE$1,DATA!$A$3:$F$301,3,FALSE)-VLOOKUP($A10,DATA!$A$3:$F$301,3,FALSE))^2),"")</f>
        <v/>
      </c>
      <c r="CF10" s="14" t="str">
        <f>_xlfn.IFNA(SQRT((VLOOKUP(CF$1,DATA!$A$3:$F$301,2,FALSE)-VLOOKUP($A10,DATA!$A$3:$F$301,2,FALSE))^2+(VLOOKUP(CF$1,DATA!$A$3:$F$301,3,FALSE)-VLOOKUP($A10,DATA!$A$3:$F$301,3,FALSE))^2),"")</f>
        <v/>
      </c>
      <c r="CG10" s="14" t="str">
        <f>_xlfn.IFNA(SQRT((VLOOKUP(CG$1,DATA!$A$3:$F$301,2,FALSE)-VLOOKUP($A10,DATA!$A$3:$F$301,2,FALSE))^2+(VLOOKUP(CG$1,DATA!$A$3:$F$301,3,FALSE)-VLOOKUP($A10,DATA!$A$3:$F$301,3,FALSE))^2),"")</f>
        <v/>
      </c>
      <c r="CH10" s="14" t="str">
        <f>_xlfn.IFNA(SQRT((VLOOKUP(CH$1,DATA!$A$3:$F$301,2,FALSE)-VLOOKUP($A10,DATA!$A$3:$F$301,2,FALSE))^2+(VLOOKUP(CH$1,DATA!$A$3:$F$301,3,FALSE)-VLOOKUP($A10,DATA!$A$3:$F$301,3,FALSE))^2),"")</f>
        <v/>
      </c>
      <c r="CI10" s="14" t="str">
        <f>_xlfn.IFNA(SQRT((VLOOKUP(CI$1,DATA!$A$3:$F$301,2,FALSE)-VLOOKUP($A10,DATA!$A$3:$F$301,2,FALSE))^2+(VLOOKUP(CI$1,DATA!$A$3:$F$301,3,FALSE)-VLOOKUP($A10,DATA!$A$3:$F$301,3,FALSE))^2),"")</f>
        <v/>
      </c>
      <c r="CJ10" s="14" t="str">
        <f>_xlfn.IFNA(SQRT((VLOOKUP(CJ$1,DATA!$A$3:$F$301,2,FALSE)-VLOOKUP($A10,DATA!$A$3:$F$301,2,FALSE))^2+(VLOOKUP(CJ$1,DATA!$A$3:$F$301,3,FALSE)-VLOOKUP($A10,DATA!$A$3:$F$301,3,FALSE))^2),"")</f>
        <v/>
      </c>
      <c r="CK10" s="14" t="str">
        <f>_xlfn.IFNA(SQRT((VLOOKUP(CK$1,DATA!$A$3:$F$301,2,FALSE)-VLOOKUP($A10,DATA!$A$3:$F$301,2,FALSE))^2+(VLOOKUP(CK$1,DATA!$A$3:$F$301,3,FALSE)-VLOOKUP($A10,DATA!$A$3:$F$301,3,FALSE))^2),"")</f>
        <v/>
      </c>
      <c r="CL10" s="14" t="str">
        <f>_xlfn.IFNA(SQRT((VLOOKUP(CL$1,DATA!$A$3:$F$301,2,FALSE)-VLOOKUP($A10,DATA!$A$3:$F$301,2,FALSE))^2+(VLOOKUP(CL$1,DATA!$A$3:$F$301,3,FALSE)-VLOOKUP($A10,DATA!$A$3:$F$301,3,FALSE))^2),"")</f>
        <v/>
      </c>
      <c r="CM10" s="14" t="str">
        <f>_xlfn.IFNA(SQRT((VLOOKUP(CM$1,DATA!$A$3:$F$301,2,FALSE)-VLOOKUP($A10,DATA!$A$3:$F$301,2,FALSE))^2+(VLOOKUP(CM$1,DATA!$A$3:$F$301,3,FALSE)-VLOOKUP($A10,DATA!$A$3:$F$301,3,FALSE))^2),"")</f>
        <v/>
      </c>
      <c r="CN10" s="14" t="str">
        <f>_xlfn.IFNA(SQRT((VLOOKUP(CN$1,DATA!$A$3:$F$301,2,FALSE)-VLOOKUP($A10,DATA!$A$3:$F$301,2,FALSE))^2+(VLOOKUP(CN$1,DATA!$A$3:$F$301,3,FALSE)-VLOOKUP($A10,DATA!$A$3:$F$301,3,FALSE))^2),"")</f>
        <v/>
      </c>
      <c r="CO10" s="14" t="str">
        <f>_xlfn.IFNA(SQRT((VLOOKUP(CO$1,DATA!$A$3:$F$301,2,FALSE)-VLOOKUP($A10,DATA!$A$3:$F$301,2,FALSE))^2+(VLOOKUP(CO$1,DATA!$A$3:$F$301,3,FALSE)-VLOOKUP($A10,DATA!$A$3:$F$301,3,FALSE))^2),"")</f>
        <v/>
      </c>
      <c r="CP10" s="14" t="str">
        <f>_xlfn.IFNA(SQRT((VLOOKUP(CP$1,DATA!$A$3:$F$301,2,FALSE)-VLOOKUP($A10,DATA!$A$3:$F$301,2,FALSE))^2+(VLOOKUP(CP$1,DATA!$A$3:$F$301,3,FALSE)-VLOOKUP($A10,DATA!$A$3:$F$301,3,FALSE))^2),"")</f>
        <v/>
      </c>
      <c r="CQ10" s="14" t="str">
        <f>_xlfn.IFNA(SQRT((VLOOKUP(CQ$1,DATA!$A$3:$F$301,2,FALSE)-VLOOKUP($A10,DATA!$A$3:$F$301,2,FALSE))^2+(VLOOKUP(CQ$1,DATA!$A$3:$F$301,3,FALSE)-VLOOKUP($A10,DATA!$A$3:$F$301,3,FALSE))^2),"")</f>
        <v/>
      </c>
      <c r="CR10" s="14" t="str">
        <f>_xlfn.IFNA(SQRT((VLOOKUP(CR$1,DATA!$A$3:$F$301,2,FALSE)-VLOOKUP($A10,DATA!$A$3:$F$301,2,FALSE))^2+(VLOOKUP(CR$1,DATA!$A$3:$F$301,3,FALSE)-VLOOKUP($A10,DATA!$A$3:$F$301,3,FALSE))^2),"")</f>
        <v/>
      </c>
      <c r="CS10" s="14" t="str">
        <f>_xlfn.IFNA(SQRT((VLOOKUP(CS$1,DATA!$A$3:$F$301,2,FALSE)-VLOOKUP($A10,DATA!$A$3:$F$301,2,FALSE))^2+(VLOOKUP(CS$1,DATA!$A$3:$F$301,3,FALSE)-VLOOKUP($A10,DATA!$A$3:$F$301,3,FALSE))^2),"")</f>
        <v/>
      </c>
      <c r="CT10" s="14" t="str">
        <f>_xlfn.IFNA(SQRT((VLOOKUP(CT$1,DATA!$A$3:$F$301,2,FALSE)-VLOOKUP($A10,DATA!$A$3:$F$301,2,FALSE))^2+(VLOOKUP(CT$1,DATA!$A$3:$F$301,3,FALSE)-VLOOKUP($A10,DATA!$A$3:$F$301,3,FALSE))^2),"")</f>
        <v/>
      </c>
      <c r="CU10" s="14" t="str">
        <f>_xlfn.IFNA(SQRT((VLOOKUP(CU$1,DATA!$A$3:$F$301,2,FALSE)-VLOOKUP($A10,DATA!$A$3:$F$301,2,FALSE))^2+(VLOOKUP(CU$1,DATA!$A$3:$F$301,3,FALSE)-VLOOKUP($A10,DATA!$A$3:$F$301,3,FALSE))^2),"")</f>
        <v/>
      </c>
      <c r="CV10" s="14" t="str">
        <f>_xlfn.IFNA(SQRT((VLOOKUP(CV$1,DATA!$A$3:$F$301,2,FALSE)-VLOOKUP($A10,DATA!$A$3:$F$301,2,FALSE))^2+(VLOOKUP(CV$1,DATA!$A$3:$F$301,3,FALSE)-VLOOKUP($A10,DATA!$A$3:$F$301,3,FALSE))^2),"")</f>
        <v/>
      </c>
      <c r="CW10" s="14" t="str">
        <f>_xlfn.IFNA(SQRT((VLOOKUP(CW$1,DATA!$A$3:$F$301,2,FALSE)-VLOOKUP($A10,DATA!$A$3:$F$301,2,FALSE))^2+(VLOOKUP(CW$1,DATA!$A$3:$F$301,3,FALSE)-VLOOKUP($A10,DATA!$A$3:$F$301,3,FALSE))^2),"")</f>
        <v/>
      </c>
      <c r="CX10" s="14" t="str">
        <f>_xlfn.IFNA(SQRT((VLOOKUP(CX$1,DATA!$A$3:$F$301,2,FALSE)-VLOOKUP($A10,DATA!$A$3:$F$301,2,FALSE))^2+(VLOOKUP(CX$1,DATA!$A$3:$F$301,3,FALSE)-VLOOKUP($A10,DATA!$A$3:$F$301,3,FALSE))^2),"")</f>
        <v/>
      </c>
    </row>
    <row r="11" spans="1:102">
      <c r="A11" s="13">
        <v>10</v>
      </c>
      <c r="B11" s="14">
        <f>_xlfn.IFNA(SQRT((VLOOKUP(B$1,DATA!$A$3:$F$301,2,FALSE)-VLOOKUP($A11,DATA!$A$3:$F$301,2,FALSE))^2+(VLOOKUP(B$1,DATA!$A$3:$F$301,3,FALSE)-VLOOKUP($A11,DATA!$A$3:$F$301,3,FALSE))^2),"")</f>
        <v>13.038404810405298</v>
      </c>
      <c r="C11" s="14">
        <f>_xlfn.IFNA(SQRT((VLOOKUP(C$1,DATA!$A$3:$F$301,2,FALSE)-VLOOKUP($A11,DATA!$A$3:$F$301,2,FALSE))^2+(VLOOKUP(C$1,DATA!$A$3:$F$301,3,FALSE)-VLOOKUP($A11,DATA!$A$3:$F$301,3,FALSE))^2),"")</f>
        <v>12.165525060596439</v>
      </c>
      <c r="D11" s="14">
        <f>_xlfn.IFNA(SQRT((VLOOKUP(D$1,DATA!$A$3:$F$301,2,FALSE)-VLOOKUP($A11,DATA!$A$3:$F$301,2,FALSE))^2+(VLOOKUP(D$1,DATA!$A$3:$F$301,3,FALSE)-VLOOKUP($A11,DATA!$A$3:$F$301,3,FALSE))^2),"")</f>
        <v>7.0710678118654755</v>
      </c>
      <c r="E11" s="14">
        <f>_xlfn.IFNA(SQRT((VLOOKUP(E$1,DATA!$A$3:$F$301,2,FALSE)-VLOOKUP($A11,DATA!$A$3:$F$301,2,FALSE))^2+(VLOOKUP(E$1,DATA!$A$3:$F$301,3,FALSE)-VLOOKUP($A11,DATA!$A$3:$F$301,3,FALSE))^2),"")</f>
        <v>12.529964086141668</v>
      </c>
      <c r="F11" s="14">
        <f>_xlfn.IFNA(SQRT((VLOOKUP(F$1,DATA!$A$3:$F$301,2,FALSE)-VLOOKUP($A11,DATA!$A$3:$F$301,2,FALSE))^2+(VLOOKUP(F$1,DATA!$A$3:$F$301,3,FALSE)-VLOOKUP($A11,DATA!$A$3:$F$301,3,FALSE))^2),"")</f>
        <v>35.057096285916209</v>
      </c>
      <c r="G11" s="14">
        <f>_xlfn.IFNA(SQRT((VLOOKUP(G$1,DATA!$A$3:$F$301,2,FALSE)-VLOOKUP($A11,DATA!$A$3:$F$301,2,FALSE))^2+(VLOOKUP(G$1,DATA!$A$3:$F$301,3,FALSE)-VLOOKUP($A11,DATA!$A$3:$F$301,3,FALSE))^2),"")</f>
        <v>34.409301068170507</v>
      </c>
      <c r="H11" s="14">
        <f>_xlfn.IFNA(SQRT((VLOOKUP(H$1,DATA!$A$3:$F$301,2,FALSE)-VLOOKUP($A11,DATA!$A$3:$F$301,2,FALSE))^2+(VLOOKUP(H$1,DATA!$A$3:$F$301,3,FALSE)-VLOOKUP($A11,DATA!$A$3:$F$301,3,FALSE))^2),"")</f>
        <v>38.327535793473601</v>
      </c>
      <c r="I11" s="14">
        <f>_xlfn.IFNA(SQRT((VLOOKUP(I$1,DATA!$A$3:$F$301,2,FALSE)-VLOOKUP($A11,DATA!$A$3:$F$301,2,FALSE))^2+(VLOOKUP(I$1,DATA!$A$3:$F$301,3,FALSE)-VLOOKUP($A11,DATA!$A$3:$F$301,3,FALSE))^2),"")</f>
        <v>46.669047558312137</v>
      </c>
      <c r="J11" s="14">
        <f>_xlfn.IFNA(SQRT((VLOOKUP(J$1,DATA!$A$3:$F$301,2,FALSE)-VLOOKUP($A11,DATA!$A$3:$F$301,2,FALSE))^2+(VLOOKUP(J$1,DATA!$A$3:$F$301,3,FALSE)-VLOOKUP($A11,DATA!$A$3:$F$301,3,FALSE))^2),"")</f>
        <v>26.40075756488817</v>
      </c>
      <c r="K11" s="14">
        <f>_xlfn.IFNA(SQRT((VLOOKUP(K$1,DATA!$A$3:$F$301,2,FALSE)-VLOOKUP($A11,DATA!$A$3:$F$301,2,FALSE))^2+(VLOOKUP(K$1,DATA!$A$3:$F$301,3,FALSE)-VLOOKUP($A11,DATA!$A$3:$F$301,3,FALSE))^2),"")</f>
        <v>0</v>
      </c>
      <c r="L11" s="14">
        <f>_xlfn.IFNA(SQRT((VLOOKUP(L$1,DATA!$A$3:$F$301,2,FALSE)-VLOOKUP($A11,DATA!$A$3:$F$301,2,FALSE))^2+(VLOOKUP(L$1,DATA!$A$3:$F$301,3,FALSE)-VLOOKUP($A11,DATA!$A$3:$F$301,3,FALSE))^2),"")</f>
        <v>42.80186911806539</v>
      </c>
      <c r="M11" s="14">
        <f>_xlfn.IFNA(SQRT((VLOOKUP(M$1,DATA!$A$3:$F$301,2,FALSE)-VLOOKUP($A11,DATA!$A$3:$F$301,2,FALSE))^2+(VLOOKUP(M$1,DATA!$A$3:$F$301,3,FALSE)-VLOOKUP($A11,DATA!$A$3:$F$301,3,FALSE))^2),"")</f>
        <v>24.698178070456937</v>
      </c>
      <c r="N11" s="14">
        <f>_xlfn.IFNA(SQRT((VLOOKUP(N$1,DATA!$A$3:$F$301,2,FALSE)-VLOOKUP($A11,DATA!$A$3:$F$301,2,FALSE))^2+(VLOOKUP(N$1,DATA!$A$3:$F$301,3,FALSE)-VLOOKUP($A11,DATA!$A$3:$F$301,3,FALSE))^2),"")</f>
        <v>17.691806012954132</v>
      </c>
      <c r="O11" s="14">
        <f>_xlfn.IFNA(SQRT((VLOOKUP(O$1,DATA!$A$3:$F$301,2,FALSE)-VLOOKUP($A11,DATA!$A$3:$F$301,2,FALSE))^2+(VLOOKUP(O$1,DATA!$A$3:$F$301,3,FALSE)-VLOOKUP($A11,DATA!$A$3:$F$301,3,FALSE))^2),"")</f>
        <v>42.190046219457976</v>
      </c>
      <c r="P11" s="14">
        <f>_xlfn.IFNA(SQRT((VLOOKUP(P$1,DATA!$A$3:$F$301,2,FALSE)-VLOOKUP($A11,DATA!$A$3:$F$301,2,FALSE))^2+(VLOOKUP(P$1,DATA!$A$3:$F$301,3,FALSE)-VLOOKUP($A11,DATA!$A$3:$F$301,3,FALSE))^2),"")</f>
        <v>55.226805085936306</v>
      </c>
      <c r="Q11" s="14">
        <f>_xlfn.IFNA(SQRT((VLOOKUP(Q$1,DATA!$A$3:$F$301,2,FALSE)-VLOOKUP($A11,DATA!$A$3:$F$301,2,FALSE))^2+(VLOOKUP(Q$1,DATA!$A$3:$F$301,3,FALSE)-VLOOKUP($A11,DATA!$A$3:$F$301,3,FALSE))^2),"")</f>
        <v>36.055512754639892</v>
      </c>
      <c r="R11" s="14">
        <f>_xlfn.IFNA(SQRT((VLOOKUP(R$1,DATA!$A$3:$F$301,2,FALSE)-VLOOKUP($A11,DATA!$A$3:$F$301,2,FALSE))^2+(VLOOKUP(R$1,DATA!$A$3:$F$301,3,FALSE)-VLOOKUP($A11,DATA!$A$3:$F$301,3,FALSE))^2),"")</f>
        <v>26.172504656604801</v>
      </c>
      <c r="S11" s="14">
        <f>_xlfn.IFNA(SQRT((VLOOKUP(S$1,DATA!$A$3:$F$301,2,FALSE)-VLOOKUP($A11,DATA!$A$3:$F$301,2,FALSE))^2+(VLOOKUP(S$1,DATA!$A$3:$F$301,3,FALSE)-VLOOKUP($A11,DATA!$A$3:$F$301,3,FALSE))^2),"")</f>
        <v>34.655446902326915</v>
      </c>
      <c r="T11" s="14">
        <f>_xlfn.IFNA(SQRT((VLOOKUP(T$1,DATA!$A$3:$F$301,2,FALSE)-VLOOKUP($A11,DATA!$A$3:$F$301,2,FALSE))^2+(VLOOKUP(T$1,DATA!$A$3:$F$301,3,FALSE)-VLOOKUP($A11,DATA!$A$3:$F$301,3,FALSE))^2),"")</f>
        <v>41.43669871020132</v>
      </c>
      <c r="U11" s="14">
        <f>_xlfn.IFNA(SQRT((VLOOKUP(U$1,DATA!$A$3:$F$301,2,FALSE)-VLOOKUP($A11,DATA!$A$3:$F$301,2,FALSE))^2+(VLOOKUP(U$1,DATA!$A$3:$F$301,3,FALSE)-VLOOKUP($A11,DATA!$A$3:$F$301,3,FALSE))^2),"")</f>
        <v>21.095023109728988</v>
      </c>
      <c r="V11" s="14">
        <f>_xlfn.IFNA(SQRT((VLOOKUP(V$1,DATA!$A$3:$F$301,2,FALSE)-VLOOKUP($A11,DATA!$A$3:$F$301,2,FALSE))^2+(VLOOKUP(V$1,DATA!$A$3:$F$301,3,FALSE)-VLOOKUP($A11,DATA!$A$3:$F$301,3,FALSE))^2),"")</f>
        <v>32.310988842807021</v>
      </c>
      <c r="W11" s="14">
        <f>_xlfn.IFNA(SQRT((VLOOKUP(W$1,DATA!$A$3:$F$301,2,FALSE)-VLOOKUP($A11,DATA!$A$3:$F$301,2,FALSE))^2+(VLOOKUP(W$1,DATA!$A$3:$F$301,3,FALSE)-VLOOKUP($A11,DATA!$A$3:$F$301,3,FALSE))^2),"")</f>
        <v>34.365680554879162</v>
      </c>
      <c r="X11" s="14">
        <f>_xlfn.IFNA(SQRT((VLOOKUP(X$1,DATA!$A$3:$F$301,2,FALSE)-VLOOKUP($A11,DATA!$A$3:$F$301,2,FALSE))^2+(VLOOKUP(X$1,DATA!$A$3:$F$301,3,FALSE)-VLOOKUP($A11,DATA!$A$3:$F$301,3,FALSE))^2),"")</f>
        <v>40.19950248448356</v>
      </c>
      <c r="Y11" s="14">
        <f>_xlfn.IFNA(SQRT((VLOOKUP(Y$1,DATA!$A$3:$F$301,2,FALSE)-VLOOKUP($A11,DATA!$A$3:$F$301,2,FALSE))^2+(VLOOKUP(Y$1,DATA!$A$3:$F$301,3,FALSE)-VLOOKUP($A11,DATA!$A$3:$F$301,3,FALSE))^2),"")</f>
        <v>45.254833995939045</v>
      </c>
      <c r="Z11" s="14">
        <f>_xlfn.IFNA(SQRT((VLOOKUP(Z$1,DATA!$A$3:$F$301,2,FALSE)-VLOOKUP($A11,DATA!$A$3:$F$301,2,FALSE))^2+(VLOOKUP(Z$1,DATA!$A$3:$F$301,3,FALSE)-VLOOKUP($A11,DATA!$A$3:$F$301,3,FALSE))^2),"")</f>
        <v>24.331050121192877</v>
      </c>
      <c r="AA11" s="14">
        <f>_xlfn.IFNA(SQRT((VLOOKUP(AA$1,DATA!$A$3:$F$301,2,FALSE)-VLOOKUP($A11,DATA!$A$3:$F$301,2,FALSE))^2+(VLOOKUP(AA$1,DATA!$A$3:$F$301,3,FALSE)-VLOOKUP($A11,DATA!$A$3:$F$301,3,FALSE))^2),"")</f>
        <v>37.589892258425003</v>
      </c>
      <c r="AB11" s="14">
        <f>_xlfn.IFNA(SQRT((VLOOKUP(AB$1,DATA!$A$3:$F$301,2,FALSE)-VLOOKUP($A11,DATA!$A$3:$F$301,2,FALSE))^2+(VLOOKUP(AB$1,DATA!$A$3:$F$301,3,FALSE)-VLOOKUP($A11,DATA!$A$3:$F$301,3,FALSE))^2),"")</f>
        <v>5.8309518948453007</v>
      </c>
      <c r="AC11" s="14">
        <f>_xlfn.IFNA(SQRT((VLOOKUP(AC$1,DATA!$A$3:$F$301,2,FALSE)-VLOOKUP($A11,DATA!$A$3:$F$301,2,FALSE))^2+(VLOOKUP(AC$1,DATA!$A$3:$F$301,3,FALSE)-VLOOKUP($A11,DATA!$A$3:$F$301,3,FALSE))^2),"")</f>
        <v>33.734255586865999</v>
      </c>
      <c r="AD11" s="14">
        <f>_xlfn.IFNA(SQRT((VLOOKUP(AD$1,DATA!$A$3:$F$301,2,FALSE)-VLOOKUP($A11,DATA!$A$3:$F$301,2,FALSE))^2+(VLOOKUP(AD$1,DATA!$A$3:$F$301,3,FALSE)-VLOOKUP($A11,DATA!$A$3:$F$301,3,FALSE))^2),"")</f>
        <v>38.013155617496423</v>
      </c>
      <c r="AE11" s="14">
        <f>_xlfn.IFNA(SQRT((VLOOKUP(AE$1,DATA!$A$3:$F$301,2,FALSE)-VLOOKUP($A11,DATA!$A$3:$F$301,2,FALSE))^2+(VLOOKUP(AE$1,DATA!$A$3:$F$301,3,FALSE)-VLOOKUP($A11,DATA!$A$3:$F$301,3,FALSE))^2),"")</f>
        <v>33.241540277189323</v>
      </c>
      <c r="AF11" s="14">
        <f>_xlfn.IFNA(SQRT((VLOOKUP(AF$1,DATA!$A$3:$F$301,2,FALSE)-VLOOKUP($A11,DATA!$A$3:$F$301,2,FALSE))^2+(VLOOKUP(AF$1,DATA!$A$3:$F$301,3,FALSE)-VLOOKUP($A11,DATA!$A$3:$F$301,3,FALSE))^2),"")</f>
        <v>27.073972741361768</v>
      </c>
      <c r="AG11" s="14">
        <f>_xlfn.IFNA(SQRT((VLOOKUP(AG$1,DATA!$A$3:$F$301,2,FALSE)-VLOOKUP($A11,DATA!$A$3:$F$301,2,FALSE))^2+(VLOOKUP(AG$1,DATA!$A$3:$F$301,3,FALSE)-VLOOKUP($A11,DATA!$A$3:$F$301,3,FALSE))^2),"")</f>
        <v>31.780497164141408</v>
      </c>
      <c r="AH11" s="14">
        <f>_xlfn.IFNA(SQRT((VLOOKUP(AH$1,DATA!$A$3:$F$301,2,FALSE)-VLOOKUP($A11,DATA!$A$3:$F$301,2,FALSE))^2+(VLOOKUP(AH$1,DATA!$A$3:$F$301,3,FALSE)-VLOOKUP($A11,DATA!$A$3:$F$301,3,FALSE))^2),"")</f>
        <v>28.284271247461902</v>
      </c>
      <c r="AI11" s="14">
        <f>_xlfn.IFNA(SQRT((VLOOKUP(AI$1,DATA!$A$3:$F$301,2,FALSE)-VLOOKUP($A11,DATA!$A$3:$F$301,2,FALSE))^2+(VLOOKUP(AI$1,DATA!$A$3:$F$301,3,FALSE)-VLOOKUP($A11,DATA!$A$3:$F$301,3,FALSE))^2),"")</f>
        <v>23.194827009486403</v>
      </c>
      <c r="AJ11" s="14">
        <f>_xlfn.IFNA(SQRT((VLOOKUP(AJ$1,DATA!$A$3:$F$301,2,FALSE)-VLOOKUP($A11,DATA!$A$3:$F$301,2,FALSE))^2+(VLOOKUP(AJ$1,DATA!$A$3:$F$301,3,FALSE)-VLOOKUP($A11,DATA!$A$3:$F$301,3,FALSE))^2),"")</f>
        <v>40.718546143004666</v>
      </c>
      <c r="AK11" s="14">
        <f>_xlfn.IFNA(SQRT((VLOOKUP(AK$1,DATA!$A$3:$F$301,2,FALSE)-VLOOKUP($A11,DATA!$A$3:$F$301,2,FALSE))^2+(VLOOKUP(AK$1,DATA!$A$3:$F$301,3,FALSE)-VLOOKUP($A11,DATA!$A$3:$F$301,3,FALSE))^2),"")</f>
        <v>29.529646120466801</v>
      </c>
      <c r="AL11" s="14">
        <f>_xlfn.IFNA(SQRT((VLOOKUP(AL$1,DATA!$A$3:$F$301,2,FALSE)-VLOOKUP($A11,DATA!$A$3:$F$301,2,FALSE))^2+(VLOOKUP(AL$1,DATA!$A$3:$F$301,3,FALSE)-VLOOKUP($A11,DATA!$A$3:$F$301,3,FALSE))^2),"")</f>
        <v>51.86520991955976</v>
      </c>
      <c r="AM11" s="14">
        <f>_xlfn.IFNA(SQRT((VLOOKUP(AM$1,DATA!$A$3:$F$301,2,FALSE)-VLOOKUP($A11,DATA!$A$3:$F$301,2,FALSE))^2+(VLOOKUP(AM$1,DATA!$A$3:$F$301,3,FALSE)-VLOOKUP($A11,DATA!$A$3:$F$301,3,FALSE))^2),"")</f>
        <v>39</v>
      </c>
      <c r="AN11" s="14">
        <f>_xlfn.IFNA(SQRT((VLOOKUP(AN$1,DATA!$A$3:$F$301,2,FALSE)-VLOOKUP($A11,DATA!$A$3:$F$301,2,FALSE))^2+(VLOOKUP(AN$1,DATA!$A$3:$F$301,3,FALSE)-VLOOKUP($A11,DATA!$A$3:$F$301,3,FALSE))^2),"")</f>
        <v>38</v>
      </c>
      <c r="AO11" s="14">
        <f>_xlfn.IFNA(SQRT((VLOOKUP(AO$1,DATA!$A$3:$F$301,2,FALSE)-VLOOKUP($A11,DATA!$A$3:$F$301,2,FALSE))^2+(VLOOKUP(AO$1,DATA!$A$3:$F$301,3,FALSE)-VLOOKUP($A11,DATA!$A$3:$F$301,3,FALSE))^2),"")</f>
        <v>28.653097563788805</v>
      </c>
      <c r="AP11" s="14" t="str">
        <f>_xlfn.IFNA(SQRT((VLOOKUP(AP$1,DATA!$A$3:$F$301,2,FALSE)-VLOOKUP($A11,DATA!$A$3:$F$301,2,FALSE))^2+(VLOOKUP(AP$1,DATA!$A$3:$F$301,3,FALSE)-VLOOKUP($A11,DATA!$A$3:$F$301,3,FALSE))^2),"")</f>
        <v/>
      </c>
      <c r="AQ11" s="14" t="str">
        <f>_xlfn.IFNA(SQRT((VLOOKUP(AQ$1,DATA!$A$3:$F$301,2,FALSE)-VLOOKUP($A11,DATA!$A$3:$F$301,2,FALSE))^2+(VLOOKUP(AQ$1,DATA!$A$3:$F$301,3,FALSE)-VLOOKUP($A11,DATA!$A$3:$F$301,3,FALSE))^2),"")</f>
        <v/>
      </c>
      <c r="AR11" s="14" t="str">
        <f>_xlfn.IFNA(SQRT((VLOOKUP(AR$1,DATA!$A$3:$F$301,2,FALSE)-VLOOKUP($A11,DATA!$A$3:$F$301,2,FALSE))^2+(VLOOKUP(AR$1,DATA!$A$3:$F$301,3,FALSE)-VLOOKUP($A11,DATA!$A$3:$F$301,3,FALSE))^2),"")</f>
        <v/>
      </c>
      <c r="AS11" s="14" t="str">
        <f>_xlfn.IFNA(SQRT((VLOOKUP(AS$1,DATA!$A$3:$F$301,2,FALSE)-VLOOKUP($A11,DATA!$A$3:$F$301,2,FALSE))^2+(VLOOKUP(AS$1,DATA!$A$3:$F$301,3,FALSE)-VLOOKUP($A11,DATA!$A$3:$F$301,3,FALSE))^2),"")</f>
        <v/>
      </c>
      <c r="AT11" s="14" t="str">
        <f>_xlfn.IFNA(SQRT((VLOOKUP(AT$1,DATA!$A$3:$F$301,2,FALSE)-VLOOKUP($A11,DATA!$A$3:$F$301,2,FALSE))^2+(VLOOKUP(AT$1,DATA!$A$3:$F$301,3,FALSE)-VLOOKUP($A11,DATA!$A$3:$F$301,3,FALSE))^2),"")</f>
        <v/>
      </c>
      <c r="AU11" s="14" t="str">
        <f>_xlfn.IFNA(SQRT((VLOOKUP(AU$1,DATA!$A$3:$F$301,2,FALSE)-VLOOKUP($A11,DATA!$A$3:$F$301,2,FALSE))^2+(VLOOKUP(AU$1,DATA!$A$3:$F$301,3,FALSE)-VLOOKUP($A11,DATA!$A$3:$F$301,3,FALSE))^2),"")</f>
        <v/>
      </c>
      <c r="AV11" s="14" t="str">
        <f>_xlfn.IFNA(SQRT((VLOOKUP(AV$1,DATA!$A$3:$F$301,2,FALSE)-VLOOKUP($A11,DATA!$A$3:$F$301,2,FALSE))^2+(VLOOKUP(AV$1,DATA!$A$3:$F$301,3,FALSE)-VLOOKUP($A11,DATA!$A$3:$F$301,3,FALSE))^2),"")</f>
        <v/>
      </c>
      <c r="AW11" s="14" t="str">
        <f>_xlfn.IFNA(SQRT((VLOOKUP(AW$1,DATA!$A$3:$F$301,2,FALSE)-VLOOKUP($A11,DATA!$A$3:$F$301,2,FALSE))^2+(VLOOKUP(AW$1,DATA!$A$3:$F$301,3,FALSE)-VLOOKUP($A11,DATA!$A$3:$F$301,3,FALSE))^2),"")</f>
        <v/>
      </c>
      <c r="AX11" s="14" t="str">
        <f>_xlfn.IFNA(SQRT((VLOOKUP(AX$1,DATA!$A$3:$F$301,2,FALSE)-VLOOKUP($A11,DATA!$A$3:$F$301,2,FALSE))^2+(VLOOKUP(AX$1,DATA!$A$3:$F$301,3,FALSE)-VLOOKUP($A11,DATA!$A$3:$F$301,3,FALSE))^2),"")</f>
        <v/>
      </c>
      <c r="AY11" s="14" t="str">
        <f>_xlfn.IFNA(SQRT((VLOOKUP(AY$1,DATA!$A$3:$F$301,2,FALSE)-VLOOKUP($A11,DATA!$A$3:$F$301,2,FALSE))^2+(VLOOKUP(AY$1,DATA!$A$3:$F$301,3,FALSE)-VLOOKUP($A11,DATA!$A$3:$F$301,3,FALSE))^2),"")</f>
        <v/>
      </c>
      <c r="AZ11" s="14" t="str">
        <f>_xlfn.IFNA(SQRT((VLOOKUP(AZ$1,DATA!$A$3:$F$301,2,FALSE)-VLOOKUP($A11,DATA!$A$3:$F$301,2,FALSE))^2+(VLOOKUP(AZ$1,DATA!$A$3:$F$301,3,FALSE)-VLOOKUP($A11,DATA!$A$3:$F$301,3,FALSE))^2),"")</f>
        <v/>
      </c>
      <c r="BA11" s="14" t="str">
        <f>_xlfn.IFNA(SQRT((VLOOKUP(BA$1,DATA!$A$3:$F$301,2,FALSE)-VLOOKUP($A11,DATA!$A$3:$F$301,2,FALSE))^2+(VLOOKUP(BA$1,DATA!$A$3:$F$301,3,FALSE)-VLOOKUP($A11,DATA!$A$3:$F$301,3,FALSE))^2),"")</f>
        <v/>
      </c>
      <c r="BB11" s="14" t="str">
        <f>_xlfn.IFNA(SQRT((VLOOKUP(BB$1,DATA!$A$3:$F$301,2,FALSE)-VLOOKUP($A11,DATA!$A$3:$F$301,2,FALSE))^2+(VLOOKUP(BB$1,DATA!$A$3:$F$301,3,FALSE)-VLOOKUP($A11,DATA!$A$3:$F$301,3,FALSE))^2),"")</f>
        <v/>
      </c>
      <c r="BC11" s="14" t="str">
        <f>_xlfn.IFNA(SQRT((VLOOKUP(BC$1,DATA!$A$3:$F$301,2,FALSE)-VLOOKUP($A11,DATA!$A$3:$F$301,2,FALSE))^2+(VLOOKUP(BC$1,DATA!$A$3:$F$301,3,FALSE)-VLOOKUP($A11,DATA!$A$3:$F$301,3,FALSE))^2),"")</f>
        <v/>
      </c>
      <c r="BD11" s="14" t="str">
        <f>_xlfn.IFNA(SQRT((VLOOKUP(BD$1,DATA!$A$3:$F$301,2,FALSE)-VLOOKUP($A11,DATA!$A$3:$F$301,2,FALSE))^2+(VLOOKUP(BD$1,DATA!$A$3:$F$301,3,FALSE)-VLOOKUP($A11,DATA!$A$3:$F$301,3,FALSE))^2),"")</f>
        <v/>
      </c>
      <c r="BE11" s="14" t="str">
        <f>_xlfn.IFNA(SQRT((VLOOKUP(BE$1,DATA!$A$3:$F$301,2,FALSE)-VLOOKUP($A11,DATA!$A$3:$F$301,2,FALSE))^2+(VLOOKUP(BE$1,DATA!$A$3:$F$301,3,FALSE)-VLOOKUP($A11,DATA!$A$3:$F$301,3,FALSE))^2),"")</f>
        <v/>
      </c>
      <c r="BF11" s="14" t="str">
        <f>_xlfn.IFNA(SQRT((VLOOKUP(BF$1,DATA!$A$3:$F$301,2,FALSE)-VLOOKUP($A11,DATA!$A$3:$F$301,2,FALSE))^2+(VLOOKUP(BF$1,DATA!$A$3:$F$301,3,FALSE)-VLOOKUP($A11,DATA!$A$3:$F$301,3,FALSE))^2),"")</f>
        <v/>
      </c>
      <c r="BG11" s="14" t="str">
        <f>_xlfn.IFNA(SQRT((VLOOKUP(BG$1,DATA!$A$3:$F$301,2,FALSE)-VLOOKUP($A11,DATA!$A$3:$F$301,2,FALSE))^2+(VLOOKUP(BG$1,DATA!$A$3:$F$301,3,FALSE)-VLOOKUP($A11,DATA!$A$3:$F$301,3,FALSE))^2),"")</f>
        <v/>
      </c>
      <c r="BH11" s="14" t="str">
        <f>_xlfn.IFNA(SQRT((VLOOKUP(BH$1,DATA!$A$3:$F$301,2,FALSE)-VLOOKUP($A11,DATA!$A$3:$F$301,2,FALSE))^2+(VLOOKUP(BH$1,DATA!$A$3:$F$301,3,FALSE)-VLOOKUP($A11,DATA!$A$3:$F$301,3,FALSE))^2),"")</f>
        <v/>
      </c>
      <c r="BI11" s="14" t="str">
        <f>_xlfn.IFNA(SQRT((VLOOKUP(BI$1,DATA!$A$3:$F$301,2,FALSE)-VLOOKUP($A11,DATA!$A$3:$F$301,2,FALSE))^2+(VLOOKUP(BI$1,DATA!$A$3:$F$301,3,FALSE)-VLOOKUP($A11,DATA!$A$3:$F$301,3,FALSE))^2),"")</f>
        <v/>
      </c>
      <c r="BJ11" s="14" t="str">
        <f>_xlfn.IFNA(SQRT((VLOOKUP(BJ$1,DATA!$A$3:$F$301,2,FALSE)-VLOOKUP($A11,DATA!$A$3:$F$301,2,FALSE))^2+(VLOOKUP(BJ$1,DATA!$A$3:$F$301,3,FALSE)-VLOOKUP($A11,DATA!$A$3:$F$301,3,FALSE))^2),"")</f>
        <v/>
      </c>
      <c r="BK11" s="14" t="str">
        <f>_xlfn.IFNA(SQRT((VLOOKUP(BK$1,DATA!$A$3:$F$301,2,FALSE)-VLOOKUP($A11,DATA!$A$3:$F$301,2,FALSE))^2+(VLOOKUP(BK$1,DATA!$A$3:$F$301,3,FALSE)-VLOOKUP($A11,DATA!$A$3:$F$301,3,FALSE))^2),"")</f>
        <v/>
      </c>
      <c r="BL11" s="14" t="str">
        <f>_xlfn.IFNA(SQRT((VLOOKUP(BL$1,DATA!$A$3:$F$301,2,FALSE)-VLOOKUP($A11,DATA!$A$3:$F$301,2,FALSE))^2+(VLOOKUP(BL$1,DATA!$A$3:$F$301,3,FALSE)-VLOOKUP($A11,DATA!$A$3:$F$301,3,FALSE))^2),"")</f>
        <v/>
      </c>
      <c r="BM11" s="14" t="str">
        <f>_xlfn.IFNA(SQRT((VLOOKUP(BM$1,DATA!$A$3:$F$301,2,FALSE)-VLOOKUP($A11,DATA!$A$3:$F$301,2,FALSE))^2+(VLOOKUP(BM$1,DATA!$A$3:$F$301,3,FALSE)-VLOOKUP($A11,DATA!$A$3:$F$301,3,FALSE))^2),"")</f>
        <v/>
      </c>
      <c r="BN11" s="14" t="str">
        <f>_xlfn.IFNA(SQRT((VLOOKUP(BN$1,DATA!$A$3:$F$301,2,FALSE)-VLOOKUP($A11,DATA!$A$3:$F$301,2,FALSE))^2+(VLOOKUP(BN$1,DATA!$A$3:$F$301,3,FALSE)-VLOOKUP($A11,DATA!$A$3:$F$301,3,FALSE))^2),"")</f>
        <v/>
      </c>
      <c r="BO11" s="14" t="str">
        <f>_xlfn.IFNA(SQRT((VLOOKUP(BO$1,DATA!$A$3:$F$301,2,FALSE)-VLOOKUP($A11,DATA!$A$3:$F$301,2,FALSE))^2+(VLOOKUP(BO$1,DATA!$A$3:$F$301,3,FALSE)-VLOOKUP($A11,DATA!$A$3:$F$301,3,FALSE))^2),"")</f>
        <v/>
      </c>
      <c r="BP11" s="14" t="str">
        <f>_xlfn.IFNA(SQRT((VLOOKUP(BP$1,DATA!$A$3:$F$301,2,FALSE)-VLOOKUP($A11,DATA!$A$3:$F$301,2,FALSE))^2+(VLOOKUP(BP$1,DATA!$A$3:$F$301,3,FALSE)-VLOOKUP($A11,DATA!$A$3:$F$301,3,FALSE))^2),"")</f>
        <v/>
      </c>
      <c r="BQ11" s="14" t="str">
        <f>_xlfn.IFNA(SQRT((VLOOKUP(BQ$1,DATA!$A$3:$F$301,2,FALSE)-VLOOKUP($A11,DATA!$A$3:$F$301,2,FALSE))^2+(VLOOKUP(BQ$1,DATA!$A$3:$F$301,3,FALSE)-VLOOKUP($A11,DATA!$A$3:$F$301,3,FALSE))^2),"")</f>
        <v/>
      </c>
      <c r="BR11" s="14" t="str">
        <f>_xlfn.IFNA(SQRT((VLOOKUP(BR$1,DATA!$A$3:$F$301,2,FALSE)-VLOOKUP($A11,DATA!$A$3:$F$301,2,FALSE))^2+(VLOOKUP(BR$1,DATA!$A$3:$F$301,3,FALSE)-VLOOKUP($A11,DATA!$A$3:$F$301,3,FALSE))^2),"")</f>
        <v/>
      </c>
      <c r="BS11" s="14" t="str">
        <f>_xlfn.IFNA(SQRT((VLOOKUP(BS$1,DATA!$A$3:$F$301,2,FALSE)-VLOOKUP($A11,DATA!$A$3:$F$301,2,FALSE))^2+(VLOOKUP(BS$1,DATA!$A$3:$F$301,3,FALSE)-VLOOKUP($A11,DATA!$A$3:$F$301,3,FALSE))^2),"")</f>
        <v/>
      </c>
      <c r="BT11" s="14" t="str">
        <f>_xlfn.IFNA(SQRT((VLOOKUP(BT$1,DATA!$A$3:$F$301,2,FALSE)-VLOOKUP($A11,DATA!$A$3:$F$301,2,FALSE))^2+(VLOOKUP(BT$1,DATA!$A$3:$F$301,3,FALSE)-VLOOKUP($A11,DATA!$A$3:$F$301,3,FALSE))^2),"")</f>
        <v/>
      </c>
      <c r="BU11" s="14" t="str">
        <f>_xlfn.IFNA(SQRT((VLOOKUP(BU$1,DATA!$A$3:$F$301,2,FALSE)-VLOOKUP($A11,DATA!$A$3:$F$301,2,FALSE))^2+(VLOOKUP(BU$1,DATA!$A$3:$F$301,3,FALSE)-VLOOKUP($A11,DATA!$A$3:$F$301,3,FALSE))^2),"")</f>
        <v/>
      </c>
      <c r="BV11" s="14" t="str">
        <f>_xlfn.IFNA(SQRT((VLOOKUP(BV$1,DATA!$A$3:$F$301,2,FALSE)-VLOOKUP($A11,DATA!$A$3:$F$301,2,FALSE))^2+(VLOOKUP(BV$1,DATA!$A$3:$F$301,3,FALSE)-VLOOKUP($A11,DATA!$A$3:$F$301,3,FALSE))^2),"")</f>
        <v/>
      </c>
      <c r="BW11" s="14" t="str">
        <f>_xlfn.IFNA(SQRT((VLOOKUP(BW$1,DATA!$A$3:$F$301,2,FALSE)-VLOOKUP($A11,DATA!$A$3:$F$301,2,FALSE))^2+(VLOOKUP(BW$1,DATA!$A$3:$F$301,3,FALSE)-VLOOKUP($A11,DATA!$A$3:$F$301,3,FALSE))^2),"")</f>
        <v/>
      </c>
      <c r="BX11" s="14" t="str">
        <f>_xlfn.IFNA(SQRT((VLOOKUP(BX$1,DATA!$A$3:$F$301,2,FALSE)-VLOOKUP($A11,DATA!$A$3:$F$301,2,FALSE))^2+(VLOOKUP(BX$1,DATA!$A$3:$F$301,3,FALSE)-VLOOKUP($A11,DATA!$A$3:$F$301,3,FALSE))^2),"")</f>
        <v/>
      </c>
      <c r="BY11" s="14" t="str">
        <f>_xlfn.IFNA(SQRT((VLOOKUP(BY$1,DATA!$A$3:$F$301,2,FALSE)-VLOOKUP($A11,DATA!$A$3:$F$301,2,FALSE))^2+(VLOOKUP(BY$1,DATA!$A$3:$F$301,3,FALSE)-VLOOKUP($A11,DATA!$A$3:$F$301,3,FALSE))^2),"")</f>
        <v/>
      </c>
      <c r="BZ11" s="14" t="str">
        <f>_xlfn.IFNA(SQRT((VLOOKUP(BZ$1,DATA!$A$3:$F$301,2,FALSE)-VLOOKUP($A11,DATA!$A$3:$F$301,2,FALSE))^2+(VLOOKUP(BZ$1,DATA!$A$3:$F$301,3,FALSE)-VLOOKUP($A11,DATA!$A$3:$F$301,3,FALSE))^2),"")</f>
        <v/>
      </c>
      <c r="CA11" s="14" t="str">
        <f>_xlfn.IFNA(SQRT((VLOOKUP(CA$1,DATA!$A$3:$F$301,2,FALSE)-VLOOKUP($A11,DATA!$A$3:$F$301,2,FALSE))^2+(VLOOKUP(CA$1,DATA!$A$3:$F$301,3,FALSE)-VLOOKUP($A11,DATA!$A$3:$F$301,3,FALSE))^2),"")</f>
        <v/>
      </c>
      <c r="CB11" s="14" t="str">
        <f>_xlfn.IFNA(SQRT((VLOOKUP(CB$1,DATA!$A$3:$F$301,2,FALSE)-VLOOKUP($A11,DATA!$A$3:$F$301,2,FALSE))^2+(VLOOKUP(CB$1,DATA!$A$3:$F$301,3,FALSE)-VLOOKUP($A11,DATA!$A$3:$F$301,3,FALSE))^2),"")</f>
        <v/>
      </c>
      <c r="CC11" s="14" t="str">
        <f>_xlfn.IFNA(SQRT((VLOOKUP(CC$1,DATA!$A$3:$F$301,2,FALSE)-VLOOKUP($A11,DATA!$A$3:$F$301,2,FALSE))^2+(VLOOKUP(CC$1,DATA!$A$3:$F$301,3,FALSE)-VLOOKUP($A11,DATA!$A$3:$F$301,3,FALSE))^2),"")</f>
        <v/>
      </c>
      <c r="CD11" s="14" t="str">
        <f>_xlfn.IFNA(SQRT((VLOOKUP(CD$1,DATA!$A$3:$F$301,2,FALSE)-VLOOKUP($A11,DATA!$A$3:$F$301,2,FALSE))^2+(VLOOKUP(CD$1,DATA!$A$3:$F$301,3,FALSE)-VLOOKUP($A11,DATA!$A$3:$F$301,3,FALSE))^2),"")</f>
        <v/>
      </c>
      <c r="CE11" s="14" t="str">
        <f>_xlfn.IFNA(SQRT((VLOOKUP(CE$1,DATA!$A$3:$F$301,2,FALSE)-VLOOKUP($A11,DATA!$A$3:$F$301,2,FALSE))^2+(VLOOKUP(CE$1,DATA!$A$3:$F$301,3,FALSE)-VLOOKUP($A11,DATA!$A$3:$F$301,3,FALSE))^2),"")</f>
        <v/>
      </c>
      <c r="CF11" s="14" t="str">
        <f>_xlfn.IFNA(SQRT((VLOOKUP(CF$1,DATA!$A$3:$F$301,2,FALSE)-VLOOKUP($A11,DATA!$A$3:$F$301,2,FALSE))^2+(VLOOKUP(CF$1,DATA!$A$3:$F$301,3,FALSE)-VLOOKUP($A11,DATA!$A$3:$F$301,3,FALSE))^2),"")</f>
        <v/>
      </c>
      <c r="CG11" s="14" t="str">
        <f>_xlfn.IFNA(SQRT((VLOOKUP(CG$1,DATA!$A$3:$F$301,2,FALSE)-VLOOKUP($A11,DATA!$A$3:$F$301,2,FALSE))^2+(VLOOKUP(CG$1,DATA!$A$3:$F$301,3,FALSE)-VLOOKUP($A11,DATA!$A$3:$F$301,3,FALSE))^2),"")</f>
        <v/>
      </c>
      <c r="CH11" s="14" t="str">
        <f>_xlfn.IFNA(SQRT((VLOOKUP(CH$1,DATA!$A$3:$F$301,2,FALSE)-VLOOKUP($A11,DATA!$A$3:$F$301,2,FALSE))^2+(VLOOKUP(CH$1,DATA!$A$3:$F$301,3,FALSE)-VLOOKUP($A11,DATA!$A$3:$F$301,3,FALSE))^2),"")</f>
        <v/>
      </c>
      <c r="CI11" s="14" t="str">
        <f>_xlfn.IFNA(SQRT((VLOOKUP(CI$1,DATA!$A$3:$F$301,2,FALSE)-VLOOKUP($A11,DATA!$A$3:$F$301,2,FALSE))^2+(VLOOKUP(CI$1,DATA!$A$3:$F$301,3,FALSE)-VLOOKUP($A11,DATA!$A$3:$F$301,3,FALSE))^2),"")</f>
        <v/>
      </c>
      <c r="CJ11" s="14" t="str">
        <f>_xlfn.IFNA(SQRT((VLOOKUP(CJ$1,DATA!$A$3:$F$301,2,FALSE)-VLOOKUP($A11,DATA!$A$3:$F$301,2,FALSE))^2+(VLOOKUP(CJ$1,DATA!$A$3:$F$301,3,FALSE)-VLOOKUP($A11,DATA!$A$3:$F$301,3,FALSE))^2),"")</f>
        <v/>
      </c>
      <c r="CK11" s="14" t="str">
        <f>_xlfn.IFNA(SQRT((VLOOKUP(CK$1,DATA!$A$3:$F$301,2,FALSE)-VLOOKUP($A11,DATA!$A$3:$F$301,2,FALSE))^2+(VLOOKUP(CK$1,DATA!$A$3:$F$301,3,FALSE)-VLOOKUP($A11,DATA!$A$3:$F$301,3,FALSE))^2),"")</f>
        <v/>
      </c>
      <c r="CL11" s="14" t="str">
        <f>_xlfn.IFNA(SQRT((VLOOKUP(CL$1,DATA!$A$3:$F$301,2,FALSE)-VLOOKUP($A11,DATA!$A$3:$F$301,2,FALSE))^2+(VLOOKUP(CL$1,DATA!$A$3:$F$301,3,FALSE)-VLOOKUP($A11,DATA!$A$3:$F$301,3,FALSE))^2),"")</f>
        <v/>
      </c>
      <c r="CM11" s="14" t="str">
        <f>_xlfn.IFNA(SQRT((VLOOKUP(CM$1,DATA!$A$3:$F$301,2,FALSE)-VLOOKUP($A11,DATA!$A$3:$F$301,2,FALSE))^2+(VLOOKUP(CM$1,DATA!$A$3:$F$301,3,FALSE)-VLOOKUP($A11,DATA!$A$3:$F$301,3,FALSE))^2),"")</f>
        <v/>
      </c>
      <c r="CN11" s="14" t="str">
        <f>_xlfn.IFNA(SQRT((VLOOKUP(CN$1,DATA!$A$3:$F$301,2,FALSE)-VLOOKUP($A11,DATA!$A$3:$F$301,2,FALSE))^2+(VLOOKUP(CN$1,DATA!$A$3:$F$301,3,FALSE)-VLOOKUP($A11,DATA!$A$3:$F$301,3,FALSE))^2),"")</f>
        <v/>
      </c>
      <c r="CO11" s="14" t="str">
        <f>_xlfn.IFNA(SQRT((VLOOKUP(CO$1,DATA!$A$3:$F$301,2,FALSE)-VLOOKUP($A11,DATA!$A$3:$F$301,2,FALSE))^2+(VLOOKUP(CO$1,DATA!$A$3:$F$301,3,FALSE)-VLOOKUP($A11,DATA!$A$3:$F$301,3,FALSE))^2),"")</f>
        <v/>
      </c>
      <c r="CP11" s="14" t="str">
        <f>_xlfn.IFNA(SQRT((VLOOKUP(CP$1,DATA!$A$3:$F$301,2,FALSE)-VLOOKUP($A11,DATA!$A$3:$F$301,2,FALSE))^2+(VLOOKUP(CP$1,DATA!$A$3:$F$301,3,FALSE)-VLOOKUP($A11,DATA!$A$3:$F$301,3,FALSE))^2),"")</f>
        <v/>
      </c>
      <c r="CQ11" s="14" t="str">
        <f>_xlfn.IFNA(SQRT((VLOOKUP(CQ$1,DATA!$A$3:$F$301,2,FALSE)-VLOOKUP($A11,DATA!$A$3:$F$301,2,FALSE))^2+(VLOOKUP(CQ$1,DATA!$A$3:$F$301,3,FALSE)-VLOOKUP($A11,DATA!$A$3:$F$301,3,FALSE))^2),"")</f>
        <v/>
      </c>
      <c r="CR11" s="14" t="str">
        <f>_xlfn.IFNA(SQRT((VLOOKUP(CR$1,DATA!$A$3:$F$301,2,FALSE)-VLOOKUP($A11,DATA!$A$3:$F$301,2,FALSE))^2+(VLOOKUP(CR$1,DATA!$A$3:$F$301,3,FALSE)-VLOOKUP($A11,DATA!$A$3:$F$301,3,FALSE))^2),"")</f>
        <v/>
      </c>
      <c r="CS11" s="14" t="str">
        <f>_xlfn.IFNA(SQRT((VLOOKUP(CS$1,DATA!$A$3:$F$301,2,FALSE)-VLOOKUP($A11,DATA!$A$3:$F$301,2,FALSE))^2+(VLOOKUP(CS$1,DATA!$A$3:$F$301,3,FALSE)-VLOOKUP($A11,DATA!$A$3:$F$301,3,FALSE))^2),"")</f>
        <v/>
      </c>
      <c r="CT11" s="14" t="str">
        <f>_xlfn.IFNA(SQRT((VLOOKUP(CT$1,DATA!$A$3:$F$301,2,FALSE)-VLOOKUP($A11,DATA!$A$3:$F$301,2,FALSE))^2+(VLOOKUP(CT$1,DATA!$A$3:$F$301,3,FALSE)-VLOOKUP($A11,DATA!$A$3:$F$301,3,FALSE))^2),"")</f>
        <v/>
      </c>
      <c r="CU11" s="14" t="str">
        <f>_xlfn.IFNA(SQRT((VLOOKUP(CU$1,DATA!$A$3:$F$301,2,FALSE)-VLOOKUP($A11,DATA!$A$3:$F$301,2,FALSE))^2+(VLOOKUP(CU$1,DATA!$A$3:$F$301,3,FALSE)-VLOOKUP($A11,DATA!$A$3:$F$301,3,FALSE))^2),"")</f>
        <v/>
      </c>
      <c r="CV11" s="14" t="str">
        <f>_xlfn.IFNA(SQRT((VLOOKUP(CV$1,DATA!$A$3:$F$301,2,FALSE)-VLOOKUP($A11,DATA!$A$3:$F$301,2,FALSE))^2+(VLOOKUP(CV$1,DATA!$A$3:$F$301,3,FALSE)-VLOOKUP($A11,DATA!$A$3:$F$301,3,FALSE))^2),"")</f>
        <v/>
      </c>
      <c r="CW11" s="14" t="str">
        <f>_xlfn.IFNA(SQRT((VLOOKUP(CW$1,DATA!$A$3:$F$301,2,FALSE)-VLOOKUP($A11,DATA!$A$3:$F$301,2,FALSE))^2+(VLOOKUP(CW$1,DATA!$A$3:$F$301,3,FALSE)-VLOOKUP($A11,DATA!$A$3:$F$301,3,FALSE))^2),"")</f>
        <v/>
      </c>
      <c r="CX11" s="14" t="str">
        <f>_xlfn.IFNA(SQRT((VLOOKUP(CX$1,DATA!$A$3:$F$301,2,FALSE)-VLOOKUP($A11,DATA!$A$3:$F$301,2,FALSE))^2+(VLOOKUP(CX$1,DATA!$A$3:$F$301,3,FALSE)-VLOOKUP($A11,DATA!$A$3:$F$301,3,FALSE))^2),"")</f>
        <v/>
      </c>
    </row>
    <row r="12" spans="1:102">
      <c r="A12" s="13">
        <v>11</v>
      </c>
      <c r="B12" s="14">
        <f>_xlfn.IFNA(SQRT((VLOOKUP(B$1,DATA!$A$3:$F$301,2,FALSE)-VLOOKUP($A12,DATA!$A$3:$F$301,2,FALSE))^2+(VLOOKUP(B$1,DATA!$A$3:$F$301,3,FALSE)-VLOOKUP($A12,DATA!$A$3:$F$301,3,FALSE))^2),"")</f>
        <v>30.886890422961002</v>
      </c>
      <c r="C12" s="14">
        <f>_xlfn.IFNA(SQRT((VLOOKUP(C$1,DATA!$A$3:$F$301,2,FALSE)-VLOOKUP($A12,DATA!$A$3:$F$301,2,FALSE))^2+(VLOOKUP(C$1,DATA!$A$3:$F$301,3,FALSE)-VLOOKUP($A12,DATA!$A$3:$F$301,3,FALSE))^2),"")</f>
        <v>34.928498393145958</v>
      </c>
      <c r="D12" s="14">
        <f>_xlfn.IFNA(SQRT((VLOOKUP(D$1,DATA!$A$3:$F$301,2,FALSE)-VLOOKUP($A12,DATA!$A$3:$F$301,2,FALSE))^2+(VLOOKUP(D$1,DATA!$A$3:$F$301,3,FALSE)-VLOOKUP($A12,DATA!$A$3:$F$301,3,FALSE))^2),"")</f>
        <v>38.183766184073569</v>
      </c>
      <c r="E12" s="14">
        <f>_xlfn.IFNA(SQRT((VLOOKUP(E$1,DATA!$A$3:$F$301,2,FALSE)-VLOOKUP($A12,DATA!$A$3:$F$301,2,FALSE))^2+(VLOOKUP(E$1,DATA!$A$3:$F$301,3,FALSE)-VLOOKUP($A12,DATA!$A$3:$F$301,3,FALSE))^2),"")</f>
        <v>30.479501308256342</v>
      </c>
      <c r="F12" s="14">
        <f>_xlfn.IFNA(SQRT((VLOOKUP(F$1,DATA!$A$3:$F$301,2,FALSE)-VLOOKUP($A12,DATA!$A$3:$F$301,2,FALSE))^2+(VLOOKUP(F$1,DATA!$A$3:$F$301,3,FALSE)-VLOOKUP($A12,DATA!$A$3:$F$301,3,FALSE))^2),"")</f>
        <v>37.107950630558946</v>
      </c>
      <c r="G12" s="14">
        <f>_xlfn.IFNA(SQRT((VLOOKUP(G$1,DATA!$A$3:$F$301,2,FALSE)-VLOOKUP($A12,DATA!$A$3:$F$301,2,FALSE))^2+(VLOOKUP(G$1,DATA!$A$3:$F$301,3,FALSE)-VLOOKUP($A12,DATA!$A$3:$F$301,3,FALSE))^2),"")</f>
        <v>8.4852813742385695</v>
      </c>
      <c r="H12" s="14">
        <f>_xlfn.IFNA(SQRT((VLOOKUP(H$1,DATA!$A$3:$F$301,2,FALSE)-VLOOKUP($A12,DATA!$A$3:$F$301,2,FALSE))^2+(VLOOKUP(H$1,DATA!$A$3:$F$301,3,FALSE)-VLOOKUP($A12,DATA!$A$3:$F$301,3,FALSE))^2),"")</f>
        <v>16.278820596099706</v>
      </c>
      <c r="I12" s="14">
        <f>_xlfn.IFNA(SQRT((VLOOKUP(I$1,DATA!$A$3:$F$301,2,FALSE)-VLOOKUP($A12,DATA!$A$3:$F$301,2,FALSE))^2+(VLOOKUP(I$1,DATA!$A$3:$F$301,3,FALSE)-VLOOKUP($A12,DATA!$A$3:$F$301,3,FALSE))^2),"")</f>
        <v>7.0710678118654755</v>
      </c>
      <c r="J12" s="14">
        <f>_xlfn.IFNA(SQRT((VLOOKUP(J$1,DATA!$A$3:$F$301,2,FALSE)-VLOOKUP($A12,DATA!$A$3:$F$301,2,FALSE))^2+(VLOOKUP(J$1,DATA!$A$3:$F$301,3,FALSE)-VLOOKUP($A12,DATA!$A$3:$F$301,3,FALSE))^2),"")</f>
        <v>16.401219466856727</v>
      </c>
      <c r="K12" s="14">
        <f>_xlfn.IFNA(SQRT((VLOOKUP(K$1,DATA!$A$3:$F$301,2,FALSE)-VLOOKUP($A12,DATA!$A$3:$F$301,2,FALSE))^2+(VLOOKUP(K$1,DATA!$A$3:$F$301,3,FALSE)-VLOOKUP($A12,DATA!$A$3:$F$301,3,FALSE))^2),"")</f>
        <v>42.80186911806539</v>
      </c>
      <c r="L12" s="14">
        <f>_xlfn.IFNA(SQRT((VLOOKUP(L$1,DATA!$A$3:$F$301,2,FALSE)-VLOOKUP($A12,DATA!$A$3:$F$301,2,FALSE))^2+(VLOOKUP(L$1,DATA!$A$3:$F$301,3,FALSE)-VLOOKUP($A12,DATA!$A$3:$F$301,3,FALSE))^2),"")</f>
        <v>0</v>
      </c>
      <c r="M12" s="14">
        <f>_xlfn.IFNA(SQRT((VLOOKUP(M$1,DATA!$A$3:$F$301,2,FALSE)-VLOOKUP($A12,DATA!$A$3:$F$301,2,FALSE))^2+(VLOOKUP(M$1,DATA!$A$3:$F$301,3,FALSE)-VLOOKUP($A12,DATA!$A$3:$F$301,3,FALSE))^2),"")</f>
        <v>25.179356624028344</v>
      </c>
      <c r="N12" s="14">
        <f>_xlfn.IFNA(SQRT((VLOOKUP(N$1,DATA!$A$3:$F$301,2,FALSE)-VLOOKUP($A12,DATA!$A$3:$F$301,2,FALSE))^2+(VLOOKUP(N$1,DATA!$A$3:$F$301,3,FALSE)-VLOOKUP($A12,DATA!$A$3:$F$301,3,FALSE))^2),"")</f>
        <v>25.238858928247925</v>
      </c>
      <c r="O12" s="14">
        <f>_xlfn.IFNA(SQRT((VLOOKUP(O$1,DATA!$A$3:$F$301,2,FALSE)-VLOOKUP($A12,DATA!$A$3:$F$301,2,FALSE))^2+(VLOOKUP(O$1,DATA!$A$3:$F$301,3,FALSE)-VLOOKUP($A12,DATA!$A$3:$F$301,3,FALSE))^2),"")</f>
        <v>41.231056256176608</v>
      </c>
      <c r="P12" s="14">
        <f>_xlfn.IFNA(SQRT((VLOOKUP(P$1,DATA!$A$3:$F$301,2,FALSE)-VLOOKUP($A12,DATA!$A$3:$F$301,2,FALSE))^2+(VLOOKUP(P$1,DATA!$A$3:$F$301,3,FALSE)-VLOOKUP($A12,DATA!$A$3:$F$301,3,FALSE))^2),"")</f>
        <v>15.297058540778355</v>
      </c>
      <c r="Q12" s="14">
        <f>_xlfn.IFNA(SQRT((VLOOKUP(Q$1,DATA!$A$3:$F$301,2,FALSE)-VLOOKUP($A12,DATA!$A$3:$F$301,2,FALSE))^2+(VLOOKUP(Q$1,DATA!$A$3:$F$301,3,FALSE)-VLOOKUP($A12,DATA!$A$3:$F$301,3,FALSE))^2),"")</f>
        <v>7.2111025509279782</v>
      </c>
      <c r="R12" s="14">
        <f>_xlfn.IFNA(SQRT((VLOOKUP(R$1,DATA!$A$3:$F$301,2,FALSE)-VLOOKUP($A12,DATA!$A$3:$F$301,2,FALSE))^2+(VLOOKUP(R$1,DATA!$A$3:$F$301,3,FALSE)-VLOOKUP($A12,DATA!$A$3:$F$301,3,FALSE))^2),"")</f>
        <v>30.083217912982647</v>
      </c>
      <c r="S12" s="14">
        <f>_xlfn.IFNA(SQRT((VLOOKUP(S$1,DATA!$A$3:$F$301,2,FALSE)-VLOOKUP($A12,DATA!$A$3:$F$301,2,FALSE))^2+(VLOOKUP(S$1,DATA!$A$3:$F$301,3,FALSE)-VLOOKUP($A12,DATA!$A$3:$F$301,3,FALSE))^2),"")</f>
        <v>10.04987562112089</v>
      </c>
      <c r="T12" s="14">
        <f>_xlfn.IFNA(SQRT((VLOOKUP(T$1,DATA!$A$3:$F$301,2,FALSE)-VLOOKUP($A12,DATA!$A$3:$F$301,2,FALSE))^2+(VLOOKUP(T$1,DATA!$A$3:$F$301,3,FALSE)-VLOOKUP($A12,DATA!$A$3:$F$301,3,FALSE))^2),"")</f>
        <v>31.76476034853718</v>
      </c>
      <c r="U12" s="14">
        <f>_xlfn.IFNA(SQRT((VLOOKUP(U$1,DATA!$A$3:$F$301,2,FALSE)-VLOOKUP($A12,DATA!$A$3:$F$301,2,FALSE))^2+(VLOOKUP(U$1,DATA!$A$3:$F$301,3,FALSE)-VLOOKUP($A12,DATA!$A$3:$F$301,3,FALSE))^2),"")</f>
        <v>27.294688127912362</v>
      </c>
      <c r="V12" s="14">
        <f>_xlfn.IFNA(SQRT((VLOOKUP(V$1,DATA!$A$3:$F$301,2,FALSE)-VLOOKUP($A12,DATA!$A$3:$F$301,2,FALSE))^2+(VLOOKUP(V$1,DATA!$A$3:$F$301,3,FALSE)-VLOOKUP($A12,DATA!$A$3:$F$301,3,FALSE))^2),"")</f>
        <v>14.560219778561036</v>
      </c>
      <c r="W12" s="14">
        <f>_xlfn.IFNA(SQRT((VLOOKUP(W$1,DATA!$A$3:$F$301,2,FALSE)-VLOOKUP($A12,DATA!$A$3:$F$301,2,FALSE))^2+(VLOOKUP(W$1,DATA!$A$3:$F$301,3,FALSE)-VLOOKUP($A12,DATA!$A$3:$F$301,3,FALSE))^2),"")</f>
        <v>21</v>
      </c>
      <c r="X12" s="14">
        <f>_xlfn.IFNA(SQRT((VLOOKUP(X$1,DATA!$A$3:$F$301,2,FALSE)-VLOOKUP($A12,DATA!$A$3:$F$301,2,FALSE))^2+(VLOOKUP(X$1,DATA!$A$3:$F$301,3,FALSE)-VLOOKUP($A12,DATA!$A$3:$F$301,3,FALSE))^2),"")</f>
        <v>22.803508501982758</v>
      </c>
      <c r="Y12" s="14">
        <f>_xlfn.IFNA(SQRT((VLOOKUP(Y$1,DATA!$A$3:$F$301,2,FALSE)-VLOOKUP($A12,DATA!$A$3:$F$301,2,FALSE))^2+(VLOOKUP(Y$1,DATA!$A$3:$F$301,3,FALSE)-VLOOKUP($A12,DATA!$A$3:$F$301,3,FALSE))^2),"")</f>
        <v>6.324555320336759</v>
      </c>
      <c r="Z12" s="14">
        <f>_xlfn.IFNA(SQRT((VLOOKUP(Z$1,DATA!$A$3:$F$301,2,FALSE)-VLOOKUP($A12,DATA!$A$3:$F$301,2,FALSE))^2+(VLOOKUP(Z$1,DATA!$A$3:$F$301,3,FALSE)-VLOOKUP($A12,DATA!$A$3:$F$301,3,FALSE))^2),"")</f>
        <v>31.622776601683793</v>
      </c>
      <c r="AA12" s="14">
        <f>_xlfn.IFNA(SQRT((VLOOKUP(AA$1,DATA!$A$3:$F$301,2,FALSE)-VLOOKUP($A12,DATA!$A$3:$F$301,2,FALSE))^2+(VLOOKUP(AA$1,DATA!$A$3:$F$301,3,FALSE)-VLOOKUP($A12,DATA!$A$3:$F$301,3,FALSE))^2),"")</f>
        <v>17.464249196572979</v>
      </c>
      <c r="AB12" s="14">
        <f>_xlfn.IFNA(SQRT((VLOOKUP(AB$1,DATA!$A$3:$F$301,2,FALSE)-VLOOKUP($A12,DATA!$A$3:$F$301,2,FALSE))^2+(VLOOKUP(AB$1,DATA!$A$3:$F$301,3,FALSE)-VLOOKUP($A12,DATA!$A$3:$F$301,3,FALSE))^2),"")</f>
        <v>41.012193308819754</v>
      </c>
      <c r="AC12" s="14">
        <f>_xlfn.IFNA(SQRT((VLOOKUP(AC$1,DATA!$A$3:$F$301,2,FALSE)-VLOOKUP($A12,DATA!$A$3:$F$301,2,FALSE))^2+(VLOOKUP(AC$1,DATA!$A$3:$F$301,3,FALSE)-VLOOKUP($A12,DATA!$A$3:$F$301,3,FALSE))^2),"")</f>
        <v>27.892651361962706</v>
      </c>
      <c r="AD12" s="14">
        <f>_xlfn.IFNA(SQRT((VLOOKUP(AD$1,DATA!$A$3:$F$301,2,FALSE)-VLOOKUP($A12,DATA!$A$3:$F$301,2,FALSE))^2+(VLOOKUP(AD$1,DATA!$A$3:$F$301,3,FALSE)-VLOOKUP($A12,DATA!$A$3:$F$301,3,FALSE))^2),"")</f>
        <v>25.317977802344327</v>
      </c>
      <c r="AE12" s="14">
        <f>_xlfn.IFNA(SQRT((VLOOKUP(AE$1,DATA!$A$3:$F$301,2,FALSE)-VLOOKUP($A12,DATA!$A$3:$F$301,2,FALSE))^2+(VLOOKUP(AE$1,DATA!$A$3:$F$301,3,FALSE)-VLOOKUP($A12,DATA!$A$3:$F$301,3,FALSE))^2),"")</f>
        <v>43.416586692184822</v>
      </c>
      <c r="AF12" s="14">
        <f>_xlfn.IFNA(SQRT((VLOOKUP(AF$1,DATA!$A$3:$F$301,2,FALSE)-VLOOKUP($A12,DATA!$A$3:$F$301,2,FALSE))^2+(VLOOKUP(AF$1,DATA!$A$3:$F$301,3,FALSE)-VLOOKUP($A12,DATA!$A$3:$F$301,3,FALSE))^2),"")</f>
        <v>25</v>
      </c>
      <c r="AG12" s="14">
        <f>_xlfn.IFNA(SQRT((VLOOKUP(AG$1,DATA!$A$3:$F$301,2,FALSE)-VLOOKUP($A12,DATA!$A$3:$F$301,2,FALSE))^2+(VLOOKUP(AG$1,DATA!$A$3:$F$301,3,FALSE)-VLOOKUP($A12,DATA!$A$3:$F$301,3,FALSE))^2),"")</f>
        <v>27.459060435491963</v>
      </c>
      <c r="AH12" s="14">
        <f>_xlfn.IFNA(SQRT((VLOOKUP(AH$1,DATA!$A$3:$F$301,2,FALSE)-VLOOKUP($A12,DATA!$A$3:$F$301,2,FALSE))^2+(VLOOKUP(AH$1,DATA!$A$3:$F$301,3,FALSE)-VLOOKUP($A12,DATA!$A$3:$F$301,3,FALSE))^2),"")</f>
        <v>15.231546211727817</v>
      </c>
      <c r="AI12" s="14">
        <f>_xlfn.IFNA(SQRT((VLOOKUP(AI$1,DATA!$A$3:$F$301,2,FALSE)-VLOOKUP($A12,DATA!$A$3:$F$301,2,FALSE))^2+(VLOOKUP(AI$1,DATA!$A$3:$F$301,3,FALSE)-VLOOKUP($A12,DATA!$A$3:$F$301,3,FALSE))^2),"")</f>
        <v>31.016124838541646</v>
      </c>
      <c r="AJ12" s="14">
        <f>_xlfn.IFNA(SQRT((VLOOKUP(AJ$1,DATA!$A$3:$F$301,2,FALSE)-VLOOKUP($A12,DATA!$A$3:$F$301,2,FALSE))^2+(VLOOKUP(AJ$1,DATA!$A$3:$F$301,3,FALSE)-VLOOKUP($A12,DATA!$A$3:$F$301,3,FALSE))^2),"")</f>
        <v>9.4868329805051381</v>
      </c>
      <c r="AK12" s="14">
        <f>_xlfn.IFNA(SQRT((VLOOKUP(AK$1,DATA!$A$3:$F$301,2,FALSE)-VLOOKUP($A12,DATA!$A$3:$F$301,2,FALSE))^2+(VLOOKUP(AK$1,DATA!$A$3:$F$301,3,FALSE)-VLOOKUP($A12,DATA!$A$3:$F$301,3,FALSE))^2),"")</f>
        <v>20</v>
      </c>
      <c r="AL12" s="14">
        <f>_xlfn.IFNA(SQRT((VLOOKUP(AL$1,DATA!$A$3:$F$301,2,FALSE)-VLOOKUP($A12,DATA!$A$3:$F$301,2,FALSE))^2+(VLOOKUP(AL$1,DATA!$A$3:$F$301,3,FALSE)-VLOOKUP($A12,DATA!$A$3:$F$301,3,FALSE))^2),"")</f>
        <v>17.720045146669349</v>
      </c>
      <c r="AM12" s="14">
        <f>_xlfn.IFNA(SQRT((VLOOKUP(AM$1,DATA!$A$3:$F$301,2,FALSE)-VLOOKUP($A12,DATA!$A$3:$F$301,2,FALSE))^2+(VLOOKUP(AM$1,DATA!$A$3:$F$301,3,FALSE)-VLOOKUP($A12,DATA!$A$3:$F$301,3,FALSE))^2),"")</f>
        <v>21.470910553583888</v>
      </c>
      <c r="AN12" s="14">
        <f>_xlfn.IFNA(SQRT((VLOOKUP(AN$1,DATA!$A$3:$F$301,2,FALSE)-VLOOKUP($A12,DATA!$A$3:$F$301,2,FALSE))^2+(VLOOKUP(AN$1,DATA!$A$3:$F$301,3,FALSE)-VLOOKUP($A12,DATA!$A$3:$F$301,3,FALSE))^2),"")</f>
        <v>26.305892875931811</v>
      </c>
      <c r="AO12" s="14">
        <f>_xlfn.IFNA(SQRT((VLOOKUP(AO$1,DATA!$A$3:$F$301,2,FALSE)-VLOOKUP($A12,DATA!$A$3:$F$301,2,FALSE))^2+(VLOOKUP(AO$1,DATA!$A$3:$F$301,3,FALSE)-VLOOKUP($A12,DATA!$A$3:$F$301,3,FALSE))^2),"")</f>
        <v>20.024984394500787</v>
      </c>
      <c r="AP12" s="14" t="str">
        <f>_xlfn.IFNA(SQRT((VLOOKUP(AP$1,DATA!$A$3:$F$301,2,FALSE)-VLOOKUP($A12,DATA!$A$3:$F$301,2,FALSE))^2+(VLOOKUP(AP$1,DATA!$A$3:$F$301,3,FALSE)-VLOOKUP($A12,DATA!$A$3:$F$301,3,FALSE))^2),"")</f>
        <v/>
      </c>
      <c r="AQ12" s="14" t="str">
        <f>_xlfn.IFNA(SQRT((VLOOKUP(AQ$1,DATA!$A$3:$F$301,2,FALSE)-VLOOKUP($A12,DATA!$A$3:$F$301,2,FALSE))^2+(VLOOKUP(AQ$1,DATA!$A$3:$F$301,3,FALSE)-VLOOKUP($A12,DATA!$A$3:$F$301,3,FALSE))^2),"")</f>
        <v/>
      </c>
      <c r="AR12" s="14" t="str">
        <f>_xlfn.IFNA(SQRT((VLOOKUP(AR$1,DATA!$A$3:$F$301,2,FALSE)-VLOOKUP($A12,DATA!$A$3:$F$301,2,FALSE))^2+(VLOOKUP(AR$1,DATA!$A$3:$F$301,3,FALSE)-VLOOKUP($A12,DATA!$A$3:$F$301,3,FALSE))^2),"")</f>
        <v/>
      </c>
      <c r="AS12" s="14" t="str">
        <f>_xlfn.IFNA(SQRT((VLOOKUP(AS$1,DATA!$A$3:$F$301,2,FALSE)-VLOOKUP($A12,DATA!$A$3:$F$301,2,FALSE))^2+(VLOOKUP(AS$1,DATA!$A$3:$F$301,3,FALSE)-VLOOKUP($A12,DATA!$A$3:$F$301,3,FALSE))^2),"")</f>
        <v/>
      </c>
      <c r="AT12" s="14" t="str">
        <f>_xlfn.IFNA(SQRT((VLOOKUP(AT$1,DATA!$A$3:$F$301,2,FALSE)-VLOOKUP($A12,DATA!$A$3:$F$301,2,FALSE))^2+(VLOOKUP(AT$1,DATA!$A$3:$F$301,3,FALSE)-VLOOKUP($A12,DATA!$A$3:$F$301,3,FALSE))^2),"")</f>
        <v/>
      </c>
      <c r="AU12" s="14" t="str">
        <f>_xlfn.IFNA(SQRT((VLOOKUP(AU$1,DATA!$A$3:$F$301,2,FALSE)-VLOOKUP($A12,DATA!$A$3:$F$301,2,FALSE))^2+(VLOOKUP(AU$1,DATA!$A$3:$F$301,3,FALSE)-VLOOKUP($A12,DATA!$A$3:$F$301,3,FALSE))^2),"")</f>
        <v/>
      </c>
      <c r="AV12" s="14" t="str">
        <f>_xlfn.IFNA(SQRT((VLOOKUP(AV$1,DATA!$A$3:$F$301,2,FALSE)-VLOOKUP($A12,DATA!$A$3:$F$301,2,FALSE))^2+(VLOOKUP(AV$1,DATA!$A$3:$F$301,3,FALSE)-VLOOKUP($A12,DATA!$A$3:$F$301,3,FALSE))^2),"")</f>
        <v/>
      </c>
      <c r="AW12" s="14" t="str">
        <f>_xlfn.IFNA(SQRT((VLOOKUP(AW$1,DATA!$A$3:$F$301,2,FALSE)-VLOOKUP($A12,DATA!$A$3:$F$301,2,FALSE))^2+(VLOOKUP(AW$1,DATA!$A$3:$F$301,3,FALSE)-VLOOKUP($A12,DATA!$A$3:$F$301,3,FALSE))^2),"")</f>
        <v/>
      </c>
      <c r="AX12" s="14" t="str">
        <f>_xlfn.IFNA(SQRT((VLOOKUP(AX$1,DATA!$A$3:$F$301,2,FALSE)-VLOOKUP($A12,DATA!$A$3:$F$301,2,FALSE))^2+(VLOOKUP(AX$1,DATA!$A$3:$F$301,3,FALSE)-VLOOKUP($A12,DATA!$A$3:$F$301,3,FALSE))^2),"")</f>
        <v/>
      </c>
      <c r="AY12" s="14" t="str">
        <f>_xlfn.IFNA(SQRT((VLOOKUP(AY$1,DATA!$A$3:$F$301,2,FALSE)-VLOOKUP($A12,DATA!$A$3:$F$301,2,FALSE))^2+(VLOOKUP(AY$1,DATA!$A$3:$F$301,3,FALSE)-VLOOKUP($A12,DATA!$A$3:$F$301,3,FALSE))^2),"")</f>
        <v/>
      </c>
      <c r="AZ12" s="14" t="str">
        <f>_xlfn.IFNA(SQRT((VLOOKUP(AZ$1,DATA!$A$3:$F$301,2,FALSE)-VLOOKUP($A12,DATA!$A$3:$F$301,2,FALSE))^2+(VLOOKUP(AZ$1,DATA!$A$3:$F$301,3,FALSE)-VLOOKUP($A12,DATA!$A$3:$F$301,3,FALSE))^2),"")</f>
        <v/>
      </c>
      <c r="BA12" s="14" t="str">
        <f>_xlfn.IFNA(SQRT((VLOOKUP(BA$1,DATA!$A$3:$F$301,2,FALSE)-VLOOKUP($A12,DATA!$A$3:$F$301,2,FALSE))^2+(VLOOKUP(BA$1,DATA!$A$3:$F$301,3,FALSE)-VLOOKUP($A12,DATA!$A$3:$F$301,3,FALSE))^2),"")</f>
        <v/>
      </c>
      <c r="BB12" s="14" t="str">
        <f>_xlfn.IFNA(SQRT((VLOOKUP(BB$1,DATA!$A$3:$F$301,2,FALSE)-VLOOKUP($A12,DATA!$A$3:$F$301,2,FALSE))^2+(VLOOKUP(BB$1,DATA!$A$3:$F$301,3,FALSE)-VLOOKUP($A12,DATA!$A$3:$F$301,3,FALSE))^2),"")</f>
        <v/>
      </c>
      <c r="BC12" s="14" t="str">
        <f>_xlfn.IFNA(SQRT((VLOOKUP(BC$1,DATA!$A$3:$F$301,2,FALSE)-VLOOKUP($A12,DATA!$A$3:$F$301,2,FALSE))^2+(VLOOKUP(BC$1,DATA!$A$3:$F$301,3,FALSE)-VLOOKUP($A12,DATA!$A$3:$F$301,3,FALSE))^2),"")</f>
        <v/>
      </c>
      <c r="BD12" s="14" t="str">
        <f>_xlfn.IFNA(SQRT((VLOOKUP(BD$1,DATA!$A$3:$F$301,2,FALSE)-VLOOKUP($A12,DATA!$A$3:$F$301,2,FALSE))^2+(VLOOKUP(BD$1,DATA!$A$3:$F$301,3,FALSE)-VLOOKUP($A12,DATA!$A$3:$F$301,3,FALSE))^2),"")</f>
        <v/>
      </c>
      <c r="BE12" s="14" t="str">
        <f>_xlfn.IFNA(SQRT((VLOOKUP(BE$1,DATA!$A$3:$F$301,2,FALSE)-VLOOKUP($A12,DATA!$A$3:$F$301,2,FALSE))^2+(VLOOKUP(BE$1,DATA!$A$3:$F$301,3,FALSE)-VLOOKUP($A12,DATA!$A$3:$F$301,3,FALSE))^2),"")</f>
        <v/>
      </c>
      <c r="BF12" s="14" t="str">
        <f>_xlfn.IFNA(SQRT((VLOOKUP(BF$1,DATA!$A$3:$F$301,2,FALSE)-VLOOKUP($A12,DATA!$A$3:$F$301,2,FALSE))^2+(VLOOKUP(BF$1,DATA!$A$3:$F$301,3,FALSE)-VLOOKUP($A12,DATA!$A$3:$F$301,3,FALSE))^2),"")</f>
        <v/>
      </c>
      <c r="BG12" s="14" t="str">
        <f>_xlfn.IFNA(SQRT((VLOOKUP(BG$1,DATA!$A$3:$F$301,2,FALSE)-VLOOKUP($A12,DATA!$A$3:$F$301,2,FALSE))^2+(VLOOKUP(BG$1,DATA!$A$3:$F$301,3,FALSE)-VLOOKUP($A12,DATA!$A$3:$F$301,3,FALSE))^2),"")</f>
        <v/>
      </c>
      <c r="BH12" s="14" t="str">
        <f>_xlfn.IFNA(SQRT((VLOOKUP(BH$1,DATA!$A$3:$F$301,2,FALSE)-VLOOKUP($A12,DATA!$A$3:$F$301,2,FALSE))^2+(VLOOKUP(BH$1,DATA!$A$3:$F$301,3,FALSE)-VLOOKUP($A12,DATA!$A$3:$F$301,3,FALSE))^2),"")</f>
        <v/>
      </c>
      <c r="BI12" s="14" t="str">
        <f>_xlfn.IFNA(SQRT((VLOOKUP(BI$1,DATA!$A$3:$F$301,2,FALSE)-VLOOKUP($A12,DATA!$A$3:$F$301,2,FALSE))^2+(VLOOKUP(BI$1,DATA!$A$3:$F$301,3,FALSE)-VLOOKUP($A12,DATA!$A$3:$F$301,3,FALSE))^2),"")</f>
        <v/>
      </c>
      <c r="BJ12" s="14" t="str">
        <f>_xlfn.IFNA(SQRT((VLOOKUP(BJ$1,DATA!$A$3:$F$301,2,FALSE)-VLOOKUP($A12,DATA!$A$3:$F$301,2,FALSE))^2+(VLOOKUP(BJ$1,DATA!$A$3:$F$301,3,FALSE)-VLOOKUP($A12,DATA!$A$3:$F$301,3,FALSE))^2),"")</f>
        <v/>
      </c>
      <c r="BK12" s="14" t="str">
        <f>_xlfn.IFNA(SQRT((VLOOKUP(BK$1,DATA!$A$3:$F$301,2,FALSE)-VLOOKUP($A12,DATA!$A$3:$F$301,2,FALSE))^2+(VLOOKUP(BK$1,DATA!$A$3:$F$301,3,FALSE)-VLOOKUP($A12,DATA!$A$3:$F$301,3,FALSE))^2),"")</f>
        <v/>
      </c>
      <c r="BL12" s="14" t="str">
        <f>_xlfn.IFNA(SQRT((VLOOKUP(BL$1,DATA!$A$3:$F$301,2,FALSE)-VLOOKUP($A12,DATA!$A$3:$F$301,2,FALSE))^2+(VLOOKUP(BL$1,DATA!$A$3:$F$301,3,FALSE)-VLOOKUP($A12,DATA!$A$3:$F$301,3,FALSE))^2),"")</f>
        <v/>
      </c>
      <c r="BM12" s="14" t="str">
        <f>_xlfn.IFNA(SQRT((VLOOKUP(BM$1,DATA!$A$3:$F$301,2,FALSE)-VLOOKUP($A12,DATA!$A$3:$F$301,2,FALSE))^2+(VLOOKUP(BM$1,DATA!$A$3:$F$301,3,FALSE)-VLOOKUP($A12,DATA!$A$3:$F$301,3,FALSE))^2),"")</f>
        <v/>
      </c>
      <c r="BN12" s="14" t="str">
        <f>_xlfn.IFNA(SQRT((VLOOKUP(BN$1,DATA!$A$3:$F$301,2,FALSE)-VLOOKUP($A12,DATA!$A$3:$F$301,2,FALSE))^2+(VLOOKUP(BN$1,DATA!$A$3:$F$301,3,FALSE)-VLOOKUP($A12,DATA!$A$3:$F$301,3,FALSE))^2),"")</f>
        <v/>
      </c>
      <c r="BO12" s="14" t="str">
        <f>_xlfn.IFNA(SQRT((VLOOKUP(BO$1,DATA!$A$3:$F$301,2,FALSE)-VLOOKUP($A12,DATA!$A$3:$F$301,2,FALSE))^2+(VLOOKUP(BO$1,DATA!$A$3:$F$301,3,FALSE)-VLOOKUP($A12,DATA!$A$3:$F$301,3,FALSE))^2),"")</f>
        <v/>
      </c>
      <c r="BP12" s="14" t="str">
        <f>_xlfn.IFNA(SQRT((VLOOKUP(BP$1,DATA!$A$3:$F$301,2,FALSE)-VLOOKUP($A12,DATA!$A$3:$F$301,2,FALSE))^2+(VLOOKUP(BP$1,DATA!$A$3:$F$301,3,FALSE)-VLOOKUP($A12,DATA!$A$3:$F$301,3,FALSE))^2),"")</f>
        <v/>
      </c>
      <c r="BQ12" s="14" t="str">
        <f>_xlfn.IFNA(SQRT((VLOOKUP(BQ$1,DATA!$A$3:$F$301,2,FALSE)-VLOOKUP($A12,DATA!$A$3:$F$301,2,FALSE))^2+(VLOOKUP(BQ$1,DATA!$A$3:$F$301,3,FALSE)-VLOOKUP($A12,DATA!$A$3:$F$301,3,FALSE))^2),"")</f>
        <v/>
      </c>
      <c r="BR12" s="14" t="str">
        <f>_xlfn.IFNA(SQRT((VLOOKUP(BR$1,DATA!$A$3:$F$301,2,FALSE)-VLOOKUP($A12,DATA!$A$3:$F$301,2,FALSE))^2+(VLOOKUP(BR$1,DATA!$A$3:$F$301,3,FALSE)-VLOOKUP($A12,DATA!$A$3:$F$301,3,FALSE))^2),"")</f>
        <v/>
      </c>
      <c r="BS12" s="14" t="str">
        <f>_xlfn.IFNA(SQRT((VLOOKUP(BS$1,DATA!$A$3:$F$301,2,FALSE)-VLOOKUP($A12,DATA!$A$3:$F$301,2,FALSE))^2+(VLOOKUP(BS$1,DATA!$A$3:$F$301,3,FALSE)-VLOOKUP($A12,DATA!$A$3:$F$301,3,FALSE))^2),"")</f>
        <v/>
      </c>
      <c r="BT12" s="14" t="str">
        <f>_xlfn.IFNA(SQRT((VLOOKUP(BT$1,DATA!$A$3:$F$301,2,FALSE)-VLOOKUP($A12,DATA!$A$3:$F$301,2,FALSE))^2+(VLOOKUP(BT$1,DATA!$A$3:$F$301,3,FALSE)-VLOOKUP($A12,DATA!$A$3:$F$301,3,FALSE))^2),"")</f>
        <v/>
      </c>
      <c r="BU12" s="14" t="str">
        <f>_xlfn.IFNA(SQRT((VLOOKUP(BU$1,DATA!$A$3:$F$301,2,FALSE)-VLOOKUP($A12,DATA!$A$3:$F$301,2,FALSE))^2+(VLOOKUP(BU$1,DATA!$A$3:$F$301,3,FALSE)-VLOOKUP($A12,DATA!$A$3:$F$301,3,FALSE))^2),"")</f>
        <v/>
      </c>
      <c r="BV12" s="14" t="str">
        <f>_xlfn.IFNA(SQRT((VLOOKUP(BV$1,DATA!$A$3:$F$301,2,FALSE)-VLOOKUP($A12,DATA!$A$3:$F$301,2,FALSE))^2+(VLOOKUP(BV$1,DATA!$A$3:$F$301,3,FALSE)-VLOOKUP($A12,DATA!$A$3:$F$301,3,FALSE))^2),"")</f>
        <v/>
      </c>
      <c r="BW12" s="14" t="str">
        <f>_xlfn.IFNA(SQRT((VLOOKUP(BW$1,DATA!$A$3:$F$301,2,FALSE)-VLOOKUP($A12,DATA!$A$3:$F$301,2,FALSE))^2+(VLOOKUP(BW$1,DATA!$A$3:$F$301,3,FALSE)-VLOOKUP($A12,DATA!$A$3:$F$301,3,FALSE))^2),"")</f>
        <v/>
      </c>
      <c r="BX12" s="14" t="str">
        <f>_xlfn.IFNA(SQRT((VLOOKUP(BX$1,DATA!$A$3:$F$301,2,FALSE)-VLOOKUP($A12,DATA!$A$3:$F$301,2,FALSE))^2+(VLOOKUP(BX$1,DATA!$A$3:$F$301,3,FALSE)-VLOOKUP($A12,DATA!$A$3:$F$301,3,FALSE))^2),"")</f>
        <v/>
      </c>
      <c r="BY12" s="14" t="str">
        <f>_xlfn.IFNA(SQRT((VLOOKUP(BY$1,DATA!$A$3:$F$301,2,FALSE)-VLOOKUP($A12,DATA!$A$3:$F$301,2,FALSE))^2+(VLOOKUP(BY$1,DATA!$A$3:$F$301,3,FALSE)-VLOOKUP($A12,DATA!$A$3:$F$301,3,FALSE))^2),"")</f>
        <v/>
      </c>
      <c r="BZ12" s="14" t="str">
        <f>_xlfn.IFNA(SQRT((VLOOKUP(BZ$1,DATA!$A$3:$F$301,2,FALSE)-VLOOKUP($A12,DATA!$A$3:$F$301,2,FALSE))^2+(VLOOKUP(BZ$1,DATA!$A$3:$F$301,3,FALSE)-VLOOKUP($A12,DATA!$A$3:$F$301,3,FALSE))^2),"")</f>
        <v/>
      </c>
      <c r="CA12" s="14" t="str">
        <f>_xlfn.IFNA(SQRT((VLOOKUP(CA$1,DATA!$A$3:$F$301,2,FALSE)-VLOOKUP($A12,DATA!$A$3:$F$301,2,FALSE))^2+(VLOOKUP(CA$1,DATA!$A$3:$F$301,3,FALSE)-VLOOKUP($A12,DATA!$A$3:$F$301,3,FALSE))^2),"")</f>
        <v/>
      </c>
      <c r="CB12" s="14" t="str">
        <f>_xlfn.IFNA(SQRT((VLOOKUP(CB$1,DATA!$A$3:$F$301,2,FALSE)-VLOOKUP($A12,DATA!$A$3:$F$301,2,FALSE))^2+(VLOOKUP(CB$1,DATA!$A$3:$F$301,3,FALSE)-VLOOKUP($A12,DATA!$A$3:$F$301,3,FALSE))^2),"")</f>
        <v/>
      </c>
      <c r="CC12" s="14" t="str">
        <f>_xlfn.IFNA(SQRT((VLOOKUP(CC$1,DATA!$A$3:$F$301,2,FALSE)-VLOOKUP($A12,DATA!$A$3:$F$301,2,FALSE))^2+(VLOOKUP(CC$1,DATA!$A$3:$F$301,3,FALSE)-VLOOKUP($A12,DATA!$A$3:$F$301,3,FALSE))^2),"")</f>
        <v/>
      </c>
      <c r="CD12" s="14" t="str">
        <f>_xlfn.IFNA(SQRT((VLOOKUP(CD$1,DATA!$A$3:$F$301,2,FALSE)-VLOOKUP($A12,DATA!$A$3:$F$301,2,FALSE))^2+(VLOOKUP(CD$1,DATA!$A$3:$F$301,3,FALSE)-VLOOKUP($A12,DATA!$A$3:$F$301,3,FALSE))^2),"")</f>
        <v/>
      </c>
      <c r="CE12" s="14" t="str">
        <f>_xlfn.IFNA(SQRT((VLOOKUP(CE$1,DATA!$A$3:$F$301,2,FALSE)-VLOOKUP($A12,DATA!$A$3:$F$301,2,FALSE))^2+(VLOOKUP(CE$1,DATA!$A$3:$F$301,3,FALSE)-VLOOKUP($A12,DATA!$A$3:$F$301,3,FALSE))^2),"")</f>
        <v/>
      </c>
      <c r="CF12" s="14" t="str">
        <f>_xlfn.IFNA(SQRT((VLOOKUP(CF$1,DATA!$A$3:$F$301,2,FALSE)-VLOOKUP($A12,DATA!$A$3:$F$301,2,FALSE))^2+(VLOOKUP(CF$1,DATA!$A$3:$F$301,3,FALSE)-VLOOKUP($A12,DATA!$A$3:$F$301,3,FALSE))^2),"")</f>
        <v/>
      </c>
      <c r="CG12" s="14" t="str">
        <f>_xlfn.IFNA(SQRT((VLOOKUP(CG$1,DATA!$A$3:$F$301,2,FALSE)-VLOOKUP($A12,DATA!$A$3:$F$301,2,FALSE))^2+(VLOOKUP(CG$1,DATA!$A$3:$F$301,3,FALSE)-VLOOKUP($A12,DATA!$A$3:$F$301,3,FALSE))^2),"")</f>
        <v/>
      </c>
      <c r="CH12" s="14" t="str">
        <f>_xlfn.IFNA(SQRT((VLOOKUP(CH$1,DATA!$A$3:$F$301,2,FALSE)-VLOOKUP($A12,DATA!$A$3:$F$301,2,FALSE))^2+(VLOOKUP(CH$1,DATA!$A$3:$F$301,3,FALSE)-VLOOKUP($A12,DATA!$A$3:$F$301,3,FALSE))^2),"")</f>
        <v/>
      </c>
      <c r="CI12" s="14" t="str">
        <f>_xlfn.IFNA(SQRT((VLOOKUP(CI$1,DATA!$A$3:$F$301,2,FALSE)-VLOOKUP($A12,DATA!$A$3:$F$301,2,FALSE))^2+(VLOOKUP(CI$1,DATA!$A$3:$F$301,3,FALSE)-VLOOKUP($A12,DATA!$A$3:$F$301,3,FALSE))^2),"")</f>
        <v/>
      </c>
      <c r="CJ12" s="14" t="str">
        <f>_xlfn.IFNA(SQRT((VLOOKUP(CJ$1,DATA!$A$3:$F$301,2,FALSE)-VLOOKUP($A12,DATA!$A$3:$F$301,2,FALSE))^2+(VLOOKUP(CJ$1,DATA!$A$3:$F$301,3,FALSE)-VLOOKUP($A12,DATA!$A$3:$F$301,3,FALSE))^2),"")</f>
        <v/>
      </c>
      <c r="CK12" s="14" t="str">
        <f>_xlfn.IFNA(SQRT((VLOOKUP(CK$1,DATA!$A$3:$F$301,2,FALSE)-VLOOKUP($A12,DATA!$A$3:$F$301,2,FALSE))^2+(VLOOKUP(CK$1,DATA!$A$3:$F$301,3,FALSE)-VLOOKUP($A12,DATA!$A$3:$F$301,3,FALSE))^2),"")</f>
        <v/>
      </c>
      <c r="CL12" s="14" t="str">
        <f>_xlfn.IFNA(SQRT((VLOOKUP(CL$1,DATA!$A$3:$F$301,2,FALSE)-VLOOKUP($A12,DATA!$A$3:$F$301,2,FALSE))^2+(VLOOKUP(CL$1,DATA!$A$3:$F$301,3,FALSE)-VLOOKUP($A12,DATA!$A$3:$F$301,3,FALSE))^2),"")</f>
        <v/>
      </c>
      <c r="CM12" s="14" t="str">
        <f>_xlfn.IFNA(SQRT((VLOOKUP(CM$1,DATA!$A$3:$F$301,2,FALSE)-VLOOKUP($A12,DATA!$A$3:$F$301,2,FALSE))^2+(VLOOKUP(CM$1,DATA!$A$3:$F$301,3,FALSE)-VLOOKUP($A12,DATA!$A$3:$F$301,3,FALSE))^2),"")</f>
        <v/>
      </c>
      <c r="CN12" s="14" t="str">
        <f>_xlfn.IFNA(SQRT((VLOOKUP(CN$1,DATA!$A$3:$F$301,2,FALSE)-VLOOKUP($A12,DATA!$A$3:$F$301,2,FALSE))^2+(VLOOKUP(CN$1,DATA!$A$3:$F$301,3,FALSE)-VLOOKUP($A12,DATA!$A$3:$F$301,3,FALSE))^2),"")</f>
        <v/>
      </c>
      <c r="CO12" s="14" t="str">
        <f>_xlfn.IFNA(SQRT((VLOOKUP(CO$1,DATA!$A$3:$F$301,2,FALSE)-VLOOKUP($A12,DATA!$A$3:$F$301,2,FALSE))^2+(VLOOKUP(CO$1,DATA!$A$3:$F$301,3,FALSE)-VLOOKUP($A12,DATA!$A$3:$F$301,3,FALSE))^2),"")</f>
        <v/>
      </c>
      <c r="CP12" s="14" t="str">
        <f>_xlfn.IFNA(SQRT((VLOOKUP(CP$1,DATA!$A$3:$F$301,2,FALSE)-VLOOKUP($A12,DATA!$A$3:$F$301,2,FALSE))^2+(VLOOKUP(CP$1,DATA!$A$3:$F$301,3,FALSE)-VLOOKUP($A12,DATA!$A$3:$F$301,3,FALSE))^2),"")</f>
        <v/>
      </c>
      <c r="CQ12" s="14" t="str">
        <f>_xlfn.IFNA(SQRT((VLOOKUP(CQ$1,DATA!$A$3:$F$301,2,FALSE)-VLOOKUP($A12,DATA!$A$3:$F$301,2,FALSE))^2+(VLOOKUP(CQ$1,DATA!$A$3:$F$301,3,FALSE)-VLOOKUP($A12,DATA!$A$3:$F$301,3,FALSE))^2),"")</f>
        <v/>
      </c>
      <c r="CR12" s="14" t="str">
        <f>_xlfn.IFNA(SQRT((VLOOKUP(CR$1,DATA!$A$3:$F$301,2,FALSE)-VLOOKUP($A12,DATA!$A$3:$F$301,2,FALSE))^2+(VLOOKUP(CR$1,DATA!$A$3:$F$301,3,FALSE)-VLOOKUP($A12,DATA!$A$3:$F$301,3,FALSE))^2),"")</f>
        <v/>
      </c>
      <c r="CS12" s="14" t="str">
        <f>_xlfn.IFNA(SQRT((VLOOKUP(CS$1,DATA!$A$3:$F$301,2,FALSE)-VLOOKUP($A12,DATA!$A$3:$F$301,2,FALSE))^2+(VLOOKUP(CS$1,DATA!$A$3:$F$301,3,FALSE)-VLOOKUP($A12,DATA!$A$3:$F$301,3,FALSE))^2),"")</f>
        <v/>
      </c>
      <c r="CT12" s="14" t="str">
        <f>_xlfn.IFNA(SQRT((VLOOKUP(CT$1,DATA!$A$3:$F$301,2,FALSE)-VLOOKUP($A12,DATA!$A$3:$F$301,2,FALSE))^2+(VLOOKUP(CT$1,DATA!$A$3:$F$301,3,FALSE)-VLOOKUP($A12,DATA!$A$3:$F$301,3,FALSE))^2),"")</f>
        <v/>
      </c>
      <c r="CU12" s="14" t="str">
        <f>_xlfn.IFNA(SQRT((VLOOKUP(CU$1,DATA!$A$3:$F$301,2,FALSE)-VLOOKUP($A12,DATA!$A$3:$F$301,2,FALSE))^2+(VLOOKUP(CU$1,DATA!$A$3:$F$301,3,FALSE)-VLOOKUP($A12,DATA!$A$3:$F$301,3,FALSE))^2),"")</f>
        <v/>
      </c>
      <c r="CV12" s="14" t="str">
        <f>_xlfn.IFNA(SQRT((VLOOKUP(CV$1,DATA!$A$3:$F$301,2,FALSE)-VLOOKUP($A12,DATA!$A$3:$F$301,2,FALSE))^2+(VLOOKUP(CV$1,DATA!$A$3:$F$301,3,FALSE)-VLOOKUP($A12,DATA!$A$3:$F$301,3,FALSE))^2),"")</f>
        <v/>
      </c>
      <c r="CW12" s="14" t="str">
        <f>_xlfn.IFNA(SQRT((VLOOKUP(CW$1,DATA!$A$3:$F$301,2,FALSE)-VLOOKUP($A12,DATA!$A$3:$F$301,2,FALSE))^2+(VLOOKUP(CW$1,DATA!$A$3:$F$301,3,FALSE)-VLOOKUP($A12,DATA!$A$3:$F$301,3,FALSE))^2),"")</f>
        <v/>
      </c>
      <c r="CX12" s="14" t="str">
        <f>_xlfn.IFNA(SQRT((VLOOKUP(CX$1,DATA!$A$3:$F$301,2,FALSE)-VLOOKUP($A12,DATA!$A$3:$F$301,2,FALSE))^2+(VLOOKUP(CX$1,DATA!$A$3:$F$301,3,FALSE)-VLOOKUP($A12,DATA!$A$3:$F$301,3,FALSE))^2),"")</f>
        <v/>
      </c>
    </row>
    <row r="13" spans="1:102">
      <c r="A13" s="13">
        <v>12</v>
      </c>
      <c r="B13" s="14">
        <f>_xlfn.IFNA(SQRT((VLOOKUP(B$1,DATA!$A$3:$F$301,2,FALSE)-VLOOKUP($A13,DATA!$A$3:$F$301,2,FALSE))^2+(VLOOKUP(B$1,DATA!$A$3:$F$301,3,FALSE)-VLOOKUP($A13,DATA!$A$3:$F$301,3,FALSE))^2),"")</f>
        <v>12.165525060596439</v>
      </c>
      <c r="C13" s="14">
        <f>_xlfn.IFNA(SQRT((VLOOKUP(C$1,DATA!$A$3:$F$301,2,FALSE)-VLOOKUP($A13,DATA!$A$3:$F$301,2,FALSE))^2+(VLOOKUP(C$1,DATA!$A$3:$F$301,3,FALSE)-VLOOKUP($A13,DATA!$A$3:$F$301,3,FALSE))^2),"")</f>
        <v>13.038404810405298</v>
      </c>
      <c r="D13" s="14">
        <f>_xlfn.IFNA(SQRT((VLOOKUP(D$1,DATA!$A$3:$F$301,2,FALSE)-VLOOKUP($A13,DATA!$A$3:$F$301,2,FALSE))^2+(VLOOKUP(D$1,DATA!$A$3:$F$301,3,FALSE)-VLOOKUP($A13,DATA!$A$3:$F$301,3,FALSE))^2),"")</f>
        <v>24.083189157584592</v>
      </c>
      <c r="E13" s="14">
        <f>_xlfn.IFNA(SQRT((VLOOKUP(E$1,DATA!$A$3:$F$301,2,FALSE)-VLOOKUP($A13,DATA!$A$3:$F$301,2,FALSE))^2+(VLOOKUP(E$1,DATA!$A$3:$F$301,3,FALSE)-VLOOKUP($A13,DATA!$A$3:$F$301,3,FALSE))^2),"")</f>
        <v>17.11724276862369</v>
      </c>
      <c r="F13" s="14">
        <f>_xlfn.IFNA(SQRT((VLOOKUP(F$1,DATA!$A$3:$F$301,2,FALSE)-VLOOKUP($A13,DATA!$A$3:$F$301,2,FALSE))^2+(VLOOKUP(F$1,DATA!$A$3:$F$301,3,FALSE)-VLOOKUP($A13,DATA!$A$3:$F$301,3,FALSE))^2),"")</f>
        <v>16.278820596099706</v>
      </c>
      <c r="G13" s="14">
        <f>_xlfn.IFNA(SQRT((VLOOKUP(G$1,DATA!$A$3:$F$301,2,FALSE)-VLOOKUP($A13,DATA!$A$3:$F$301,2,FALSE))^2+(VLOOKUP(G$1,DATA!$A$3:$F$301,3,FALSE)-VLOOKUP($A13,DATA!$A$3:$F$301,3,FALSE))^2),"")</f>
        <v>19.235384061671343</v>
      </c>
      <c r="H13" s="14">
        <f>_xlfn.IFNA(SQRT((VLOOKUP(H$1,DATA!$A$3:$F$301,2,FALSE)-VLOOKUP($A13,DATA!$A$3:$F$301,2,FALSE))^2+(VLOOKUP(H$1,DATA!$A$3:$F$301,3,FALSE)-VLOOKUP($A13,DATA!$A$3:$F$301,3,FALSE))^2),"")</f>
        <v>30.870698080866262</v>
      </c>
      <c r="I13" s="14">
        <f>_xlfn.IFNA(SQRT((VLOOKUP(I$1,DATA!$A$3:$F$301,2,FALSE)-VLOOKUP($A13,DATA!$A$3:$F$301,2,FALSE))^2+(VLOOKUP(I$1,DATA!$A$3:$F$301,3,FALSE)-VLOOKUP($A13,DATA!$A$3:$F$301,3,FALSE))^2),"")</f>
        <v>26</v>
      </c>
      <c r="J13" s="14">
        <f>_xlfn.IFNA(SQRT((VLOOKUP(J$1,DATA!$A$3:$F$301,2,FALSE)-VLOOKUP($A13,DATA!$A$3:$F$301,2,FALSE))^2+(VLOOKUP(J$1,DATA!$A$3:$F$301,3,FALSE)-VLOOKUP($A13,DATA!$A$3:$F$301,3,FALSE))^2),"")</f>
        <v>13.892443989449804</v>
      </c>
      <c r="K13" s="14">
        <f>_xlfn.IFNA(SQRT((VLOOKUP(K$1,DATA!$A$3:$F$301,2,FALSE)-VLOOKUP($A13,DATA!$A$3:$F$301,2,FALSE))^2+(VLOOKUP(K$1,DATA!$A$3:$F$301,3,FALSE)-VLOOKUP($A13,DATA!$A$3:$F$301,3,FALSE))^2),"")</f>
        <v>24.698178070456937</v>
      </c>
      <c r="L13" s="14">
        <f>_xlfn.IFNA(SQRT((VLOOKUP(L$1,DATA!$A$3:$F$301,2,FALSE)-VLOOKUP($A13,DATA!$A$3:$F$301,2,FALSE))^2+(VLOOKUP(L$1,DATA!$A$3:$F$301,3,FALSE)-VLOOKUP($A13,DATA!$A$3:$F$301,3,FALSE))^2),"")</f>
        <v>25.179356624028344</v>
      </c>
      <c r="M13" s="14">
        <f>_xlfn.IFNA(SQRT((VLOOKUP(M$1,DATA!$A$3:$F$301,2,FALSE)-VLOOKUP($A13,DATA!$A$3:$F$301,2,FALSE))^2+(VLOOKUP(M$1,DATA!$A$3:$F$301,3,FALSE)-VLOOKUP($A13,DATA!$A$3:$F$301,3,FALSE))^2),"")</f>
        <v>0</v>
      </c>
      <c r="N13" s="14">
        <f>_xlfn.IFNA(SQRT((VLOOKUP(N$1,DATA!$A$3:$F$301,2,FALSE)-VLOOKUP($A13,DATA!$A$3:$F$301,2,FALSE))^2+(VLOOKUP(N$1,DATA!$A$3:$F$301,3,FALSE)-VLOOKUP($A13,DATA!$A$3:$F$301,3,FALSE))^2),"")</f>
        <v>11.704699910719626</v>
      </c>
      <c r="O13" s="14">
        <f>_xlfn.IFNA(SQRT((VLOOKUP(O$1,DATA!$A$3:$F$301,2,FALSE)-VLOOKUP($A13,DATA!$A$3:$F$301,2,FALSE))^2+(VLOOKUP(O$1,DATA!$A$3:$F$301,3,FALSE)-VLOOKUP($A13,DATA!$A$3:$F$301,3,FALSE))^2),"")</f>
        <v>23.021728866442675</v>
      </c>
      <c r="P13" s="14">
        <f>_xlfn.IFNA(SQRT((VLOOKUP(P$1,DATA!$A$3:$F$301,2,FALSE)-VLOOKUP($A13,DATA!$A$3:$F$301,2,FALSE))^2+(VLOOKUP(P$1,DATA!$A$3:$F$301,3,FALSE)-VLOOKUP($A13,DATA!$A$3:$F$301,3,FALSE))^2),"")</f>
        <v>33.286633954186478</v>
      </c>
      <c r="Q13" s="14">
        <f>_xlfn.IFNA(SQRT((VLOOKUP(Q$1,DATA!$A$3:$F$301,2,FALSE)-VLOOKUP($A13,DATA!$A$3:$F$301,2,FALSE))^2+(VLOOKUP(Q$1,DATA!$A$3:$F$301,3,FALSE)-VLOOKUP($A13,DATA!$A$3:$F$301,3,FALSE))^2),"")</f>
        <v>21.213203435596427</v>
      </c>
      <c r="R13" s="14">
        <f>_xlfn.IFNA(SQRT((VLOOKUP(R$1,DATA!$A$3:$F$301,2,FALSE)-VLOOKUP($A13,DATA!$A$3:$F$301,2,FALSE))^2+(VLOOKUP(R$1,DATA!$A$3:$F$301,3,FALSE)-VLOOKUP($A13,DATA!$A$3:$F$301,3,FALSE))^2),"")</f>
        <v>31.064449134018133</v>
      </c>
      <c r="S13" s="14">
        <f>_xlfn.IFNA(SQRT((VLOOKUP(S$1,DATA!$A$3:$F$301,2,FALSE)-VLOOKUP($A13,DATA!$A$3:$F$301,2,FALSE))^2+(VLOOKUP(S$1,DATA!$A$3:$F$301,3,FALSE)-VLOOKUP($A13,DATA!$A$3:$F$301,3,FALSE))^2),"")</f>
        <v>15.132745950421556</v>
      </c>
      <c r="T13" s="14">
        <f>_xlfn.IFNA(SQRT((VLOOKUP(T$1,DATA!$A$3:$F$301,2,FALSE)-VLOOKUP($A13,DATA!$A$3:$F$301,2,FALSE))^2+(VLOOKUP(T$1,DATA!$A$3:$F$301,3,FALSE)-VLOOKUP($A13,DATA!$A$3:$F$301,3,FALSE))^2),"")</f>
        <v>18.248287590894659</v>
      </c>
      <c r="U13" s="14">
        <f>_xlfn.IFNA(SQRT((VLOOKUP(U$1,DATA!$A$3:$F$301,2,FALSE)-VLOOKUP($A13,DATA!$A$3:$F$301,2,FALSE))^2+(VLOOKUP(U$1,DATA!$A$3:$F$301,3,FALSE)-VLOOKUP($A13,DATA!$A$3:$F$301,3,FALSE))^2),"")</f>
        <v>24.186773244895647</v>
      </c>
      <c r="V13" s="14">
        <f>_xlfn.IFNA(SQRT((VLOOKUP(V$1,DATA!$A$3:$F$301,2,FALSE)-VLOOKUP($A13,DATA!$A$3:$F$301,2,FALSE))^2+(VLOOKUP(V$1,DATA!$A$3:$F$301,3,FALSE)-VLOOKUP($A13,DATA!$A$3:$F$301,3,FALSE))^2),"")</f>
        <v>23.706539182259394</v>
      </c>
      <c r="W13" s="14">
        <f>_xlfn.IFNA(SQRT((VLOOKUP(W$1,DATA!$A$3:$F$301,2,FALSE)-VLOOKUP($A13,DATA!$A$3:$F$301,2,FALSE))^2+(VLOOKUP(W$1,DATA!$A$3:$F$301,3,FALSE)-VLOOKUP($A13,DATA!$A$3:$F$301,3,FALSE))^2),"")</f>
        <v>30.805843601498726</v>
      </c>
      <c r="X13" s="14">
        <f>_xlfn.IFNA(SQRT((VLOOKUP(X$1,DATA!$A$3:$F$301,2,FALSE)-VLOOKUP($A13,DATA!$A$3:$F$301,2,FALSE))^2+(VLOOKUP(X$1,DATA!$A$3:$F$301,3,FALSE)-VLOOKUP($A13,DATA!$A$3:$F$301,3,FALSE))^2),"")</f>
        <v>36.359317925395686</v>
      </c>
      <c r="Y13" s="14">
        <f>_xlfn.IFNA(SQRT((VLOOKUP(Y$1,DATA!$A$3:$F$301,2,FALSE)-VLOOKUP($A13,DATA!$A$3:$F$301,2,FALSE))^2+(VLOOKUP(Y$1,DATA!$A$3:$F$301,3,FALSE)-VLOOKUP($A13,DATA!$A$3:$F$301,3,FALSE))^2),"")</f>
        <v>24.698178070456937</v>
      </c>
      <c r="Z13" s="14">
        <f>_xlfn.IFNA(SQRT((VLOOKUP(Z$1,DATA!$A$3:$F$301,2,FALSE)-VLOOKUP($A13,DATA!$A$3:$F$301,2,FALSE))^2+(VLOOKUP(Z$1,DATA!$A$3:$F$301,3,FALSE)-VLOOKUP($A13,DATA!$A$3:$F$301,3,FALSE))^2),"")</f>
        <v>30.886890422961002</v>
      </c>
      <c r="AA13" s="14">
        <f>_xlfn.IFNA(SQRT((VLOOKUP(AA$1,DATA!$A$3:$F$301,2,FALSE)-VLOOKUP($A13,DATA!$A$3:$F$301,2,FALSE))^2+(VLOOKUP(AA$1,DATA!$A$3:$F$301,3,FALSE)-VLOOKUP($A13,DATA!$A$3:$F$301,3,FALSE))^2),"")</f>
        <v>13.45362404707371</v>
      </c>
      <c r="AB13" s="14">
        <f>_xlfn.IFNA(SQRT((VLOOKUP(AB$1,DATA!$A$3:$F$301,2,FALSE)-VLOOKUP($A13,DATA!$A$3:$F$301,2,FALSE))^2+(VLOOKUP(AB$1,DATA!$A$3:$F$301,3,FALSE)-VLOOKUP($A13,DATA!$A$3:$F$301,3,FALSE))^2),"")</f>
        <v>26.305892875931811</v>
      </c>
      <c r="AC13" s="14">
        <f>_xlfn.IFNA(SQRT((VLOOKUP(AC$1,DATA!$A$3:$F$301,2,FALSE)-VLOOKUP($A13,DATA!$A$3:$F$301,2,FALSE))^2+(VLOOKUP(AC$1,DATA!$A$3:$F$301,3,FALSE)-VLOOKUP($A13,DATA!$A$3:$F$301,3,FALSE))^2),"")</f>
        <v>10.198039027185569</v>
      </c>
      <c r="AD13" s="14">
        <f>_xlfn.IFNA(SQRT((VLOOKUP(AD$1,DATA!$A$3:$F$301,2,FALSE)-VLOOKUP($A13,DATA!$A$3:$F$301,2,FALSE))^2+(VLOOKUP(AD$1,DATA!$A$3:$F$301,3,FALSE)-VLOOKUP($A13,DATA!$A$3:$F$301,3,FALSE))^2),"")</f>
        <v>36.400549446402593</v>
      </c>
      <c r="AE13" s="14">
        <f>_xlfn.IFNA(SQRT((VLOOKUP(AE$1,DATA!$A$3:$F$301,2,FALSE)-VLOOKUP($A13,DATA!$A$3:$F$301,2,FALSE))^2+(VLOOKUP(AE$1,DATA!$A$3:$F$301,3,FALSE)-VLOOKUP($A13,DATA!$A$3:$F$301,3,FALSE))^2),"")</f>
        <v>20.124611797498108</v>
      </c>
      <c r="AF13" s="14">
        <f>_xlfn.IFNA(SQRT((VLOOKUP(AF$1,DATA!$A$3:$F$301,2,FALSE)-VLOOKUP($A13,DATA!$A$3:$F$301,2,FALSE))^2+(VLOOKUP(AF$1,DATA!$A$3:$F$301,3,FALSE)-VLOOKUP($A13,DATA!$A$3:$F$301,3,FALSE))^2),"")</f>
        <v>27.658633371878661</v>
      </c>
      <c r="AG13" s="14">
        <f>_xlfn.IFNA(SQRT((VLOOKUP(AG$1,DATA!$A$3:$F$301,2,FALSE)-VLOOKUP($A13,DATA!$A$3:$F$301,2,FALSE))^2+(VLOOKUP(AG$1,DATA!$A$3:$F$301,3,FALSE)-VLOOKUP($A13,DATA!$A$3:$F$301,3,FALSE))^2),"")</f>
        <v>8.2462112512353212</v>
      </c>
      <c r="AH13" s="14">
        <f>_xlfn.IFNA(SQRT((VLOOKUP(AH$1,DATA!$A$3:$F$301,2,FALSE)-VLOOKUP($A13,DATA!$A$3:$F$301,2,FALSE))^2+(VLOOKUP(AH$1,DATA!$A$3:$F$301,3,FALSE)-VLOOKUP($A13,DATA!$A$3:$F$301,3,FALSE))^2),"")</f>
        <v>11.401754250991379</v>
      </c>
      <c r="AI13" s="14">
        <f>_xlfn.IFNA(SQRT((VLOOKUP(AI$1,DATA!$A$3:$F$301,2,FALSE)-VLOOKUP($A13,DATA!$A$3:$F$301,2,FALSE))^2+(VLOOKUP(AI$1,DATA!$A$3:$F$301,3,FALSE)-VLOOKUP($A13,DATA!$A$3:$F$301,3,FALSE))^2),"")</f>
        <v>29.529646120466801</v>
      </c>
      <c r="AJ13" s="14">
        <f>_xlfn.IFNA(SQRT((VLOOKUP(AJ$1,DATA!$A$3:$F$301,2,FALSE)-VLOOKUP($A13,DATA!$A$3:$F$301,2,FALSE))^2+(VLOOKUP(AJ$1,DATA!$A$3:$F$301,3,FALSE)-VLOOKUP($A13,DATA!$A$3:$F$301,3,FALSE))^2),"")</f>
        <v>28.635642126552707</v>
      </c>
      <c r="AK13" s="14">
        <f>_xlfn.IFNA(SQRT((VLOOKUP(AK$1,DATA!$A$3:$F$301,2,FALSE)-VLOOKUP($A13,DATA!$A$3:$F$301,2,FALSE))^2+(VLOOKUP(AK$1,DATA!$A$3:$F$301,3,FALSE)-VLOOKUP($A13,DATA!$A$3:$F$301,3,FALSE))^2),"")</f>
        <v>5.8309518948453007</v>
      </c>
      <c r="AL13" s="14">
        <f>_xlfn.IFNA(SQRT((VLOOKUP(AL$1,DATA!$A$3:$F$301,2,FALSE)-VLOOKUP($A13,DATA!$A$3:$F$301,2,FALSE))^2+(VLOOKUP(AL$1,DATA!$A$3:$F$301,3,FALSE)-VLOOKUP($A13,DATA!$A$3:$F$301,3,FALSE))^2),"")</f>
        <v>28.284271247461902</v>
      </c>
      <c r="AM13" s="14">
        <f>_xlfn.IFNA(SQRT((VLOOKUP(AM$1,DATA!$A$3:$F$301,2,FALSE)-VLOOKUP($A13,DATA!$A$3:$F$301,2,FALSE))^2+(VLOOKUP(AM$1,DATA!$A$3:$F$301,3,FALSE)-VLOOKUP($A13,DATA!$A$3:$F$301,3,FALSE))^2),"")</f>
        <v>14.317821063276353</v>
      </c>
      <c r="AN13" s="14">
        <f>_xlfn.IFNA(SQRT((VLOOKUP(AN$1,DATA!$A$3:$F$301,2,FALSE)-VLOOKUP($A13,DATA!$A$3:$F$301,2,FALSE))^2+(VLOOKUP(AN$1,DATA!$A$3:$F$301,3,FALSE)-VLOOKUP($A13,DATA!$A$3:$F$301,3,FALSE))^2),"")</f>
        <v>37.013511046643494</v>
      </c>
      <c r="AO13" s="14">
        <f>_xlfn.IFNA(SQRT((VLOOKUP(AO$1,DATA!$A$3:$F$301,2,FALSE)-VLOOKUP($A13,DATA!$A$3:$F$301,2,FALSE))^2+(VLOOKUP(AO$1,DATA!$A$3:$F$301,3,FALSE)-VLOOKUP($A13,DATA!$A$3:$F$301,3,FALSE))^2),"")</f>
        <v>5.3851648071345037</v>
      </c>
      <c r="AP13" s="14" t="str">
        <f>_xlfn.IFNA(SQRT((VLOOKUP(AP$1,DATA!$A$3:$F$301,2,FALSE)-VLOOKUP($A13,DATA!$A$3:$F$301,2,FALSE))^2+(VLOOKUP(AP$1,DATA!$A$3:$F$301,3,FALSE)-VLOOKUP($A13,DATA!$A$3:$F$301,3,FALSE))^2),"")</f>
        <v/>
      </c>
      <c r="AQ13" s="14" t="str">
        <f>_xlfn.IFNA(SQRT((VLOOKUP(AQ$1,DATA!$A$3:$F$301,2,FALSE)-VLOOKUP($A13,DATA!$A$3:$F$301,2,FALSE))^2+(VLOOKUP(AQ$1,DATA!$A$3:$F$301,3,FALSE)-VLOOKUP($A13,DATA!$A$3:$F$301,3,FALSE))^2),"")</f>
        <v/>
      </c>
      <c r="AR13" s="14" t="str">
        <f>_xlfn.IFNA(SQRT((VLOOKUP(AR$1,DATA!$A$3:$F$301,2,FALSE)-VLOOKUP($A13,DATA!$A$3:$F$301,2,FALSE))^2+(VLOOKUP(AR$1,DATA!$A$3:$F$301,3,FALSE)-VLOOKUP($A13,DATA!$A$3:$F$301,3,FALSE))^2),"")</f>
        <v/>
      </c>
      <c r="AS13" s="14" t="str">
        <f>_xlfn.IFNA(SQRT((VLOOKUP(AS$1,DATA!$A$3:$F$301,2,FALSE)-VLOOKUP($A13,DATA!$A$3:$F$301,2,FALSE))^2+(VLOOKUP(AS$1,DATA!$A$3:$F$301,3,FALSE)-VLOOKUP($A13,DATA!$A$3:$F$301,3,FALSE))^2),"")</f>
        <v/>
      </c>
      <c r="AT13" s="14" t="str">
        <f>_xlfn.IFNA(SQRT((VLOOKUP(AT$1,DATA!$A$3:$F$301,2,FALSE)-VLOOKUP($A13,DATA!$A$3:$F$301,2,FALSE))^2+(VLOOKUP(AT$1,DATA!$A$3:$F$301,3,FALSE)-VLOOKUP($A13,DATA!$A$3:$F$301,3,FALSE))^2),"")</f>
        <v/>
      </c>
      <c r="AU13" s="14" t="str">
        <f>_xlfn.IFNA(SQRT((VLOOKUP(AU$1,DATA!$A$3:$F$301,2,FALSE)-VLOOKUP($A13,DATA!$A$3:$F$301,2,FALSE))^2+(VLOOKUP(AU$1,DATA!$A$3:$F$301,3,FALSE)-VLOOKUP($A13,DATA!$A$3:$F$301,3,FALSE))^2),"")</f>
        <v/>
      </c>
      <c r="AV13" s="14" t="str">
        <f>_xlfn.IFNA(SQRT((VLOOKUP(AV$1,DATA!$A$3:$F$301,2,FALSE)-VLOOKUP($A13,DATA!$A$3:$F$301,2,FALSE))^2+(VLOOKUP(AV$1,DATA!$A$3:$F$301,3,FALSE)-VLOOKUP($A13,DATA!$A$3:$F$301,3,FALSE))^2),"")</f>
        <v/>
      </c>
      <c r="AW13" s="14" t="str">
        <f>_xlfn.IFNA(SQRT((VLOOKUP(AW$1,DATA!$A$3:$F$301,2,FALSE)-VLOOKUP($A13,DATA!$A$3:$F$301,2,FALSE))^2+(VLOOKUP(AW$1,DATA!$A$3:$F$301,3,FALSE)-VLOOKUP($A13,DATA!$A$3:$F$301,3,FALSE))^2),"")</f>
        <v/>
      </c>
      <c r="AX13" s="14" t="str">
        <f>_xlfn.IFNA(SQRT((VLOOKUP(AX$1,DATA!$A$3:$F$301,2,FALSE)-VLOOKUP($A13,DATA!$A$3:$F$301,2,FALSE))^2+(VLOOKUP(AX$1,DATA!$A$3:$F$301,3,FALSE)-VLOOKUP($A13,DATA!$A$3:$F$301,3,FALSE))^2),"")</f>
        <v/>
      </c>
      <c r="AY13" s="14" t="str">
        <f>_xlfn.IFNA(SQRT((VLOOKUP(AY$1,DATA!$A$3:$F$301,2,FALSE)-VLOOKUP($A13,DATA!$A$3:$F$301,2,FALSE))^2+(VLOOKUP(AY$1,DATA!$A$3:$F$301,3,FALSE)-VLOOKUP($A13,DATA!$A$3:$F$301,3,FALSE))^2),"")</f>
        <v/>
      </c>
      <c r="AZ13" s="14" t="str">
        <f>_xlfn.IFNA(SQRT((VLOOKUP(AZ$1,DATA!$A$3:$F$301,2,FALSE)-VLOOKUP($A13,DATA!$A$3:$F$301,2,FALSE))^2+(VLOOKUP(AZ$1,DATA!$A$3:$F$301,3,FALSE)-VLOOKUP($A13,DATA!$A$3:$F$301,3,FALSE))^2),"")</f>
        <v/>
      </c>
      <c r="BA13" s="14" t="str">
        <f>_xlfn.IFNA(SQRT((VLOOKUP(BA$1,DATA!$A$3:$F$301,2,FALSE)-VLOOKUP($A13,DATA!$A$3:$F$301,2,FALSE))^2+(VLOOKUP(BA$1,DATA!$A$3:$F$301,3,FALSE)-VLOOKUP($A13,DATA!$A$3:$F$301,3,FALSE))^2),"")</f>
        <v/>
      </c>
      <c r="BB13" s="14" t="str">
        <f>_xlfn.IFNA(SQRT((VLOOKUP(BB$1,DATA!$A$3:$F$301,2,FALSE)-VLOOKUP($A13,DATA!$A$3:$F$301,2,FALSE))^2+(VLOOKUP(BB$1,DATA!$A$3:$F$301,3,FALSE)-VLOOKUP($A13,DATA!$A$3:$F$301,3,FALSE))^2),"")</f>
        <v/>
      </c>
      <c r="BC13" s="14" t="str">
        <f>_xlfn.IFNA(SQRT((VLOOKUP(BC$1,DATA!$A$3:$F$301,2,FALSE)-VLOOKUP($A13,DATA!$A$3:$F$301,2,FALSE))^2+(VLOOKUP(BC$1,DATA!$A$3:$F$301,3,FALSE)-VLOOKUP($A13,DATA!$A$3:$F$301,3,FALSE))^2),"")</f>
        <v/>
      </c>
      <c r="BD13" s="14" t="str">
        <f>_xlfn.IFNA(SQRT((VLOOKUP(BD$1,DATA!$A$3:$F$301,2,FALSE)-VLOOKUP($A13,DATA!$A$3:$F$301,2,FALSE))^2+(VLOOKUP(BD$1,DATA!$A$3:$F$301,3,FALSE)-VLOOKUP($A13,DATA!$A$3:$F$301,3,FALSE))^2),"")</f>
        <v/>
      </c>
      <c r="BE13" s="14" t="str">
        <f>_xlfn.IFNA(SQRT((VLOOKUP(BE$1,DATA!$A$3:$F$301,2,FALSE)-VLOOKUP($A13,DATA!$A$3:$F$301,2,FALSE))^2+(VLOOKUP(BE$1,DATA!$A$3:$F$301,3,FALSE)-VLOOKUP($A13,DATA!$A$3:$F$301,3,FALSE))^2),"")</f>
        <v/>
      </c>
      <c r="BF13" s="14" t="str">
        <f>_xlfn.IFNA(SQRT((VLOOKUP(BF$1,DATA!$A$3:$F$301,2,FALSE)-VLOOKUP($A13,DATA!$A$3:$F$301,2,FALSE))^2+(VLOOKUP(BF$1,DATA!$A$3:$F$301,3,FALSE)-VLOOKUP($A13,DATA!$A$3:$F$301,3,FALSE))^2),"")</f>
        <v/>
      </c>
      <c r="BG13" s="14" t="str">
        <f>_xlfn.IFNA(SQRT((VLOOKUP(BG$1,DATA!$A$3:$F$301,2,FALSE)-VLOOKUP($A13,DATA!$A$3:$F$301,2,FALSE))^2+(VLOOKUP(BG$1,DATA!$A$3:$F$301,3,FALSE)-VLOOKUP($A13,DATA!$A$3:$F$301,3,FALSE))^2),"")</f>
        <v/>
      </c>
      <c r="BH13" s="14" t="str">
        <f>_xlfn.IFNA(SQRT((VLOOKUP(BH$1,DATA!$A$3:$F$301,2,FALSE)-VLOOKUP($A13,DATA!$A$3:$F$301,2,FALSE))^2+(VLOOKUP(BH$1,DATA!$A$3:$F$301,3,FALSE)-VLOOKUP($A13,DATA!$A$3:$F$301,3,FALSE))^2),"")</f>
        <v/>
      </c>
      <c r="BI13" s="14" t="str">
        <f>_xlfn.IFNA(SQRT((VLOOKUP(BI$1,DATA!$A$3:$F$301,2,FALSE)-VLOOKUP($A13,DATA!$A$3:$F$301,2,FALSE))^2+(VLOOKUP(BI$1,DATA!$A$3:$F$301,3,FALSE)-VLOOKUP($A13,DATA!$A$3:$F$301,3,FALSE))^2),"")</f>
        <v/>
      </c>
      <c r="BJ13" s="14" t="str">
        <f>_xlfn.IFNA(SQRT((VLOOKUP(BJ$1,DATA!$A$3:$F$301,2,FALSE)-VLOOKUP($A13,DATA!$A$3:$F$301,2,FALSE))^2+(VLOOKUP(BJ$1,DATA!$A$3:$F$301,3,FALSE)-VLOOKUP($A13,DATA!$A$3:$F$301,3,FALSE))^2),"")</f>
        <v/>
      </c>
      <c r="BK13" s="14" t="str">
        <f>_xlfn.IFNA(SQRT((VLOOKUP(BK$1,DATA!$A$3:$F$301,2,FALSE)-VLOOKUP($A13,DATA!$A$3:$F$301,2,FALSE))^2+(VLOOKUP(BK$1,DATA!$A$3:$F$301,3,FALSE)-VLOOKUP($A13,DATA!$A$3:$F$301,3,FALSE))^2),"")</f>
        <v/>
      </c>
      <c r="BL13" s="14" t="str">
        <f>_xlfn.IFNA(SQRT((VLOOKUP(BL$1,DATA!$A$3:$F$301,2,FALSE)-VLOOKUP($A13,DATA!$A$3:$F$301,2,FALSE))^2+(VLOOKUP(BL$1,DATA!$A$3:$F$301,3,FALSE)-VLOOKUP($A13,DATA!$A$3:$F$301,3,FALSE))^2),"")</f>
        <v/>
      </c>
      <c r="BM13" s="14" t="str">
        <f>_xlfn.IFNA(SQRT((VLOOKUP(BM$1,DATA!$A$3:$F$301,2,FALSE)-VLOOKUP($A13,DATA!$A$3:$F$301,2,FALSE))^2+(VLOOKUP(BM$1,DATA!$A$3:$F$301,3,FALSE)-VLOOKUP($A13,DATA!$A$3:$F$301,3,FALSE))^2),"")</f>
        <v/>
      </c>
      <c r="BN13" s="14" t="str">
        <f>_xlfn.IFNA(SQRT((VLOOKUP(BN$1,DATA!$A$3:$F$301,2,FALSE)-VLOOKUP($A13,DATA!$A$3:$F$301,2,FALSE))^2+(VLOOKUP(BN$1,DATA!$A$3:$F$301,3,FALSE)-VLOOKUP($A13,DATA!$A$3:$F$301,3,FALSE))^2),"")</f>
        <v/>
      </c>
      <c r="BO13" s="14" t="str">
        <f>_xlfn.IFNA(SQRT((VLOOKUP(BO$1,DATA!$A$3:$F$301,2,FALSE)-VLOOKUP($A13,DATA!$A$3:$F$301,2,FALSE))^2+(VLOOKUP(BO$1,DATA!$A$3:$F$301,3,FALSE)-VLOOKUP($A13,DATA!$A$3:$F$301,3,FALSE))^2),"")</f>
        <v/>
      </c>
      <c r="BP13" s="14" t="str">
        <f>_xlfn.IFNA(SQRT((VLOOKUP(BP$1,DATA!$A$3:$F$301,2,FALSE)-VLOOKUP($A13,DATA!$A$3:$F$301,2,FALSE))^2+(VLOOKUP(BP$1,DATA!$A$3:$F$301,3,FALSE)-VLOOKUP($A13,DATA!$A$3:$F$301,3,FALSE))^2),"")</f>
        <v/>
      </c>
      <c r="BQ13" s="14" t="str">
        <f>_xlfn.IFNA(SQRT((VLOOKUP(BQ$1,DATA!$A$3:$F$301,2,FALSE)-VLOOKUP($A13,DATA!$A$3:$F$301,2,FALSE))^2+(VLOOKUP(BQ$1,DATA!$A$3:$F$301,3,FALSE)-VLOOKUP($A13,DATA!$A$3:$F$301,3,FALSE))^2),"")</f>
        <v/>
      </c>
      <c r="BR13" s="14" t="str">
        <f>_xlfn.IFNA(SQRT((VLOOKUP(BR$1,DATA!$A$3:$F$301,2,FALSE)-VLOOKUP($A13,DATA!$A$3:$F$301,2,FALSE))^2+(VLOOKUP(BR$1,DATA!$A$3:$F$301,3,FALSE)-VLOOKUP($A13,DATA!$A$3:$F$301,3,FALSE))^2),"")</f>
        <v/>
      </c>
      <c r="BS13" s="14" t="str">
        <f>_xlfn.IFNA(SQRT((VLOOKUP(BS$1,DATA!$A$3:$F$301,2,FALSE)-VLOOKUP($A13,DATA!$A$3:$F$301,2,FALSE))^2+(VLOOKUP(BS$1,DATA!$A$3:$F$301,3,FALSE)-VLOOKUP($A13,DATA!$A$3:$F$301,3,FALSE))^2),"")</f>
        <v/>
      </c>
      <c r="BT13" s="14" t="str">
        <f>_xlfn.IFNA(SQRT((VLOOKUP(BT$1,DATA!$A$3:$F$301,2,FALSE)-VLOOKUP($A13,DATA!$A$3:$F$301,2,FALSE))^2+(VLOOKUP(BT$1,DATA!$A$3:$F$301,3,FALSE)-VLOOKUP($A13,DATA!$A$3:$F$301,3,FALSE))^2),"")</f>
        <v/>
      </c>
      <c r="BU13" s="14" t="str">
        <f>_xlfn.IFNA(SQRT((VLOOKUP(BU$1,DATA!$A$3:$F$301,2,FALSE)-VLOOKUP($A13,DATA!$A$3:$F$301,2,FALSE))^2+(VLOOKUP(BU$1,DATA!$A$3:$F$301,3,FALSE)-VLOOKUP($A13,DATA!$A$3:$F$301,3,FALSE))^2),"")</f>
        <v/>
      </c>
      <c r="BV13" s="14" t="str">
        <f>_xlfn.IFNA(SQRT((VLOOKUP(BV$1,DATA!$A$3:$F$301,2,FALSE)-VLOOKUP($A13,DATA!$A$3:$F$301,2,FALSE))^2+(VLOOKUP(BV$1,DATA!$A$3:$F$301,3,FALSE)-VLOOKUP($A13,DATA!$A$3:$F$301,3,FALSE))^2),"")</f>
        <v/>
      </c>
      <c r="BW13" s="14" t="str">
        <f>_xlfn.IFNA(SQRT((VLOOKUP(BW$1,DATA!$A$3:$F$301,2,FALSE)-VLOOKUP($A13,DATA!$A$3:$F$301,2,FALSE))^2+(VLOOKUP(BW$1,DATA!$A$3:$F$301,3,FALSE)-VLOOKUP($A13,DATA!$A$3:$F$301,3,FALSE))^2),"")</f>
        <v/>
      </c>
      <c r="BX13" s="14" t="str">
        <f>_xlfn.IFNA(SQRT((VLOOKUP(BX$1,DATA!$A$3:$F$301,2,FALSE)-VLOOKUP($A13,DATA!$A$3:$F$301,2,FALSE))^2+(VLOOKUP(BX$1,DATA!$A$3:$F$301,3,FALSE)-VLOOKUP($A13,DATA!$A$3:$F$301,3,FALSE))^2),"")</f>
        <v/>
      </c>
      <c r="BY13" s="14" t="str">
        <f>_xlfn.IFNA(SQRT((VLOOKUP(BY$1,DATA!$A$3:$F$301,2,FALSE)-VLOOKUP($A13,DATA!$A$3:$F$301,2,FALSE))^2+(VLOOKUP(BY$1,DATA!$A$3:$F$301,3,FALSE)-VLOOKUP($A13,DATA!$A$3:$F$301,3,FALSE))^2),"")</f>
        <v/>
      </c>
      <c r="BZ13" s="14" t="str">
        <f>_xlfn.IFNA(SQRT((VLOOKUP(BZ$1,DATA!$A$3:$F$301,2,FALSE)-VLOOKUP($A13,DATA!$A$3:$F$301,2,FALSE))^2+(VLOOKUP(BZ$1,DATA!$A$3:$F$301,3,FALSE)-VLOOKUP($A13,DATA!$A$3:$F$301,3,FALSE))^2),"")</f>
        <v/>
      </c>
      <c r="CA13" s="14" t="str">
        <f>_xlfn.IFNA(SQRT((VLOOKUP(CA$1,DATA!$A$3:$F$301,2,FALSE)-VLOOKUP($A13,DATA!$A$3:$F$301,2,FALSE))^2+(VLOOKUP(CA$1,DATA!$A$3:$F$301,3,FALSE)-VLOOKUP($A13,DATA!$A$3:$F$301,3,FALSE))^2),"")</f>
        <v/>
      </c>
      <c r="CB13" s="14" t="str">
        <f>_xlfn.IFNA(SQRT((VLOOKUP(CB$1,DATA!$A$3:$F$301,2,FALSE)-VLOOKUP($A13,DATA!$A$3:$F$301,2,FALSE))^2+(VLOOKUP(CB$1,DATA!$A$3:$F$301,3,FALSE)-VLOOKUP($A13,DATA!$A$3:$F$301,3,FALSE))^2),"")</f>
        <v/>
      </c>
      <c r="CC13" s="14" t="str">
        <f>_xlfn.IFNA(SQRT((VLOOKUP(CC$1,DATA!$A$3:$F$301,2,FALSE)-VLOOKUP($A13,DATA!$A$3:$F$301,2,FALSE))^2+(VLOOKUP(CC$1,DATA!$A$3:$F$301,3,FALSE)-VLOOKUP($A13,DATA!$A$3:$F$301,3,FALSE))^2),"")</f>
        <v/>
      </c>
      <c r="CD13" s="14" t="str">
        <f>_xlfn.IFNA(SQRT((VLOOKUP(CD$1,DATA!$A$3:$F$301,2,FALSE)-VLOOKUP($A13,DATA!$A$3:$F$301,2,FALSE))^2+(VLOOKUP(CD$1,DATA!$A$3:$F$301,3,FALSE)-VLOOKUP($A13,DATA!$A$3:$F$301,3,FALSE))^2),"")</f>
        <v/>
      </c>
      <c r="CE13" s="14" t="str">
        <f>_xlfn.IFNA(SQRT((VLOOKUP(CE$1,DATA!$A$3:$F$301,2,FALSE)-VLOOKUP($A13,DATA!$A$3:$F$301,2,FALSE))^2+(VLOOKUP(CE$1,DATA!$A$3:$F$301,3,FALSE)-VLOOKUP($A13,DATA!$A$3:$F$301,3,FALSE))^2),"")</f>
        <v/>
      </c>
      <c r="CF13" s="14" t="str">
        <f>_xlfn.IFNA(SQRT((VLOOKUP(CF$1,DATA!$A$3:$F$301,2,FALSE)-VLOOKUP($A13,DATA!$A$3:$F$301,2,FALSE))^2+(VLOOKUP(CF$1,DATA!$A$3:$F$301,3,FALSE)-VLOOKUP($A13,DATA!$A$3:$F$301,3,FALSE))^2),"")</f>
        <v/>
      </c>
      <c r="CG13" s="14" t="str">
        <f>_xlfn.IFNA(SQRT((VLOOKUP(CG$1,DATA!$A$3:$F$301,2,FALSE)-VLOOKUP($A13,DATA!$A$3:$F$301,2,FALSE))^2+(VLOOKUP(CG$1,DATA!$A$3:$F$301,3,FALSE)-VLOOKUP($A13,DATA!$A$3:$F$301,3,FALSE))^2),"")</f>
        <v/>
      </c>
      <c r="CH13" s="14" t="str">
        <f>_xlfn.IFNA(SQRT((VLOOKUP(CH$1,DATA!$A$3:$F$301,2,FALSE)-VLOOKUP($A13,DATA!$A$3:$F$301,2,FALSE))^2+(VLOOKUP(CH$1,DATA!$A$3:$F$301,3,FALSE)-VLOOKUP($A13,DATA!$A$3:$F$301,3,FALSE))^2),"")</f>
        <v/>
      </c>
      <c r="CI13" s="14" t="str">
        <f>_xlfn.IFNA(SQRT((VLOOKUP(CI$1,DATA!$A$3:$F$301,2,FALSE)-VLOOKUP($A13,DATA!$A$3:$F$301,2,FALSE))^2+(VLOOKUP(CI$1,DATA!$A$3:$F$301,3,FALSE)-VLOOKUP($A13,DATA!$A$3:$F$301,3,FALSE))^2),"")</f>
        <v/>
      </c>
      <c r="CJ13" s="14" t="str">
        <f>_xlfn.IFNA(SQRT((VLOOKUP(CJ$1,DATA!$A$3:$F$301,2,FALSE)-VLOOKUP($A13,DATA!$A$3:$F$301,2,FALSE))^2+(VLOOKUP(CJ$1,DATA!$A$3:$F$301,3,FALSE)-VLOOKUP($A13,DATA!$A$3:$F$301,3,FALSE))^2),"")</f>
        <v/>
      </c>
      <c r="CK13" s="14" t="str">
        <f>_xlfn.IFNA(SQRT((VLOOKUP(CK$1,DATA!$A$3:$F$301,2,FALSE)-VLOOKUP($A13,DATA!$A$3:$F$301,2,FALSE))^2+(VLOOKUP(CK$1,DATA!$A$3:$F$301,3,FALSE)-VLOOKUP($A13,DATA!$A$3:$F$301,3,FALSE))^2),"")</f>
        <v/>
      </c>
      <c r="CL13" s="14" t="str">
        <f>_xlfn.IFNA(SQRT((VLOOKUP(CL$1,DATA!$A$3:$F$301,2,FALSE)-VLOOKUP($A13,DATA!$A$3:$F$301,2,FALSE))^2+(VLOOKUP(CL$1,DATA!$A$3:$F$301,3,FALSE)-VLOOKUP($A13,DATA!$A$3:$F$301,3,FALSE))^2),"")</f>
        <v/>
      </c>
      <c r="CM13" s="14" t="str">
        <f>_xlfn.IFNA(SQRT((VLOOKUP(CM$1,DATA!$A$3:$F$301,2,FALSE)-VLOOKUP($A13,DATA!$A$3:$F$301,2,FALSE))^2+(VLOOKUP(CM$1,DATA!$A$3:$F$301,3,FALSE)-VLOOKUP($A13,DATA!$A$3:$F$301,3,FALSE))^2),"")</f>
        <v/>
      </c>
      <c r="CN13" s="14" t="str">
        <f>_xlfn.IFNA(SQRT((VLOOKUP(CN$1,DATA!$A$3:$F$301,2,FALSE)-VLOOKUP($A13,DATA!$A$3:$F$301,2,FALSE))^2+(VLOOKUP(CN$1,DATA!$A$3:$F$301,3,FALSE)-VLOOKUP($A13,DATA!$A$3:$F$301,3,FALSE))^2),"")</f>
        <v/>
      </c>
      <c r="CO13" s="14" t="str">
        <f>_xlfn.IFNA(SQRT((VLOOKUP(CO$1,DATA!$A$3:$F$301,2,FALSE)-VLOOKUP($A13,DATA!$A$3:$F$301,2,FALSE))^2+(VLOOKUP(CO$1,DATA!$A$3:$F$301,3,FALSE)-VLOOKUP($A13,DATA!$A$3:$F$301,3,FALSE))^2),"")</f>
        <v/>
      </c>
      <c r="CP13" s="14" t="str">
        <f>_xlfn.IFNA(SQRT((VLOOKUP(CP$1,DATA!$A$3:$F$301,2,FALSE)-VLOOKUP($A13,DATA!$A$3:$F$301,2,FALSE))^2+(VLOOKUP(CP$1,DATA!$A$3:$F$301,3,FALSE)-VLOOKUP($A13,DATA!$A$3:$F$301,3,FALSE))^2),"")</f>
        <v/>
      </c>
      <c r="CQ13" s="14" t="str">
        <f>_xlfn.IFNA(SQRT((VLOOKUP(CQ$1,DATA!$A$3:$F$301,2,FALSE)-VLOOKUP($A13,DATA!$A$3:$F$301,2,FALSE))^2+(VLOOKUP(CQ$1,DATA!$A$3:$F$301,3,FALSE)-VLOOKUP($A13,DATA!$A$3:$F$301,3,FALSE))^2),"")</f>
        <v/>
      </c>
      <c r="CR13" s="14" t="str">
        <f>_xlfn.IFNA(SQRT((VLOOKUP(CR$1,DATA!$A$3:$F$301,2,FALSE)-VLOOKUP($A13,DATA!$A$3:$F$301,2,FALSE))^2+(VLOOKUP(CR$1,DATA!$A$3:$F$301,3,FALSE)-VLOOKUP($A13,DATA!$A$3:$F$301,3,FALSE))^2),"")</f>
        <v/>
      </c>
      <c r="CS13" s="14" t="str">
        <f>_xlfn.IFNA(SQRT((VLOOKUP(CS$1,DATA!$A$3:$F$301,2,FALSE)-VLOOKUP($A13,DATA!$A$3:$F$301,2,FALSE))^2+(VLOOKUP(CS$1,DATA!$A$3:$F$301,3,FALSE)-VLOOKUP($A13,DATA!$A$3:$F$301,3,FALSE))^2),"")</f>
        <v/>
      </c>
      <c r="CT13" s="14" t="str">
        <f>_xlfn.IFNA(SQRT((VLOOKUP(CT$1,DATA!$A$3:$F$301,2,FALSE)-VLOOKUP($A13,DATA!$A$3:$F$301,2,FALSE))^2+(VLOOKUP(CT$1,DATA!$A$3:$F$301,3,FALSE)-VLOOKUP($A13,DATA!$A$3:$F$301,3,FALSE))^2),"")</f>
        <v/>
      </c>
      <c r="CU13" s="14" t="str">
        <f>_xlfn.IFNA(SQRT((VLOOKUP(CU$1,DATA!$A$3:$F$301,2,FALSE)-VLOOKUP($A13,DATA!$A$3:$F$301,2,FALSE))^2+(VLOOKUP(CU$1,DATA!$A$3:$F$301,3,FALSE)-VLOOKUP($A13,DATA!$A$3:$F$301,3,FALSE))^2),"")</f>
        <v/>
      </c>
      <c r="CV13" s="14" t="str">
        <f>_xlfn.IFNA(SQRT((VLOOKUP(CV$1,DATA!$A$3:$F$301,2,FALSE)-VLOOKUP($A13,DATA!$A$3:$F$301,2,FALSE))^2+(VLOOKUP(CV$1,DATA!$A$3:$F$301,3,FALSE)-VLOOKUP($A13,DATA!$A$3:$F$301,3,FALSE))^2),"")</f>
        <v/>
      </c>
      <c r="CW13" s="14" t="str">
        <f>_xlfn.IFNA(SQRT((VLOOKUP(CW$1,DATA!$A$3:$F$301,2,FALSE)-VLOOKUP($A13,DATA!$A$3:$F$301,2,FALSE))^2+(VLOOKUP(CW$1,DATA!$A$3:$F$301,3,FALSE)-VLOOKUP($A13,DATA!$A$3:$F$301,3,FALSE))^2),"")</f>
        <v/>
      </c>
      <c r="CX13" s="14" t="str">
        <f>_xlfn.IFNA(SQRT((VLOOKUP(CX$1,DATA!$A$3:$F$301,2,FALSE)-VLOOKUP($A13,DATA!$A$3:$F$301,2,FALSE))^2+(VLOOKUP(CX$1,DATA!$A$3:$F$301,3,FALSE)-VLOOKUP($A13,DATA!$A$3:$F$301,3,FALSE))^2),"")</f>
        <v/>
      </c>
    </row>
    <row r="14" spans="1:102">
      <c r="A14" s="13">
        <v>13</v>
      </c>
      <c r="B14" s="14">
        <f>_xlfn.IFNA(SQRT((VLOOKUP(B$1,DATA!$A$3:$F$301,2,FALSE)-VLOOKUP($A14,DATA!$A$3:$F$301,2,FALSE))^2+(VLOOKUP(B$1,DATA!$A$3:$F$301,3,FALSE)-VLOOKUP($A14,DATA!$A$3:$F$301,3,FALSE))^2),"")</f>
        <v>6.0827625302982193</v>
      </c>
      <c r="C14" s="14">
        <f>_xlfn.IFNA(SQRT((VLOOKUP(C$1,DATA!$A$3:$F$301,2,FALSE)-VLOOKUP($A14,DATA!$A$3:$F$301,2,FALSE))^2+(VLOOKUP(C$1,DATA!$A$3:$F$301,3,FALSE)-VLOOKUP($A14,DATA!$A$3:$F$301,3,FALSE))^2),"")</f>
        <v>11</v>
      </c>
      <c r="D14" s="14">
        <f>_xlfn.IFNA(SQRT((VLOOKUP(D$1,DATA!$A$3:$F$301,2,FALSE)-VLOOKUP($A14,DATA!$A$3:$F$301,2,FALSE))^2+(VLOOKUP(D$1,DATA!$A$3:$F$301,3,FALSE)-VLOOKUP($A14,DATA!$A$3:$F$301,3,FALSE))^2),"")</f>
        <v>14.317821063276353</v>
      </c>
      <c r="E14" s="14">
        <f>_xlfn.IFNA(SQRT((VLOOKUP(E$1,DATA!$A$3:$F$301,2,FALSE)-VLOOKUP($A14,DATA!$A$3:$F$301,2,FALSE))^2+(VLOOKUP(E$1,DATA!$A$3:$F$301,3,FALSE)-VLOOKUP($A14,DATA!$A$3:$F$301,3,FALSE))^2),"")</f>
        <v>6.324555320336759</v>
      </c>
      <c r="F14" s="14">
        <f>_xlfn.IFNA(SQRT((VLOOKUP(F$1,DATA!$A$3:$F$301,2,FALSE)-VLOOKUP($A14,DATA!$A$3:$F$301,2,FALSE))^2+(VLOOKUP(F$1,DATA!$A$3:$F$301,3,FALSE)-VLOOKUP($A14,DATA!$A$3:$F$301,3,FALSE))^2),"")</f>
        <v>27.459060435491963</v>
      </c>
      <c r="G14" s="14">
        <f>_xlfn.IFNA(SQRT((VLOOKUP(G$1,DATA!$A$3:$F$301,2,FALSE)-VLOOKUP($A14,DATA!$A$3:$F$301,2,FALSE))^2+(VLOOKUP(G$1,DATA!$A$3:$F$301,3,FALSE)-VLOOKUP($A14,DATA!$A$3:$F$301,3,FALSE))^2),"")</f>
        <v>17</v>
      </c>
      <c r="H14" s="14">
        <f>_xlfn.IFNA(SQRT((VLOOKUP(H$1,DATA!$A$3:$F$301,2,FALSE)-VLOOKUP($A14,DATA!$A$3:$F$301,2,FALSE))^2+(VLOOKUP(H$1,DATA!$A$3:$F$301,3,FALSE)-VLOOKUP($A14,DATA!$A$3:$F$301,3,FALSE))^2),"")</f>
        <v>24.083189157584592</v>
      </c>
      <c r="I14" s="14">
        <f>_xlfn.IFNA(SQRT((VLOOKUP(I$1,DATA!$A$3:$F$301,2,FALSE)-VLOOKUP($A14,DATA!$A$3:$F$301,2,FALSE))^2+(VLOOKUP(I$1,DATA!$A$3:$F$301,3,FALSE)-VLOOKUP($A14,DATA!$A$3:$F$301,3,FALSE))^2),"")</f>
        <v>29</v>
      </c>
      <c r="J14" s="14">
        <f>_xlfn.IFNA(SQRT((VLOOKUP(J$1,DATA!$A$3:$F$301,2,FALSE)-VLOOKUP($A14,DATA!$A$3:$F$301,2,FALSE))^2+(VLOOKUP(J$1,DATA!$A$3:$F$301,3,FALSE)-VLOOKUP($A14,DATA!$A$3:$F$301,3,FALSE))^2),"")</f>
        <v>8.9442719099991592</v>
      </c>
      <c r="K14" s="14">
        <f>_xlfn.IFNA(SQRT((VLOOKUP(K$1,DATA!$A$3:$F$301,2,FALSE)-VLOOKUP($A14,DATA!$A$3:$F$301,2,FALSE))^2+(VLOOKUP(K$1,DATA!$A$3:$F$301,3,FALSE)-VLOOKUP($A14,DATA!$A$3:$F$301,3,FALSE))^2),"")</f>
        <v>17.691806012954132</v>
      </c>
      <c r="L14" s="14">
        <f>_xlfn.IFNA(SQRT((VLOOKUP(L$1,DATA!$A$3:$F$301,2,FALSE)-VLOOKUP($A14,DATA!$A$3:$F$301,2,FALSE))^2+(VLOOKUP(L$1,DATA!$A$3:$F$301,3,FALSE)-VLOOKUP($A14,DATA!$A$3:$F$301,3,FALSE))^2),"")</f>
        <v>25.238858928247925</v>
      </c>
      <c r="M14" s="14">
        <f>_xlfn.IFNA(SQRT((VLOOKUP(M$1,DATA!$A$3:$F$301,2,FALSE)-VLOOKUP($A14,DATA!$A$3:$F$301,2,FALSE))^2+(VLOOKUP(M$1,DATA!$A$3:$F$301,3,FALSE)-VLOOKUP($A14,DATA!$A$3:$F$301,3,FALSE))^2),"")</f>
        <v>11.704699910719626</v>
      </c>
      <c r="N14" s="14">
        <f>_xlfn.IFNA(SQRT((VLOOKUP(N$1,DATA!$A$3:$F$301,2,FALSE)-VLOOKUP($A14,DATA!$A$3:$F$301,2,FALSE))^2+(VLOOKUP(N$1,DATA!$A$3:$F$301,3,FALSE)-VLOOKUP($A14,DATA!$A$3:$F$301,3,FALSE))^2),"")</f>
        <v>0</v>
      </c>
      <c r="O14" s="14">
        <f>_xlfn.IFNA(SQRT((VLOOKUP(O$1,DATA!$A$3:$F$301,2,FALSE)-VLOOKUP($A14,DATA!$A$3:$F$301,2,FALSE))^2+(VLOOKUP(O$1,DATA!$A$3:$F$301,3,FALSE)-VLOOKUP($A14,DATA!$A$3:$F$301,3,FALSE))^2),"")</f>
        <v>34.481879299133332</v>
      </c>
      <c r="P14" s="14">
        <f>_xlfn.IFNA(SQRT((VLOOKUP(P$1,DATA!$A$3:$F$301,2,FALSE)-VLOOKUP($A14,DATA!$A$3:$F$301,2,FALSE))^2+(VLOOKUP(P$1,DATA!$A$3:$F$301,3,FALSE)-VLOOKUP($A14,DATA!$A$3:$F$301,3,FALSE))^2),"")</f>
        <v>37.643060449437421</v>
      </c>
      <c r="Q14" s="14">
        <f>_xlfn.IFNA(SQRT((VLOOKUP(Q$1,DATA!$A$3:$F$301,2,FALSE)-VLOOKUP($A14,DATA!$A$3:$F$301,2,FALSE))^2+(VLOOKUP(Q$1,DATA!$A$3:$F$301,3,FALSE)-VLOOKUP($A14,DATA!$A$3:$F$301,3,FALSE))^2),"")</f>
        <v>18.788294228055936</v>
      </c>
      <c r="R14" s="14">
        <f>_xlfn.IFNA(SQRT((VLOOKUP(R$1,DATA!$A$3:$F$301,2,FALSE)-VLOOKUP($A14,DATA!$A$3:$F$301,2,FALSE))^2+(VLOOKUP(R$1,DATA!$A$3:$F$301,3,FALSE)-VLOOKUP($A14,DATA!$A$3:$F$301,3,FALSE))^2),"")</f>
        <v>19.849433241279208</v>
      </c>
      <c r="S14" s="14">
        <f>_xlfn.IFNA(SQRT((VLOOKUP(S$1,DATA!$A$3:$F$301,2,FALSE)-VLOOKUP($A14,DATA!$A$3:$F$301,2,FALSE))^2+(VLOOKUP(S$1,DATA!$A$3:$F$301,3,FALSE)-VLOOKUP($A14,DATA!$A$3:$F$301,3,FALSE))^2),"")</f>
        <v>17.029386365926403</v>
      </c>
      <c r="T14" s="14">
        <f>_xlfn.IFNA(SQRT((VLOOKUP(T$1,DATA!$A$3:$F$301,2,FALSE)-VLOOKUP($A14,DATA!$A$3:$F$301,2,FALSE))^2+(VLOOKUP(T$1,DATA!$A$3:$F$301,3,FALSE)-VLOOKUP($A14,DATA!$A$3:$F$301,3,FALSE))^2),"")</f>
        <v>29.832867780352597</v>
      </c>
      <c r="U14" s="14">
        <f>_xlfn.IFNA(SQRT((VLOOKUP(U$1,DATA!$A$3:$F$301,2,FALSE)-VLOOKUP($A14,DATA!$A$3:$F$301,2,FALSE))^2+(VLOOKUP(U$1,DATA!$A$3:$F$301,3,FALSE)-VLOOKUP($A14,DATA!$A$3:$F$301,3,FALSE))^2),"")</f>
        <v>12.806248474865697</v>
      </c>
      <c r="V14" s="14">
        <f>_xlfn.IFNA(SQRT((VLOOKUP(V$1,DATA!$A$3:$F$301,2,FALSE)-VLOOKUP($A14,DATA!$A$3:$F$301,2,FALSE))^2+(VLOOKUP(V$1,DATA!$A$3:$F$301,3,FALSE)-VLOOKUP($A14,DATA!$A$3:$F$301,3,FALSE))^2),"")</f>
        <v>17</v>
      </c>
      <c r="W14" s="14">
        <f>_xlfn.IFNA(SQRT((VLOOKUP(W$1,DATA!$A$3:$F$301,2,FALSE)-VLOOKUP($A14,DATA!$A$3:$F$301,2,FALSE))^2+(VLOOKUP(W$1,DATA!$A$3:$F$301,3,FALSE)-VLOOKUP($A14,DATA!$A$3:$F$301,3,FALSE))^2),"")</f>
        <v>22.135943621178654</v>
      </c>
      <c r="X14" s="14">
        <f>_xlfn.IFNA(SQRT((VLOOKUP(X$1,DATA!$A$3:$F$301,2,FALSE)-VLOOKUP($A14,DATA!$A$3:$F$301,2,FALSE))^2+(VLOOKUP(X$1,DATA!$A$3:$F$301,3,FALSE)-VLOOKUP($A14,DATA!$A$3:$F$301,3,FALSE))^2),"")</f>
        <v>28.160255680657446</v>
      </c>
      <c r="Y14" s="14">
        <f>_xlfn.IFNA(SQRT((VLOOKUP(Y$1,DATA!$A$3:$F$301,2,FALSE)-VLOOKUP($A14,DATA!$A$3:$F$301,2,FALSE))^2+(VLOOKUP(Y$1,DATA!$A$3:$F$301,3,FALSE)-VLOOKUP($A14,DATA!$A$3:$F$301,3,FALSE))^2),"")</f>
        <v>27.586228448267445</v>
      </c>
      <c r="Z14" s="14">
        <f>_xlfn.IFNA(SQRT((VLOOKUP(Z$1,DATA!$A$3:$F$301,2,FALSE)-VLOOKUP($A14,DATA!$A$3:$F$301,2,FALSE))^2+(VLOOKUP(Z$1,DATA!$A$3:$F$301,3,FALSE)-VLOOKUP($A14,DATA!$A$3:$F$301,3,FALSE))^2),"")</f>
        <v>19.416487838947599</v>
      </c>
      <c r="AA14" s="14">
        <f>_xlfn.IFNA(SQRT((VLOOKUP(AA$1,DATA!$A$3:$F$301,2,FALSE)-VLOOKUP($A14,DATA!$A$3:$F$301,2,FALSE))^2+(VLOOKUP(AA$1,DATA!$A$3:$F$301,3,FALSE)-VLOOKUP($A14,DATA!$A$3:$F$301,3,FALSE))^2),"")</f>
        <v>21.587033144922902</v>
      </c>
      <c r="AB14" s="14">
        <f>_xlfn.IFNA(SQRT((VLOOKUP(AB$1,DATA!$A$3:$F$301,2,FALSE)-VLOOKUP($A14,DATA!$A$3:$F$301,2,FALSE))^2+(VLOOKUP(AB$1,DATA!$A$3:$F$301,3,FALSE)-VLOOKUP($A14,DATA!$A$3:$F$301,3,FALSE))^2),"")</f>
        <v>17</v>
      </c>
      <c r="AC14" s="14">
        <f>_xlfn.IFNA(SQRT((VLOOKUP(AC$1,DATA!$A$3:$F$301,2,FALSE)-VLOOKUP($A14,DATA!$A$3:$F$301,2,FALSE))^2+(VLOOKUP(AC$1,DATA!$A$3:$F$301,3,FALSE)-VLOOKUP($A14,DATA!$A$3:$F$301,3,FALSE))^2),"")</f>
        <v>21.840329667841555</v>
      </c>
      <c r="AD14" s="14">
        <f>_xlfn.IFNA(SQRT((VLOOKUP(AD$1,DATA!$A$3:$F$301,2,FALSE)-VLOOKUP($A14,DATA!$A$3:$F$301,2,FALSE))^2+(VLOOKUP(AD$1,DATA!$A$3:$F$301,3,FALSE)-VLOOKUP($A14,DATA!$A$3:$F$301,3,FALSE))^2),"")</f>
        <v>27.313000567495326</v>
      </c>
      <c r="AE14" s="14">
        <f>_xlfn.IFNA(SQRT((VLOOKUP(AE$1,DATA!$A$3:$F$301,2,FALSE)-VLOOKUP($A14,DATA!$A$3:$F$301,2,FALSE))^2+(VLOOKUP(AE$1,DATA!$A$3:$F$301,3,FALSE)-VLOOKUP($A14,DATA!$A$3:$F$301,3,FALSE))^2),"")</f>
        <v>29.732137494637012</v>
      </c>
      <c r="AF14" s="14">
        <f>_xlfn.IFNA(SQRT((VLOOKUP(AF$1,DATA!$A$3:$F$301,2,FALSE)-VLOOKUP($A14,DATA!$A$3:$F$301,2,FALSE))^2+(VLOOKUP(AF$1,DATA!$A$3:$F$301,3,FALSE)-VLOOKUP($A14,DATA!$A$3:$F$301,3,FALSE))^2),"")</f>
        <v>17.204650534085253</v>
      </c>
      <c r="AG14" s="14">
        <f>_xlfn.IFNA(SQRT((VLOOKUP(AG$1,DATA!$A$3:$F$301,2,FALSE)-VLOOKUP($A14,DATA!$A$3:$F$301,2,FALSE))^2+(VLOOKUP(AG$1,DATA!$A$3:$F$301,3,FALSE)-VLOOKUP($A14,DATA!$A$3:$F$301,3,FALSE))^2),"")</f>
        <v>19.924858845171276</v>
      </c>
      <c r="AH14" s="14">
        <f>_xlfn.IFNA(SQRT((VLOOKUP(AH$1,DATA!$A$3:$F$301,2,FALSE)-VLOOKUP($A14,DATA!$A$3:$F$301,2,FALSE))^2+(VLOOKUP(AH$1,DATA!$A$3:$F$301,3,FALSE)-VLOOKUP($A14,DATA!$A$3:$F$301,3,FALSE))^2),"")</f>
        <v>10.63014581273465</v>
      </c>
      <c r="AI14" s="14">
        <f>_xlfn.IFNA(SQRT((VLOOKUP(AI$1,DATA!$A$3:$F$301,2,FALSE)-VLOOKUP($A14,DATA!$A$3:$F$301,2,FALSE))^2+(VLOOKUP(AI$1,DATA!$A$3:$F$301,3,FALSE)-VLOOKUP($A14,DATA!$A$3:$F$301,3,FALSE))^2),"")</f>
        <v>18.027756377319946</v>
      </c>
      <c r="AJ14" s="14">
        <f>_xlfn.IFNA(SQRT((VLOOKUP(AJ$1,DATA!$A$3:$F$301,2,FALSE)-VLOOKUP($A14,DATA!$A$3:$F$301,2,FALSE))^2+(VLOOKUP(AJ$1,DATA!$A$3:$F$301,3,FALSE)-VLOOKUP($A14,DATA!$A$3:$F$301,3,FALSE))^2),"")</f>
        <v>24.515301344262525</v>
      </c>
      <c r="AK14" s="14">
        <f>_xlfn.IFNA(SQRT((VLOOKUP(AK$1,DATA!$A$3:$F$301,2,FALSE)-VLOOKUP($A14,DATA!$A$3:$F$301,2,FALSE))^2+(VLOOKUP(AK$1,DATA!$A$3:$F$301,3,FALSE)-VLOOKUP($A14,DATA!$A$3:$F$301,3,FALSE))^2),"")</f>
        <v>14.035668847618199</v>
      </c>
      <c r="AL14" s="14">
        <f>_xlfn.IFNA(SQRT((VLOOKUP(AL$1,DATA!$A$3:$F$301,2,FALSE)-VLOOKUP($A14,DATA!$A$3:$F$301,2,FALSE))^2+(VLOOKUP(AL$1,DATA!$A$3:$F$301,3,FALSE)-VLOOKUP($A14,DATA!$A$3:$F$301,3,FALSE))^2),"")</f>
        <v>34.885527085024819</v>
      </c>
      <c r="AM14" s="14">
        <f>_xlfn.IFNA(SQRT((VLOOKUP(AM$1,DATA!$A$3:$F$301,2,FALSE)-VLOOKUP($A14,DATA!$A$3:$F$301,2,FALSE))^2+(VLOOKUP(AM$1,DATA!$A$3:$F$301,3,FALSE)-VLOOKUP($A14,DATA!$A$3:$F$301,3,FALSE))^2),"")</f>
        <v>24.083189157584592</v>
      </c>
      <c r="AN14" s="14">
        <f>_xlfn.IFNA(SQRT((VLOOKUP(AN$1,DATA!$A$3:$F$301,2,FALSE)-VLOOKUP($A14,DATA!$A$3:$F$301,2,FALSE))^2+(VLOOKUP(AN$1,DATA!$A$3:$F$301,3,FALSE)-VLOOKUP($A14,DATA!$A$3:$F$301,3,FALSE))^2),"")</f>
        <v>27.730849247724095</v>
      </c>
      <c r="AO14" s="14">
        <f>_xlfn.IFNA(SQRT((VLOOKUP(AO$1,DATA!$A$3:$F$301,2,FALSE)-VLOOKUP($A14,DATA!$A$3:$F$301,2,FALSE))^2+(VLOOKUP(AO$1,DATA!$A$3:$F$301,3,FALSE)-VLOOKUP($A14,DATA!$A$3:$F$301,3,FALSE))^2),"")</f>
        <v>13.038404810405298</v>
      </c>
      <c r="AP14" s="14" t="str">
        <f>_xlfn.IFNA(SQRT((VLOOKUP(AP$1,DATA!$A$3:$F$301,2,FALSE)-VLOOKUP($A14,DATA!$A$3:$F$301,2,FALSE))^2+(VLOOKUP(AP$1,DATA!$A$3:$F$301,3,FALSE)-VLOOKUP($A14,DATA!$A$3:$F$301,3,FALSE))^2),"")</f>
        <v/>
      </c>
      <c r="AQ14" s="14" t="str">
        <f>_xlfn.IFNA(SQRT((VLOOKUP(AQ$1,DATA!$A$3:$F$301,2,FALSE)-VLOOKUP($A14,DATA!$A$3:$F$301,2,FALSE))^2+(VLOOKUP(AQ$1,DATA!$A$3:$F$301,3,FALSE)-VLOOKUP($A14,DATA!$A$3:$F$301,3,FALSE))^2),"")</f>
        <v/>
      </c>
      <c r="AR14" s="14" t="str">
        <f>_xlfn.IFNA(SQRT((VLOOKUP(AR$1,DATA!$A$3:$F$301,2,FALSE)-VLOOKUP($A14,DATA!$A$3:$F$301,2,FALSE))^2+(VLOOKUP(AR$1,DATA!$A$3:$F$301,3,FALSE)-VLOOKUP($A14,DATA!$A$3:$F$301,3,FALSE))^2),"")</f>
        <v/>
      </c>
      <c r="AS14" s="14" t="str">
        <f>_xlfn.IFNA(SQRT((VLOOKUP(AS$1,DATA!$A$3:$F$301,2,FALSE)-VLOOKUP($A14,DATA!$A$3:$F$301,2,FALSE))^2+(VLOOKUP(AS$1,DATA!$A$3:$F$301,3,FALSE)-VLOOKUP($A14,DATA!$A$3:$F$301,3,FALSE))^2),"")</f>
        <v/>
      </c>
      <c r="AT14" s="14" t="str">
        <f>_xlfn.IFNA(SQRT((VLOOKUP(AT$1,DATA!$A$3:$F$301,2,FALSE)-VLOOKUP($A14,DATA!$A$3:$F$301,2,FALSE))^2+(VLOOKUP(AT$1,DATA!$A$3:$F$301,3,FALSE)-VLOOKUP($A14,DATA!$A$3:$F$301,3,FALSE))^2),"")</f>
        <v/>
      </c>
      <c r="AU14" s="14" t="str">
        <f>_xlfn.IFNA(SQRT((VLOOKUP(AU$1,DATA!$A$3:$F$301,2,FALSE)-VLOOKUP($A14,DATA!$A$3:$F$301,2,FALSE))^2+(VLOOKUP(AU$1,DATA!$A$3:$F$301,3,FALSE)-VLOOKUP($A14,DATA!$A$3:$F$301,3,FALSE))^2),"")</f>
        <v/>
      </c>
      <c r="AV14" s="14" t="str">
        <f>_xlfn.IFNA(SQRT((VLOOKUP(AV$1,DATA!$A$3:$F$301,2,FALSE)-VLOOKUP($A14,DATA!$A$3:$F$301,2,FALSE))^2+(VLOOKUP(AV$1,DATA!$A$3:$F$301,3,FALSE)-VLOOKUP($A14,DATA!$A$3:$F$301,3,FALSE))^2),"")</f>
        <v/>
      </c>
      <c r="AW14" s="14" t="str">
        <f>_xlfn.IFNA(SQRT((VLOOKUP(AW$1,DATA!$A$3:$F$301,2,FALSE)-VLOOKUP($A14,DATA!$A$3:$F$301,2,FALSE))^2+(VLOOKUP(AW$1,DATA!$A$3:$F$301,3,FALSE)-VLOOKUP($A14,DATA!$A$3:$F$301,3,FALSE))^2),"")</f>
        <v/>
      </c>
      <c r="AX14" s="14" t="str">
        <f>_xlfn.IFNA(SQRT((VLOOKUP(AX$1,DATA!$A$3:$F$301,2,FALSE)-VLOOKUP($A14,DATA!$A$3:$F$301,2,FALSE))^2+(VLOOKUP(AX$1,DATA!$A$3:$F$301,3,FALSE)-VLOOKUP($A14,DATA!$A$3:$F$301,3,FALSE))^2),"")</f>
        <v/>
      </c>
      <c r="AY14" s="14" t="str">
        <f>_xlfn.IFNA(SQRT((VLOOKUP(AY$1,DATA!$A$3:$F$301,2,FALSE)-VLOOKUP($A14,DATA!$A$3:$F$301,2,FALSE))^2+(VLOOKUP(AY$1,DATA!$A$3:$F$301,3,FALSE)-VLOOKUP($A14,DATA!$A$3:$F$301,3,FALSE))^2),"")</f>
        <v/>
      </c>
      <c r="AZ14" s="14" t="str">
        <f>_xlfn.IFNA(SQRT((VLOOKUP(AZ$1,DATA!$A$3:$F$301,2,FALSE)-VLOOKUP($A14,DATA!$A$3:$F$301,2,FALSE))^2+(VLOOKUP(AZ$1,DATA!$A$3:$F$301,3,FALSE)-VLOOKUP($A14,DATA!$A$3:$F$301,3,FALSE))^2),"")</f>
        <v/>
      </c>
      <c r="BA14" s="14" t="str">
        <f>_xlfn.IFNA(SQRT((VLOOKUP(BA$1,DATA!$A$3:$F$301,2,FALSE)-VLOOKUP($A14,DATA!$A$3:$F$301,2,FALSE))^2+(VLOOKUP(BA$1,DATA!$A$3:$F$301,3,FALSE)-VLOOKUP($A14,DATA!$A$3:$F$301,3,FALSE))^2),"")</f>
        <v/>
      </c>
      <c r="BB14" s="14" t="str">
        <f>_xlfn.IFNA(SQRT((VLOOKUP(BB$1,DATA!$A$3:$F$301,2,FALSE)-VLOOKUP($A14,DATA!$A$3:$F$301,2,FALSE))^2+(VLOOKUP(BB$1,DATA!$A$3:$F$301,3,FALSE)-VLOOKUP($A14,DATA!$A$3:$F$301,3,FALSE))^2),"")</f>
        <v/>
      </c>
      <c r="BC14" s="14" t="str">
        <f>_xlfn.IFNA(SQRT((VLOOKUP(BC$1,DATA!$A$3:$F$301,2,FALSE)-VLOOKUP($A14,DATA!$A$3:$F$301,2,FALSE))^2+(VLOOKUP(BC$1,DATA!$A$3:$F$301,3,FALSE)-VLOOKUP($A14,DATA!$A$3:$F$301,3,FALSE))^2),"")</f>
        <v/>
      </c>
      <c r="BD14" s="14" t="str">
        <f>_xlfn.IFNA(SQRT((VLOOKUP(BD$1,DATA!$A$3:$F$301,2,FALSE)-VLOOKUP($A14,DATA!$A$3:$F$301,2,FALSE))^2+(VLOOKUP(BD$1,DATA!$A$3:$F$301,3,FALSE)-VLOOKUP($A14,DATA!$A$3:$F$301,3,FALSE))^2),"")</f>
        <v/>
      </c>
      <c r="BE14" s="14" t="str">
        <f>_xlfn.IFNA(SQRT((VLOOKUP(BE$1,DATA!$A$3:$F$301,2,FALSE)-VLOOKUP($A14,DATA!$A$3:$F$301,2,FALSE))^2+(VLOOKUP(BE$1,DATA!$A$3:$F$301,3,FALSE)-VLOOKUP($A14,DATA!$A$3:$F$301,3,FALSE))^2),"")</f>
        <v/>
      </c>
      <c r="BF14" s="14" t="str">
        <f>_xlfn.IFNA(SQRT((VLOOKUP(BF$1,DATA!$A$3:$F$301,2,FALSE)-VLOOKUP($A14,DATA!$A$3:$F$301,2,FALSE))^2+(VLOOKUP(BF$1,DATA!$A$3:$F$301,3,FALSE)-VLOOKUP($A14,DATA!$A$3:$F$301,3,FALSE))^2),"")</f>
        <v/>
      </c>
      <c r="BG14" s="14" t="str">
        <f>_xlfn.IFNA(SQRT((VLOOKUP(BG$1,DATA!$A$3:$F$301,2,FALSE)-VLOOKUP($A14,DATA!$A$3:$F$301,2,FALSE))^2+(VLOOKUP(BG$1,DATA!$A$3:$F$301,3,FALSE)-VLOOKUP($A14,DATA!$A$3:$F$301,3,FALSE))^2),"")</f>
        <v/>
      </c>
      <c r="BH14" s="14" t="str">
        <f>_xlfn.IFNA(SQRT((VLOOKUP(BH$1,DATA!$A$3:$F$301,2,FALSE)-VLOOKUP($A14,DATA!$A$3:$F$301,2,FALSE))^2+(VLOOKUP(BH$1,DATA!$A$3:$F$301,3,FALSE)-VLOOKUP($A14,DATA!$A$3:$F$301,3,FALSE))^2),"")</f>
        <v/>
      </c>
      <c r="BI14" s="14" t="str">
        <f>_xlfn.IFNA(SQRT((VLOOKUP(BI$1,DATA!$A$3:$F$301,2,FALSE)-VLOOKUP($A14,DATA!$A$3:$F$301,2,FALSE))^2+(VLOOKUP(BI$1,DATA!$A$3:$F$301,3,FALSE)-VLOOKUP($A14,DATA!$A$3:$F$301,3,FALSE))^2),"")</f>
        <v/>
      </c>
      <c r="BJ14" s="14" t="str">
        <f>_xlfn.IFNA(SQRT((VLOOKUP(BJ$1,DATA!$A$3:$F$301,2,FALSE)-VLOOKUP($A14,DATA!$A$3:$F$301,2,FALSE))^2+(VLOOKUP(BJ$1,DATA!$A$3:$F$301,3,FALSE)-VLOOKUP($A14,DATA!$A$3:$F$301,3,FALSE))^2),"")</f>
        <v/>
      </c>
      <c r="BK14" s="14" t="str">
        <f>_xlfn.IFNA(SQRT((VLOOKUP(BK$1,DATA!$A$3:$F$301,2,FALSE)-VLOOKUP($A14,DATA!$A$3:$F$301,2,FALSE))^2+(VLOOKUP(BK$1,DATA!$A$3:$F$301,3,FALSE)-VLOOKUP($A14,DATA!$A$3:$F$301,3,FALSE))^2),"")</f>
        <v/>
      </c>
      <c r="BL14" s="14" t="str">
        <f>_xlfn.IFNA(SQRT((VLOOKUP(BL$1,DATA!$A$3:$F$301,2,FALSE)-VLOOKUP($A14,DATA!$A$3:$F$301,2,FALSE))^2+(VLOOKUP(BL$1,DATA!$A$3:$F$301,3,FALSE)-VLOOKUP($A14,DATA!$A$3:$F$301,3,FALSE))^2),"")</f>
        <v/>
      </c>
      <c r="BM14" s="14" t="str">
        <f>_xlfn.IFNA(SQRT((VLOOKUP(BM$1,DATA!$A$3:$F$301,2,FALSE)-VLOOKUP($A14,DATA!$A$3:$F$301,2,FALSE))^2+(VLOOKUP(BM$1,DATA!$A$3:$F$301,3,FALSE)-VLOOKUP($A14,DATA!$A$3:$F$301,3,FALSE))^2),"")</f>
        <v/>
      </c>
      <c r="BN14" s="14" t="str">
        <f>_xlfn.IFNA(SQRT((VLOOKUP(BN$1,DATA!$A$3:$F$301,2,FALSE)-VLOOKUP($A14,DATA!$A$3:$F$301,2,FALSE))^2+(VLOOKUP(BN$1,DATA!$A$3:$F$301,3,FALSE)-VLOOKUP($A14,DATA!$A$3:$F$301,3,FALSE))^2),"")</f>
        <v/>
      </c>
      <c r="BO14" s="14" t="str">
        <f>_xlfn.IFNA(SQRT((VLOOKUP(BO$1,DATA!$A$3:$F$301,2,FALSE)-VLOOKUP($A14,DATA!$A$3:$F$301,2,FALSE))^2+(VLOOKUP(BO$1,DATA!$A$3:$F$301,3,FALSE)-VLOOKUP($A14,DATA!$A$3:$F$301,3,FALSE))^2),"")</f>
        <v/>
      </c>
      <c r="BP14" s="14" t="str">
        <f>_xlfn.IFNA(SQRT((VLOOKUP(BP$1,DATA!$A$3:$F$301,2,FALSE)-VLOOKUP($A14,DATA!$A$3:$F$301,2,FALSE))^2+(VLOOKUP(BP$1,DATA!$A$3:$F$301,3,FALSE)-VLOOKUP($A14,DATA!$A$3:$F$301,3,FALSE))^2),"")</f>
        <v/>
      </c>
      <c r="BQ14" s="14" t="str">
        <f>_xlfn.IFNA(SQRT((VLOOKUP(BQ$1,DATA!$A$3:$F$301,2,FALSE)-VLOOKUP($A14,DATA!$A$3:$F$301,2,FALSE))^2+(VLOOKUP(BQ$1,DATA!$A$3:$F$301,3,FALSE)-VLOOKUP($A14,DATA!$A$3:$F$301,3,FALSE))^2),"")</f>
        <v/>
      </c>
      <c r="BR14" s="14" t="str">
        <f>_xlfn.IFNA(SQRT((VLOOKUP(BR$1,DATA!$A$3:$F$301,2,FALSE)-VLOOKUP($A14,DATA!$A$3:$F$301,2,FALSE))^2+(VLOOKUP(BR$1,DATA!$A$3:$F$301,3,FALSE)-VLOOKUP($A14,DATA!$A$3:$F$301,3,FALSE))^2),"")</f>
        <v/>
      </c>
      <c r="BS14" s="14" t="str">
        <f>_xlfn.IFNA(SQRT((VLOOKUP(BS$1,DATA!$A$3:$F$301,2,FALSE)-VLOOKUP($A14,DATA!$A$3:$F$301,2,FALSE))^2+(VLOOKUP(BS$1,DATA!$A$3:$F$301,3,FALSE)-VLOOKUP($A14,DATA!$A$3:$F$301,3,FALSE))^2),"")</f>
        <v/>
      </c>
      <c r="BT14" s="14" t="str">
        <f>_xlfn.IFNA(SQRT((VLOOKUP(BT$1,DATA!$A$3:$F$301,2,FALSE)-VLOOKUP($A14,DATA!$A$3:$F$301,2,FALSE))^2+(VLOOKUP(BT$1,DATA!$A$3:$F$301,3,FALSE)-VLOOKUP($A14,DATA!$A$3:$F$301,3,FALSE))^2),"")</f>
        <v/>
      </c>
      <c r="BU14" s="14" t="str">
        <f>_xlfn.IFNA(SQRT((VLOOKUP(BU$1,DATA!$A$3:$F$301,2,FALSE)-VLOOKUP($A14,DATA!$A$3:$F$301,2,FALSE))^2+(VLOOKUP(BU$1,DATA!$A$3:$F$301,3,FALSE)-VLOOKUP($A14,DATA!$A$3:$F$301,3,FALSE))^2),"")</f>
        <v/>
      </c>
      <c r="BV14" s="14" t="str">
        <f>_xlfn.IFNA(SQRT((VLOOKUP(BV$1,DATA!$A$3:$F$301,2,FALSE)-VLOOKUP($A14,DATA!$A$3:$F$301,2,FALSE))^2+(VLOOKUP(BV$1,DATA!$A$3:$F$301,3,FALSE)-VLOOKUP($A14,DATA!$A$3:$F$301,3,FALSE))^2),"")</f>
        <v/>
      </c>
      <c r="BW14" s="14" t="str">
        <f>_xlfn.IFNA(SQRT((VLOOKUP(BW$1,DATA!$A$3:$F$301,2,FALSE)-VLOOKUP($A14,DATA!$A$3:$F$301,2,FALSE))^2+(VLOOKUP(BW$1,DATA!$A$3:$F$301,3,FALSE)-VLOOKUP($A14,DATA!$A$3:$F$301,3,FALSE))^2),"")</f>
        <v/>
      </c>
      <c r="BX14" s="14" t="str">
        <f>_xlfn.IFNA(SQRT((VLOOKUP(BX$1,DATA!$A$3:$F$301,2,FALSE)-VLOOKUP($A14,DATA!$A$3:$F$301,2,FALSE))^2+(VLOOKUP(BX$1,DATA!$A$3:$F$301,3,FALSE)-VLOOKUP($A14,DATA!$A$3:$F$301,3,FALSE))^2),"")</f>
        <v/>
      </c>
      <c r="BY14" s="14" t="str">
        <f>_xlfn.IFNA(SQRT((VLOOKUP(BY$1,DATA!$A$3:$F$301,2,FALSE)-VLOOKUP($A14,DATA!$A$3:$F$301,2,FALSE))^2+(VLOOKUP(BY$1,DATA!$A$3:$F$301,3,FALSE)-VLOOKUP($A14,DATA!$A$3:$F$301,3,FALSE))^2),"")</f>
        <v/>
      </c>
      <c r="BZ14" s="14" t="str">
        <f>_xlfn.IFNA(SQRT((VLOOKUP(BZ$1,DATA!$A$3:$F$301,2,FALSE)-VLOOKUP($A14,DATA!$A$3:$F$301,2,FALSE))^2+(VLOOKUP(BZ$1,DATA!$A$3:$F$301,3,FALSE)-VLOOKUP($A14,DATA!$A$3:$F$301,3,FALSE))^2),"")</f>
        <v/>
      </c>
      <c r="CA14" s="14" t="str">
        <f>_xlfn.IFNA(SQRT((VLOOKUP(CA$1,DATA!$A$3:$F$301,2,FALSE)-VLOOKUP($A14,DATA!$A$3:$F$301,2,FALSE))^2+(VLOOKUP(CA$1,DATA!$A$3:$F$301,3,FALSE)-VLOOKUP($A14,DATA!$A$3:$F$301,3,FALSE))^2),"")</f>
        <v/>
      </c>
      <c r="CB14" s="14" t="str">
        <f>_xlfn.IFNA(SQRT((VLOOKUP(CB$1,DATA!$A$3:$F$301,2,FALSE)-VLOOKUP($A14,DATA!$A$3:$F$301,2,FALSE))^2+(VLOOKUP(CB$1,DATA!$A$3:$F$301,3,FALSE)-VLOOKUP($A14,DATA!$A$3:$F$301,3,FALSE))^2),"")</f>
        <v/>
      </c>
      <c r="CC14" s="14" t="str">
        <f>_xlfn.IFNA(SQRT((VLOOKUP(CC$1,DATA!$A$3:$F$301,2,FALSE)-VLOOKUP($A14,DATA!$A$3:$F$301,2,FALSE))^2+(VLOOKUP(CC$1,DATA!$A$3:$F$301,3,FALSE)-VLOOKUP($A14,DATA!$A$3:$F$301,3,FALSE))^2),"")</f>
        <v/>
      </c>
      <c r="CD14" s="14" t="str">
        <f>_xlfn.IFNA(SQRT((VLOOKUP(CD$1,DATA!$A$3:$F$301,2,FALSE)-VLOOKUP($A14,DATA!$A$3:$F$301,2,FALSE))^2+(VLOOKUP(CD$1,DATA!$A$3:$F$301,3,FALSE)-VLOOKUP($A14,DATA!$A$3:$F$301,3,FALSE))^2),"")</f>
        <v/>
      </c>
      <c r="CE14" s="14" t="str">
        <f>_xlfn.IFNA(SQRT((VLOOKUP(CE$1,DATA!$A$3:$F$301,2,FALSE)-VLOOKUP($A14,DATA!$A$3:$F$301,2,FALSE))^2+(VLOOKUP(CE$1,DATA!$A$3:$F$301,3,FALSE)-VLOOKUP($A14,DATA!$A$3:$F$301,3,FALSE))^2),"")</f>
        <v/>
      </c>
      <c r="CF14" s="14" t="str">
        <f>_xlfn.IFNA(SQRT((VLOOKUP(CF$1,DATA!$A$3:$F$301,2,FALSE)-VLOOKUP($A14,DATA!$A$3:$F$301,2,FALSE))^2+(VLOOKUP(CF$1,DATA!$A$3:$F$301,3,FALSE)-VLOOKUP($A14,DATA!$A$3:$F$301,3,FALSE))^2),"")</f>
        <v/>
      </c>
      <c r="CG14" s="14" t="str">
        <f>_xlfn.IFNA(SQRT((VLOOKUP(CG$1,DATA!$A$3:$F$301,2,FALSE)-VLOOKUP($A14,DATA!$A$3:$F$301,2,FALSE))^2+(VLOOKUP(CG$1,DATA!$A$3:$F$301,3,FALSE)-VLOOKUP($A14,DATA!$A$3:$F$301,3,FALSE))^2),"")</f>
        <v/>
      </c>
      <c r="CH14" s="14" t="str">
        <f>_xlfn.IFNA(SQRT((VLOOKUP(CH$1,DATA!$A$3:$F$301,2,FALSE)-VLOOKUP($A14,DATA!$A$3:$F$301,2,FALSE))^2+(VLOOKUP(CH$1,DATA!$A$3:$F$301,3,FALSE)-VLOOKUP($A14,DATA!$A$3:$F$301,3,FALSE))^2),"")</f>
        <v/>
      </c>
      <c r="CI14" s="14" t="str">
        <f>_xlfn.IFNA(SQRT((VLOOKUP(CI$1,DATA!$A$3:$F$301,2,FALSE)-VLOOKUP($A14,DATA!$A$3:$F$301,2,FALSE))^2+(VLOOKUP(CI$1,DATA!$A$3:$F$301,3,FALSE)-VLOOKUP($A14,DATA!$A$3:$F$301,3,FALSE))^2),"")</f>
        <v/>
      </c>
      <c r="CJ14" s="14" t="str">
        <f>_xlfn.IFNA(SQRT((VLOOKUP(CJ$1,DATA!$A$3:$F$301,2,FALSE)-VLOOKUP($A14,DATA!$A$3:$F$301,2,FALSE))^2+(VLOOKUP(CJ$1,DATA!$A$3:$F$301,3,FALSE)-VLOOKUP($A14,DATA!$A$3:$F$301,3,FALSE))^2),"")</f>
        <v/>
      </c>
      <c r="CK14" s="14" t="str">
        <f>_xlfn.IFNA(SQRT((VLOOKUP(CK$1,DATA!$A$3:$F$301,2,FALSE)-VLOOKUP($A14,DATA!$A$3:$F$301,2,FALSE))^2+(VLOOKUP(CK$1,DATA!$A$3:$F$301,3,FALSE)-VLOOKUP($A14,DATA!$A$3:$F$301,3,FALSE))^2),"")</f>
        <v/>
      </c>
      <c r="CL14" s="14" t="str">
        <f>_xlfn.IFNA(SQRT((VLOOKUP(CL$1,DATA!$A$3:$F$301,2,FALSE)-VLOOKUP($A14,DATA!$A$3:$F$301,2,FALSE))^2+(VLOOKUP(CL$1,DATA!$A$3:$F$301,3,FALSE)-VLOOKUP($A14,DATA!$A$3:$F$301,3,FALSE))^2),"")</f>
        <v/>
      </c>
      <c r="CM14" s="14" t="str">
        <f>_xlfn.IFNA(SQRT((VLOOKUP(CM$1,DATA!$A$3:$F$301,2,FALSE)-VLOOKUP($A14,DATA!$A$3:$F$301,2,FALSE))^2+(VLOOKUP(CM$1,DATA!$A$3:$F$301,3,FALSE)-VLOOKUP($A14,DATA!$A$3:$F$301,3,FALSE))^2),"")</f>
        <v/>
      </c>
      <c r="CN14" s="14" t="str">
        <f>_xlfn.IFNA(SQRT((VLOOKUP(CN$1,DATA!$A$3:$F$301,2,FALSE)-VLOOKUP($A14,DATA!$A$3:$F$301,2,FALSE))^2+(VLOOKUP(CN$1,DATA!$A$3:$F$301,3,FALSE)-VLOOKUP($A14,DATA!$A$3:$F$301,3,FALSE))^2),"")</f>
        <v/>
      </c>
      <c r="CO14" s="14" t="str">
        <f>_xlfn.IFNA(SQRT((VLOOKUP(CO$1,DATA!$A$3:$F$301,2,FALSE)-VLOOKUP($A14,DATA!$A$3:$F$301,2,FALSE))^2+(VLOOKUP(CO$1,DATA!$A$3:$F$301,3,FALSE)-VLOOKUP($A14,DATA!$A$3:$F$301,3,FALSE))^2),"")</f>
        <v/>
      </c>
      <c r="CP14" s="14" t="str">
        <f>_xlfn.IFNA(SQRT((VLOOKUP(CP$1,DATA!$A$3:$F$301,2,FALSE)-VLOOKUP($A14,DATA!$A$3:$F$301,2,FALSE))^2+(VLOOKUP(CP$1,DATA!$A$3:$F$301,3,FALSE)-VLOOKUP($A14,DATA!$A$3:$F$301,3,FALSE))^2),"")</f>
        <v/>
      </c>
      <c r="CQ14" s="14" t="str">
        <f>_xlfn.IFNA(SQRT((VLOOKUP(CQ$1,DATA!$A$3:$F$301,2,FALSE)-VLOOKUP($A14,DATA!$A$3:$F$301,2,FALSE))^2+(VLOOKUP(CQ$1,DATA!$A$3:$F$301,3,FALSE)-VLOOKUP($A14,DATA!$A$3:$F$301,3,FALSE))^2),"")</f>
        <v/>
      </c>
      <c r="CR14" s="14" t="str">
        <f>_xlfn.IFNA(SQRT((VLOOKUP(CR$1,DATA!$A$3:$F$301,2,FALSE)-VLOOKUP($A14,DATA!$A$3:$F$301,2,FALSE))^2+(VLOOKUP(CR$1,DATA!$A$3:$F$301,3,FALSE)-VLOOKUP($A14,DATA!$A$3:$F$301,3,FALSE))^2),"")</f>
        <v/>
      </c>
      <c r="CS14" s="14" t="str">
        <f>_xlfn.IFNA(SQRT((VLOOKUP(CS$1,DATA!$A$3:$F$301,2,FALSE)-VLOOKUP($A14,DATA!$A$3:$F$301,2,FALSE))^2+(VLOOKUP(CS$1,DATA!$A$3:$F$301,3,FALSE)-VLOOKUP($A14,DATA!$A$3:$F$301,3,FALSE))^2),"")</f>
        <v/>
      </c>
      <c r="CT14" s="14" t="str">
        <f>_xlfn.IFNA(SQRT((VLOOKUP(CT$1,DATA!$A$3:$F$301,2,FALSE)-VLOOKUP($A14,DATA!$A$3:$F$301,2,FALSE))^2+(VLOOKUP(CT$1,DATA!$A$3:$F$301,3,FALSE)-VLOOKUP($A14,DATA!$A$3:$F$301,3,FALSE))^2),"")</f>
        <v/>
      </c>
      <c r="CU14" s="14" t="str">
        <f>_xlfn.IFNA(SQRT((VLOOKUP(CU$1,DATA!$A$3:$F$301,2,FALSE)-VLOOKUP($A14,DATA!$A$3:$F$301,2,FALSE))^2+(VLOOKUP(CU$1,DATA!$A$3:$F$301,3,FALSE)-VLOOKUP($A14,DATA!$A$3:$F$301,3,FALSE))^2),"")</f>
        <v/>
      </c>
      <c r="CV14" s="14" t="str">
        <f>_xlfn.IFNA(SQRT((VLOOKUP(CV$1,DATA!$A$3:$F$301,2,FALSE)-VLOOKUP($A14,DATA!$A$3:$F$301,2,FALSE))^2+(VLOOKUP(CV$1,DATA!$A$3:$F$301,3,FALSE)-VLOOKUP($A14,DATA!$A$3:$F$301,3,FALSE))^2),"")</f>
        <v/>
      </c>
      <c r="CW14" s="14" t="str">
        <f>_xlfn.IFNA(SQRT((VLOOKUP(CW$1,DATA!$A$3:$F$301,2,FALSE)-VLOOKUP($A14,DATA!$A$3:$F$301,2,FALSE))^2+(VLOOKUP(CW$1,DATA!$A$3:$F$301,3,FALSE)-VLOOKUP($A14,DATA!$A$3:$F$301,3,FALSE))^2),"")</f>
        <v/>
      </c>
      <c r="CX14" s="14" t="str">
        <f>_xlfn.IFNA(SQRT((VLOOKUP(CX$1,DATA!$A$3:$F$301,2,FALSE)-VLOOKUP($A14,DATA!$A$3:$F$301,2,FALSE))^2+(VLOOKUP(CX$1,DATA!$A$3:$F$301,3,FALSE)-VLOOKUP($A14,DATA!$A$3:$F$301,3,FALSE))^2),"")</f>
        <v/>
      </c>
    </row>
    <row r="15" spans="1:102">
      <c r="A15" s="13">
        <v>14</v>
      </c>
      <c r="B15" s="14">
        <f>_xlfn.IFNA(SQRT((VLOOKUP(B$1,DATA!$A$3:$F$301,2,FALSE)-VLOOKUP($A15,DATA!$A$3:$F$301,2,FALSE))^2+(VLOOKUP(B$1,DATA!$A$3:$F$301,3,FALSE)-VLOOKUP($A15,DATA!$A$3:$F$301,3,FALSE))^2),"")</f>
        <v>32.893768406797051</v>
      </c>
      <c r="C15" s="14">
        <f>_xlfn.IFNA(SQRT((VLOOKUP(C$1,DATA!$A$3:$F$301,2,FALSE)-VLOOKUP($A15,DATA!$A$3:$F$301,2,FALSE))^2+(VLOOKUP(C$1,DATA!$A$3:$F$301,3,FALSE)-VLOOKUP($A15,DATA!$A$3:$F$301,3,FALSE))^2),"")</f>
        <v>30.594117081556711</v>
      </c>
      <c r="D15" s="14">
        <f>_xlfn.IFNA(SQRT((VLOOKUP(D$1,DATA!$A$3:$F$301,2,FALSE)-VLOOKUP($A15,DATA!$A$3:$F$301,2,FALSE))^2+(VLOOKUP(D$1,DATA!$A$3:$F$301,3,FALSE)-VLOOKUP($A15,DATA!$A$3:$F$301,3,FALSE))^2),"")</f>
        <v>44.384682042344295</v>
      </c>
      <c r="E15" s="14">
        <f>_xlfn.IFNA(SQRT((VLOOKUP(E$1,DATA!$A$3:$F$301,2,FALSE)-VLOOKUP($A15,DATA!$A$3:$F$301,2,FALSE))^2+(VLOOKUP(E$1,DATA!$A$3:$F$301,3,FALSE)-VLOOKUP($A15,DATA!$A$3:$F$301,3,FALSE))^2),"")</f>
        <v>39</v>
      </c>
      <c r="F15" s="14">
        <f>_xlfn.IFNA(SQRT((VLOOKUP(F$1,DATA!$A$3:$F$301,2,FALSE)-VLOOKUP($A15,DATA!$A$3:$F$301,2,FALSE))^2+(VLOOKUP(F$1,DATA!$A$3:$F$301,3,FALSE)-VLOOKUP($A15,DATA!$A$3:$F$301,3,FALSE))^2),"")</f>
        <v>7.2801098892805181</v>
      </c>
      <c r="G15" s="14">
        <f>_xlfn.IFNA(SQRT((VLOOKUP(G$1,DATA!$A$3:$F$301,2,FALSE)-VLOOKUP($A15,DATA!$A$3:$F$301,2,FALSE))^2+(VLOOKUP(G$1,DATA!$A$3:$F$301,3,FALSE)-VLOOKUP($A15,DATA!$A$3:$F$301,3,FALSE))^2),"")</f>
        <v>38.832975677895199</v>
      </c>
      <c r="H15" s="14">
        <f>_xlfn.IFNA(SQRT((VLOOKUP(H$1,DATA!$A$3:$F$301,2,FALSE)-VLOOKUP($A15,DATA!$A$3:$F$301,2,FALSE))^2+(VLOOKUP(H$1,DATA!$A$3:$F$301,3,FALSE)-VLOOKUP($A15,DATA!$A$3:$F$301,3,FALSE))^2),"")</f>
        <v>52.009614495783374</v>
      </c>
      <c r="I15" s="14">
        <f>_xlfn.IFNA(SQRT((VLOOKUP(I$1,DATA!$A$3:$F$301,2,FALSE)-VLOOKUP($A15,DATA!$A$3:$F$301,2,FALSE))^2+(VLOOKUP(I$1,DATA!$A$3:$F$301,3,FALSE)-VLOOKUP($A15,DATA!$A$3:$F$301,3,FALSE))^2),"")</f>
        <v>38.078865529319543</v>
      </c>
      <c r="J15" s="14">
        <f>_xlfn.IFNA(SQRT((VLOOKUP(J$1,DATA!$A$3:$F$301,2,FALSE)-VLOOKUP($A15,DATA!$A$3:$F$301,2,FALSE))^2+(VLOOKUP(J$1,DATA!$A$3:$F$301,3,FALSE)-VLOOKUP($A15,DATA!$A$3:$F$301,3,FALSE))^2),"")</f>
        <v>36.069377593742864</v>
      </c>
      <c r="K15" s="14">
        <f>_xlfn.IFNA(SQRT((VLOOKUP(K$1,DATA!$A$3:$F$301,2,FALSE)-VLOOKUP($A15,DATA!$A$3:$F$301,2,FALSE))^2+(VLOOKUP(K$1,DATA!$A$3:$F$301,3,FALSE)-VLOOKUP($A15,DATA!$A$3:$F$301,3,FALSE))^2),"")</f>
        <v>42.190046219457976</v>
      </c>
      <c r="L15" s="14">
        <f>_xlfn.IFNA(SQRT((VLOOKUP(L$1,DATA!$A$3:$F$301,2,FALSE)-VLOOKUP($A15,DATA!$A$3:$F$301,2,FALSE))^2+(VLOOKUP(L$1,DATA!$A$3:$F$301,3,FALSE)-VLOOKUP($A15,DATA!$A$3:$F$301,3,FALSE))^2),"")</f>
        <v>41.231056256176608</v>
      </c>
      <c r="M15" s="14">
        <f>_xlfn.IFNA(SQRT((VLOOKUP(M$1,DATA!$A$3:$F$301,2,FALSE)-VLOOKUP($A15,DATA!$A$3:$F$301,2,FALSE))^2+(VLOOKUP(M$1,DATA!$A$3:$F$301,3,FALSE)-VLOOKUP($A15,DATA!$A$3:$F$301,3,FALSE))^2),"")</f>
        <v>23.021728866442675</v>
      </c>
      <c r="N15" s="14">
        <f>_xlfn.IFNA(SQRT((VLOOKUP(N$1,DATA!$A$3:$F$301,2,FALSE)-VLOOKUP($A15,DATA!$A$3:$F$301,2,FALSE))^2+(VLOOKUP(N$1,DATA!$A$3:$F$301,3,FALSE)-VLOOKUP($A15,DATA!$A$3:$F$301,3,FALSE))^2),"")</f>
        <v>34.481879299133332</v>
      </c>
      <c r="O15" s="14">
        <f>_xlfn.IFNA(SQRT((VLOOKUP(O$1,DATA!$A$3:$F$301,2,FALSE)-VLOOKUP($A15,DATA!$A$3:$F$301,2,FALSE))^2+(VLOOKUP(O$1,DATA!$A$3:$F$301,3,FALSE)-VLOOKUP($A15,DATA!$A$3:$F$301,3,FALSE))^2),"")</f>
        <v>0</v>
      </c>
      <c r="P15" s="14">
        <f>_xlfn.IFNA(SQRT((VLOOKUP(P$1,DATA!$A$3:$F$301,2,FALSE)-VLOOKUP($A15,DATA!$A$3:$F$301,2,FALSE))^2+(VLOOKUP(P$1,DATA!$A$3:$F$301,3,FALSE)-VLOOKUP($A15,DATA!$A$3:$F$301,3,FALSE))^2),"")</f>
        <v>41.012193308819754</v>
      </c>
      <c r="Q15" s="14">
        <f>_xlfn.IFNA(SQRT((VLOOKUP(Q$1,DATA!$A$3:$F$301,2,FALSE)-VLOOKUP($A15,DATA!$A$3:$F$301,2,FALSE))^2+(VLOOKUP(Q$1,DATA!$A$3:$F$301,3,FALSE)-VLOOKUP($A15,DATA!$A$3:$F$301,3,FALSE))^2),"")</f>
        <v>40.496913462633174</v>
      </c>
      <c r="R15" s="14">
        <f>_xlfn.IFNA(SQRT((VLOOKUP(R$1,DATA!$A$3:$F$301,2,FALSE)-VLOOKUP($A15,DATA!$A$3:$F$301,2,FALSE))^2+(VLOOKUP(R$1,DATA!$A$3:$F$301,3,FALSE)-VLOOKUP($A15,DATA!$A$3:$F$301,3,FALSE))^2),"")</f>
        <v>54.083269131959838</v>
      </c>
      <c r="S15" s="14">
        <f>_xlfn.IFNA(SQRT((VLOOKUP(S$1,DATA!$A$3:$F$301,2,FALSE)-VLOOKUP($A15,DATA!$A$3:$F$301,2,FALSE))^2+(VLOOKUP(S$1,DATA!$A$3:$F$301,3,FALSE)-VLOOKUP($A15,DATA!$A$3:$F$301,3,FALSE))^2),"")</f>
        <v>32.756678708318397</v>
      </c>
      <c r="T15" s="14">
        <f>_xlfn.IFNA(SQRT((VLOOKUP(T$1,DATA!$A$3:$F$301,2,FALSE)-VLOOKUP($A15,DATA!$A$3:$F$301,2,FALSE))^2+(VLOOKUP(T$1,DATA!$A$3:$F$301,3,FALSE)-VLOOKUP($A15,DATA!$A$3:$F$301,3,FALSE))^2),"")</f>
        <v>10.04987562112089</v>
      </c>
      <c r="U15" s="14">
        <f>_xlfn.IFNA(SQRT((VLOOKUP(U$1,DATA!$A$3:$F$301,2,FALSE)-VLOOKUP($A15,DATA!$A$3:$F$301,2,FALSE))^2+(VLOOKUP(U$1,DATA!$A$3:$F$301,3,FALSE)-VLOOKUP($A15,DATA!$A$3:$F$301,3,FALSE))^2),"")</f>
        <v>47.169905660283021</v>
      </c>
      <c r="V15" s="14">
        <f>_xlfn.IFNA(SQRT((VLOOKUP(V$1,DATA!$A$3:$F$301,2,FALSE)-VLOOKUP($A15,DATA!$A$3:$F$301,2,FALSE))^2+(VLOOKUP(V$1,DATA!$A$3:$F$301,3,FALSE)-VLOOKUP($A15,DATA!$A$3:$F$301,3,FALSE))^2),"")</f>
        <v>45.343136195018538</v>
      </c>
      <c r="W15" s="14">
        <f>_xlfn.IFNA(SQRT((VLOOKUP(W$1,DATA!$A$3:$F$301,2,FALSE)-VLOOKUP($A15,DATA!$A$3:$F$301,2,FALSE))^2+(VLOOKUP(W$1,DATA!$A$3:$F$301,3,FALSE)-VLOOKUP($A15,DATA!$A$3:$F$301,3,FALSE))^2),"")</f>
        <v>53.037722424704477</v>
      </c>
      <c r="X15" s="14">
        <f>_xlfn.IFNA(SQRT((VLOOKUP(X$1,DATA!$A$3:$F$301,2,FALSE)-VLOOKUP($A15,DATA!$A$3:$F$301,2,FALSE))^2+(VLOOKUP(X$1,DATA!$A$3:$F$301,3,FALSE)-VLOOKUP($A15,DATA!$A$3:$F$301,3,FALSE))^2),"")</f>
        <v>58.137767414994535</v>
      </c>
      <c r="Y15" s="14">
        <f>_xlfn.IFNA(SQRT((VLOOKUP(Y$1,DATA!$A$3:$F$301,2,FALSE)-VLOOKUP($A15,DATA!$A$3:$F$301,2,FALSE))^2+(VLOOKUP(Y$1,DATA!$A$3:$F$301,3,FALSE)-VLOOKUP($A15,DATA!$A$3:$F$301,3,FALSE))^2),"")</f>
        <v>37.363083384538811</v>
      </c>
      <c r="Z15" s="14">
        <f>_xlfn.IFNA(SQRT((VLOOKUP(Z$1,DATA!$A$3:$F$301,2,FALSE)-VLOOKUP($A15,DATA!$A$3:$F$301,2,FALSE))^2+(VLOOKUP(Z$1,DATA!$A$3:$F$301,3,FALSE)-VLOOKUP($A15,DATA!$A$3:$F$301,3,FALSE))^2),"")</f>
        <v>53.851648071345039</v>
      </c>
      <c r="AA15" s="14">
        <f>_xlfn.IFNA(SQRT((VLOOKUP(AA$1,DATA!$A$3:$F$301,2,FALSE)-VLOOKUP($A15,DATA!$A$3:$F$301,2,FALSE))^2+(VLOOKUP(AA$1,DATA!$A$3:$F$301,3,FALSE)-VLOOKUP($A15,DATA!$A$3:$F$301,3,FALSE))^2),"")</f>
        <v>23.769728648009426</v>
      </c>
      <c r="AB15" s="14">
        <f>_xlfn.IFNA(SQRT((VLOOKUP(AB$1,DATA!$A$3:$F$301,2,FALSE)-VLOOKUP($A15,DATA!$A$3:$F$301,2,FALSE))^2+(VLOOKUP(AB$1,DATA!$A$3:$F$301,3,FALSE)-VLOOKUP($A15,DATA!$A$3:$F$301,3,FALSE))^2),"")</f>
        <v>45.891175622335062</v>
      </c>
      <c r="AC15" s="14">
        <f>_xlfn.IFNA(SQRT((VLOOKUP(AC$1,DATA!$A$3:$F$301,2,FALSE)-VLOOKUP($A15,DATA!$A$3:$F$301,2,FALSE))^2+(VLOOKUP(AC$1,DATA!$A$3:$F$301,3,FALSE)-VLOOKUP($A15,DATA!$A$3:$F$301,3,FALSE))^2),"")</f>
        <v>14.212670403551895</v>
      </c>
      <c r="AD15" s="14">
        <f>_xlfn.IFNA(SQRT((VLOOKUP(AD$1,DATA!$A$3:$F$301,2,FALSE)-VLOOKUP($A15,DATA!$A$3:$F$301,2,FALSE))^2+(VLOOKUP(AD$1,DATA!$A$3:$F$301,3,FALSE)-VLOOKUP($A15,DATA!$A$3:$F$301,3,FALSE))^2),"")</f>
        <v>58.694122363316758</v>
      </c>
      <c r="AE15" s="14">
        <f>_xlfn.IFNA(SQRT((VLOOKUP(AE$1,DATA!$A$3:$F$301,2,FALSE)-VLOOKUP($A15,DATA!$A$3:$F$301,2,FALSE))^2+(VLOOKUP(AE$1,DATA!$A$3:$F$301,3,FALSE)-VLOOKUP($A15,DATA!$A$3:$F$301,3,FALSE))^2),"")</f>
        <v>11.180339887498949</v>
      </c>
      <c r="AF15" s="14">
        <f>_xlfn.IFNA(SQRT((VLOOKUP(AF$1,DATA!$A$3:$F$301,2,FALSE)-VLOOKUP($A15,DATA!$A$3:$F$301,2,FALSE))^2+(VLOOKUP(AF$1,DATA!$A$3:$F$301,3,FALSE)-VLOOKUP($A15,DATA!$A$3:$F$301,3,FALSE))^2),"")</f>
        <v>50.606323715519977</v>
      </c>
      <c r="AG15" s="14">
        <f>_xlfn.IFNA(SQRT((VLOOKUP(AG$1,DATA!$A$3:$F$301,2,FALSE)-VLOOKUP($A15,DATA!$A$3:$F$301,2,FALSE))^2+(VLOOKUP(AG$1,DATA!$A$3:$F$301,3,FALSE)-VLOOKUP($A15,DATA!$A$3:$F$301,3,FALSE))^2),"")</f>
        <v>15.556349186104045</v>
      </c>
      <c r="AH15" s="14">
        <f>_xlfn.IFNA(SQRT((VLOOKUP(AH$1,DATA!$A$3:$F$301,2,FALSE)-VLOOKUP($A15,DATA!$A$3:$F$301,2,FALSE))^2+(VLOOKUP(AH$1,DATA!$A$3:$F$301,3,FALSE)-VLOOKUP($A15,DATA!$A$3:$F$301,3,FALSE))^2),"")</f>
        <v>32.557641192199412</v>
      </c>
      <c r="AI15" s="14">
        <f>_xlfn.IFNA(SQRT((VLOOKUP(AI$1,DATA!$A$3:$F$301,2,FALSE)-VLOOKUP($A15,DATA!$A$3:$F$301,2,FALSE))^2+(VLOOKUP(AI$1,DATA!$A$3:$F$301,3,FALSE)-VLOOKUP($A15,DATA!$A$3:$F$301,3,FALSE))^2),"")</f>
        <v>52.478567053607705</v>
      </c>
      <c r="AJ15" s="14">
        <f>_xlfn.IFNA(SQRT((VLOOKUP(AJ$1,DATA!$A$3:$F$301,2,FALSE)-VLOOKUP($A15,DATA!$A$3:$F$301,2,FALSE))^2+(VLOOKUP(AJ$1,DATA!$A$3:$F$301,3,FALSE)-VLOOKUP($A15,DATA!$A$3:$F$301,3,FALSE))^2),"")</f>
        <v>48.020828814171878</v>
      </c>
      <c r="AK15" s="14">
        <f>_xlfn.IFNA(SQRT((VLOOKUP(AK$1,DATA!$A$3:$F$301,2,FALSE)-VLOOKUP($A15,DATA!$A$3:$F$301,2,FALSE))^2+(VLOOKUP(AK$1,DATA!$A$3:$F$301,3,FALSE)-VLOOKUP($A15,DATA!$A$3:$F$301,3,FALSE))^2),"")</f>
        <v>24.083189157584592</v>
      </c>
      <c r="AL15" s="14">
        <f>_xlfn.IFNA(SQRT((VLOOKUP(AL$1,DATA!$A$3:$F$301,2,FALSE)-VLOOKUP($A15,DATA!$A$3:$F$301,2,FALSE))^2+(VLOOKUP(AL$1,DATA!$A$3:$F$301,3,FALSE)-VLOOKUP($A15,DATA!$A$3:$F$301,3,FALSE))^2),"")</f>
        <v>33.015148038438355</v>
      </c>
      <c r="AM15" s="14">
        <f>_xlfn.IFNA(SQRT((VLOOKUP(AM$1,DATA!$A$3:$F$301,2,FALSE)-VLOOKUP($A15,DATA!$A$3:$F$301,2,FALSE))^2+(VLOOKUP(AM$1,DATA!$A$3:$F$301,3,FALSE)-VLOOKUP($A15,DATA!$A$3:$F$301,3,FALSE))^2),"")</f>
        <v>19.924858845171276</v>
      </c>
      <c r="AN15" s="14">
        <f>_xlfn.IFNA(SQRT((VLOOKUP(AN$1,DATA!$A$3:$F$301,2,FALSE)-VLOOKUP($A15,DATA!$A$3:$F$301,2,FALSE))^2+(VLOOKUP(AN$1,DATA!$A$3:$F$301,3,FALSE)-VLOOKUP($A15,DATA!$A$3:$F$301,3,FALSE))^2),"")</f>
        <v>59.396969619669989</v>
      </c>
      <c r="AO15" s="14">
        <f>_xlfn.IFNA(SQRT((VLOOKUP(AO$1,DATA!$A$3:$F$301,2,FALSE)-VLOOKUP($A15,DATA!$A$3:$F$301,2,FALSE))^2+(VLOOKUP(AO$1,DATA!$A$3:$F$301,3,FALSE)-VLOOKUP($A15,DATA!$A$3:$F$301,3,FALSE))^2),"")</f>
        <v>24.758836806279895</v>
      </c>
      <c r="AP15" s="14" t="str">
        <f>_xlfn.IFNA(SQRT((VLOOKUP(AP$1,DATA!$A$3:$F$301,2,FALSE)-VLOOKUP($A15,DATA!$A$3:$F$301,2,FALSE))^2+(VLOOKUP(AP$1,DATA!$A$3:$F$301,3,FALSE)-VLOOKUP($A15,DATA!$A$3:$F$301,3,FALSE))^2),"")</f>
        <v/>
      </c>
      <c r="AQ15" s="14" t="str">
        <f>_xlfn.IFNA(SQRT((VLOOKUP(AQ$1,DATA!$A$3:$F$301,2,FALSE)-VLOOKUP($A15,DATA!$A$3:$F$301,2,FALSE))^2+(VLOOKUP(AQ$1,DATA!$A$3:$F$301,3,FALSE)-VLOOKUP($A15,DATA!$A$3:$F$301,3,FALSE))^2),"")</f>
        <v/>
      </c>
      <c r="AR15" s="14" t="str">
        <f>_xlfn.IFNA(SQRT((VLOOKUP(AR$1,DATA!$A$3:$F$301,2,FALSE)-VLOOKUP($A15,DATA!$A$3:$F$301,2,FALSE))^2+(VLOOKUP(AR$1,DATA!$A$3:$F$301,3,FALSE)-VLOOKUP($A15,DATA!$A$3:$F$301,3,FALSE))^2),"")</f>
        <v/>
      </c>
      <c r="AS15" s="14" t="str">
        <f>_xlfn.IFNA(SQRT((VLOOKUP(AS$1,DATA!$A$3:$F$301,2,FALSE)-VLOOKUP($A15,DATA!$A$3:$F$301,2,FALSE))^2+(VLOOKUP(AS$1,DATA!$A$3:$F$301,3,FALSE)-VLOOKUP($A15,DATA!$A$3:$F$301,3,FALSE))^2),"")</f>
        <v/>
      </c>
      <c r="AT15" s="14" t="str">
        <f>_xlfn.IFNA(SQRT((VLOOKUP(AT$1,DATA!$A$3:$F$301,2,FALSE)-VLOOKUP($A15,DATA!$A$3:$F$301,2,FALSE))^2+(VLOOKUP(AT$1,DATA!$A$3:$F$301,3,FALSE)-VLOOKUP($A15,DATA!$A$3:$F$301,3,FALSE))^2),"")</f>
        <v/>
      </c>
      <c r="AU15" s="14" t="str">
        <f>_xlfn.IFNA(SQRT((VLOOKUP(AU$1,DATA!$A$3:$F$301,2,FALSE)-VLOOKUP($A15,DATA!$A$3:$F$301,2,FALSE))^2+(VLOOKUP(AU$1,DATA!$A$3:$F$301,3,FALSE)-VLOOKUP($A15,DATA!$A$3:$F$301,3,FALSE))^2),"")</f>
        <v/>
      </c>
      <c r="AV15" s="14" t="str">
        <f>_xlfn.IFNA(SQRT((VLOOKUP(AV$1,DATA!$A$3:$F$301,2,FALSE)-VLOOKUP($A15,DATA!$A$3:$F$301,2,FALSE))^2+(VLOOKUP(AV$1,DATA!$A$3:$F$301,3,FALSE)-VLOOKUP($A15,DATA!$A$3:$F$301,3,FALSE))^2),"")</f>
        <v/>
      </c>
      <c r="AW15" s="14" t="str">
        <f>_xlfn.IFNA(SQRT((VLOOKUP(AW$1,DATA!$A$3:$F$301,2,FALSE)-VLOOKUP($A15,DATA!$A$3:$F$301,2,FALSE))^2+(VLOOKUP(AW$1,DATA!$A$3:$F$301,3,FALSE)-VLOOKUP($A15,DATA!$A$3:$F$301,3,FALSE))^2),"")</f>
        <v/>
      </c>
      <c r="AX15" s="14" t="str">
        <f>_xlfn.IFNA(SQRT((VLOOKUP(AX$1,DATA!$A$3:$F$301,2,FALSE)-VLOOKUP($A15,DATA!$A$3:$F$301,2,FALSE))^2+(VLOOKUP(AX$1,DATA!$A$3:$F$301,3,FALSE)-VLOOKUP($A15,DATA!$A$3:$F$301,3,FALSE))^2),"")</f>
        <v/>
      </c>
      <c r="AY15" s="14" t="str">
        <f>_xlfn.IFNA(SQRT((VLOOKUP(AY$1,DATA!$A$3:$F$301,2,FALSE)-VLOOKUP($A15,DATA!$A$3:$F$301,2,FALSE))^2+(VLOOKUP(AY$1,DATA!$A$3:$F$301,3,FALSE)-VLOOKUP($A15,DATA!$A$3:$F$301,3,FALSE))^2),"")</f>
        <v/>
      </c>
      <c r="AZ15" s="14" t="str">
        <f>_xlfn.IFNA(SQRT((VLOOKUP(AZ$1,DATA!$A$3:$F$301,2,FALSE)-VLOOKUP($A15,DATA!$A$3:$F$301,2,FALSE))^2+(VLOOKUP(AZ$1,DATA!$A$3:$F$301,3,FALSE)-VLOOKUP($A15,DATA!$A$3:$F$301,3,FALSE))^2),"")</f>
        <v/>
      </c>
      <c r="BA15" s="14" t="str">
        <f>_xlfn.IFNA(SQRT((VLOOKUP(BA$1,DATA!$A$3:$F$301,2,FALSE)-VLOOKUP($A15,DATA!$A$3:$F$301,2,FALSE))^2+(VLOOKUP(BA$1,DATA!$A$3:$F$301,3,FALSE)-VLOOKUP($A15,DATA!$A$3:$F$301,3,FALSE))^2),"")</f>
        <v/>
      </c>
      <c r="BB15" s="14" t="str">
        <f>_xlfn.IFNA(SQRT((VLOOKUP(BB$1,DATA!$A$3:$F$301,2,FALSE)-VLOOKUP($A15,DATA!$A$3:$F$301,2,FALSE))^2+(VLOOKUP(BB$1,DATA!$A$3:$F$301,3,FALSE)-VLOOKUP($A15,DATA!$A$3:$F$301,3,FALSE))^2),"")</f>
        <v/>
      </c>
      <c r="BC15" s="14" t="str">
        <f>_xlfn.IFNA(SQRT((VLOOKUP(BC$1,DATA!$A$3:$F$301,2,FALSE)-VLOOKUP($A15,DATA!$A$3:$F$301,2,FALSE))^2+(VLOOKUP(BC$1,DATA!$A$3:$F$301,3,FALSE)-VLOOKUP($A15,DATA!$A$3:$F$301,3,FALSE))^2),"")</f>
        <v/>
      </c>
      <c r="BD15" s="14" t="str">
        <f>_xlfn.IFNA(SQRT((VLOOKUP(BD$1,DATA!$A$3:$F$301,2,FALSE)-VLOOKUP($A15,DATA!$A$3:$F$301,2,FALSE))^2+(VLOOKUP(BD$1,DATA!$A$3:$F$301,3,FALSE)-VLOOKUP($A15,DATA!$A$3:$F$301,3,FALSE))^2),"")</f>
        <v/>
      </c>
      <c r="BE15" s="14" t="str">
        <f>_xlfn.IFNA(SQRT((VLOOKUP(BE$1,DATA!$A$3:$F$301,2,FALSE)-VLOOKUP($A15,DATA!$A$3:$F$301,2,FALSE))^2+(VLOOKUP(BE$1,DATA!$A$3:$F$301,3,FALSE)-VLOOKUP($A15,DATA!$A$3:$F$301,3,FALSE))^2),"")</f>
        <v/>
      </c>
      <c r="BF15" s="14" t="str">
        <f>_xlfn.IFNA(SQRT((VLOOKUP(BF$1,DATA!$A$3:$F$301,2,FALSE)-VLOOKUP($A15,DATA!$A$3:$F$301,2,FALSE))^2+(VLOOKUP(BF$1,DATA!$A$3:$F$301,3,FALSE)-VLOOKUP($A15,DATA!$A$3:$F$301,3,FALSE))^2),"")</f>
        <v/>
      </c>
      <c r="BG15" s="14" t="str">
        <f>_xlfn.IFNA(SQRT((VLOOKUP(BG$1,DATA!$A$3:$F$301,2,FALSE)-VLOOKUP($A15,DATA!$A$3:$F$301,2,FALSE))^2+(VLOOKUP(BG$1,DATA!$A$3:$F$301,3,FALSE)-VLOOKUP($A15,DATA!$A$3:$F$301,3,FALSE))^2),"")</f>
        <v/>
      </c>
      <c r="BH15" s="14" t="str">
        <f>_xlfn.IFNA(SQRT((VLOOKUP(BH$1,DATA!$A$3:$F$301,2,FALSE)-VLOOKUP($A15,DATA!$A$3:$F$301,2,FALSE))^2+(VLOOKUP(BH$1,DATA!$A$3:$F$301,3,FALSE)-VLOOKUP($A15,DATA!$A$3:$F$301,3,FALSE))^2),"")</f>
        <v/>
      </c>
      <c r="BI15" s="14" t="str">
        <f>_xlfn.IFNA(SQRT((VLOOKUP(BI$1,DATA!$A$3:$F$301,2,FALSE)-VLOOKUP($A15,DATA!$A$3:$F$301,2,FALSE))^2+(VLOOKUP(BI$1,DATA!$A$3:$F$301,3,FALSE)-VLOOKUP($A15,DATA!$A$3:$F$301,3,FALSE))^2),"")</f>
        <v/>
      </c>
      <c r="BJ15" s="14" t="str">
        <f>_xlfn.IFNA(SQRT((VLOOKUP(BJ$1,DATA!$A$3:$F$301,2,FALSE)-VLOOKUP($A15,DATA!$A$3:$F$301,2,FALSE))^2+(VLOOKUP(BJ$1,DATA!$A$3:$F$301,3,FALSE)-VLOOKUP($A15,DATA!$A$3:$F$301,3,FALSE))^2),"")</f>
        <v/>
      </c>
      <c r="BK15" s="14" t="str">
        <f>_xlfn.IFNA(SQRT((VLOOKUP(BK$1,DATA!$A$3:$F$301,2,FALSE)-VLOOKUP($A15,DATA!$A$3:$F$301,2,FALSE))^2+(VLOOKUP(BK$1,DATA!$A$3:$F$301,3,FALSE)-VLOOKUP($A15,DATA!$A$3:$F$301,3,FALSE))^2),"")</f>
        <v/>
      </c>
      <c r="BL15" s="14" t="str">
        <f>_xlfn.IFNA(SQRT((VLOOKUP(BL$1,DATA!$A$3:$F$301,2,FALSE)-VLOOKUP($A15,DATA!$A$3:$F$301,2,FALSE))^2+(VLOOKUP(BL$1,DATA!$A$3:$F$301,3,FALSE)-VLOOKUP($A15,DATA!$A$3:$F$301,3,FALSE))^2),"")</f>
        <v/>
      </c>
      <c r="BM15" s="14" t="str">
        <f>_xlfn.IFNA(SQRT((VLOOKUP(BM$1,DATA!$A$3:$F$301,2,FALSE)-VLOOKUP($A15,DATA!$A$3:$F$301,2,FALSE))^2+(VLOOKUP(BM$1,DATA!$A$3:$F$301,3,FALSE)-VLOOKUP($A15,DATA!$A$3:$F$301,3,FALSE))^2),"")</f>
        <v/>
      </c>
      <c r="BN15" s="14" t="str">
        <f>_xlfn.IFNA(SQRT((VLOOKUP(BN$1,DATA!$A$3:$F$301,2,FALSE)-VLOOKUP($A15,DATA!$A$3:$F$301,2,FALSE))^2+(VLOOKUP(BN$1,DATA!$A$3:$F$301,3,FALSE)-VLOOKUP($A15,DATA!$A$3:$F$301,3,FALSE))^2),"")</f>
        <v/>
      </c>
      <c r="BO15" s="14" t="str">
        <f>_xlfn.IFNA(SQRT((VLOOKUP(BO$1,DATA!$A$3:$F$301,2,FALSE)-VLOOKUP($A15,DATA!$A$3:$F$301,2,FALSE))^2+(VLOOKUP(BO$1,DATA!$A$3:$F$301,3,FALSE)-VLOOKUP($A15,DATA!$A$3:$F$301,3,FALSE))^2),"")</f>
        <v/>
      </c>
      <c r="BP15" s="14" t="str">
        <f>_xlfn.IFNA(SQRT((VLOOKUP(BP$1,DATA!$A$3:$F$301,2,FALSE)-VLOOKUP($A15,DATA!$A$3:$F$301,2,FALSE))^2+(VLOOKUP(BP$1,DATA!$A$3:$F$301,3,FALSE)-VLOOKUP($A15,DATA!$A$3:$F$301,3,FALSE))^2),"")</f>
        <v/>
      </c>
      <c r="BQ15" s="14" t="str">
        <f>_xlfn.IFNA(SQRT((VLOOKUP(BQ$1,DATA!$A$3:$F$301,2,FALSE)-VLOOKUP($A15,DATA!$A$3:$F$301,2,FALSE))^2+(VLOOKUP(BQ$1,DATA!$A$3:$F$301,3,FALSE)-VLOOKUP($A15,DATA!$A$3:$F$301,3,FALSE))^2),"")</f>
        <v/>
      </c>
      <c r="BR15" s="14" t="str">
        <f>_xlfn.IFNA(SQRT((VLOOKUP(BR$1,DATA!$A$3:$F$301,2,FALSE)-VLOOKUP($A15,DATA!$A$3:$F$301,2,FALSE))^2+(VLOOKUP(BR$1,DATA!$A$3:$F$301,3,FALSE)-VLOOKUP($A15,DATA!$A$3:$F$301,3,FALSE))^2),"")</f>
        <v/>
      </c>
      <c r="BS15" s="14" t="str">
        <f>_xlfn.IFNA(SQRT((VLOOKUP(BS$1,DATA!$A$3:$F$301,2,FALSE)-VLOOKUP($A15,DATA!$A$3:$F$301,2,FALSE))^2+(VLOOKUP(BS$1,DATA!$A$3:$F$301,3,FALSE)-VLOOKUP($A15,DATA!$A$3:$F$301,3,FALSE))^2),"")</f>
        <v/>
      </c>
      <c r="BT15" s="14" t="str">
        <f>_xlfn.IFNA(SQRT((VLOOKUP(BT$1,DATA!$A$3:$F$301,2,FALSE)-VLOOKUP($A15,DATA!$A$3:$F$301,2,FALSE))^2+(VLOOKUP(BT$1,DATA!$A$3:$F$301,3,FALSE)-VLOOKUP($A15,DATA!$A$3:$F$301,3,FALSE))^2),"")</f>
        <v/>
      </c>
      <c r="BU15" s="14" t="str">
        <f>_xlfn.IFNA(SQRT((VLOOKUP(BU$1,DATA!$A$3:$F$301,2,FALSE)-VLOOKUP($A15,DATA!$A$3:$F$301,2,FALSE))^2+(VLOOKUP(BU$1,DATA!$A$3:$F$301,3,FALSE)-VLOOKUP($A15,DATA!$A$3:$F$301,3,FALSE))^2),"")</f>
        <v/>
      </c>
      <c r="BV15" s="14" t="str">
        <f>_xlfn.IFNA(SQRT((VLOOKUP(BV$1,DATA!$A$3:$F$301,2,FALSE)-VLOOKUP($A15,DATA!$A$3:$F$301,2,FALSE))^2+(VLOOKUP(BV$1,DATA!$A$3:$F$301,3,FALSE)-VLOOKUP($A15,DATA!$A$3:$F$301,3,FALSE))^2),"")</f>
        <v/>
      </c>
      <c r="BW15" s="14" t="str">
        <f>_xlfn.IFNA(SQRT((VLOOKUP(BW$1,DATA!$A$3:$F$301,2,FALSE)-VLOOKUP($A15,DATA!$A$3:$F$301,2,FALSE))^2+(VLOOKUP(BW$1,DATA!$A$3:$F$301,3,FALSE)-VLOOKUP($A15,DATA!$A$3:$F$301,3,FALSE))^2),"")</f>
        <v/>
      </c>
      <c r="BX15" s="14" t="str">
        <f>_xlfn.IFNA(SQRT((VLOOKUP(BX$1,DATA!$A$3:$F$301,2,FALSE)-VLOOKUP($A15,DATA!$A$3:$F$301,2,FALSE))^2+(VLOOKUP(BX$1,DATA!$A$3:$F$301,3,FALSE)-VLOOKUP($A15,DATA!$A$3:$F$301,3,FALSE))^2),"")</f>
        <v/>
      </c>
      <c r="BY15" s="14" t="str">
        <f>_xlfn.IFNA(SQRT((VLOOKUP(BY$1,DATA!$A$3:$F$301,2,FALSE)-VLOOKUP($A15,DATA!$A$3:$F$301,2,FALSE))^2+(VLOOKUP(BY$1,DATA!$A$3:$F$301,3,FALSE)-VLOOKUP($A15,DATA!$A$3:$F$301,3,FALSE))^2),"")</f>
        <v/>
      </c>
      <c r="BZ15" s="14" t="str">
        <f>_xlfn.IFNA(SQRT((VLOOKUP(BZ$1,DATA!$A$3:$F$301,2,FALSE)-VLOOKUP($A15,DATA!$A$3:$F$301,2,FALSE))^2+(VLOOKUP(BZ$1,DATA!$A$3:$F$301,3,FALSE)-VLOOKUP($A15,DATA!$A$3:$F$301,3,FALSE))^2),"")</f>
        <v/>
      </c>
      <c r="CA15" s="14" t="str">
        <f>_xlfn.IFNA(SQRT((VLOOKUP(CA$1,DATA!$A$3:$F$301,2,FALSE)-VLOOKUP($A15,DATA!$A$3:$F$301,2,FALSE))^2+(VLOOKUP(CA$1,DATA!$A$3:$F$301,3,FALSE)-VLOOKUP($A15,DATA!$A$3:$F$301,3,FALSE))^2),"")</f>
        <v/>
      </c>
      <c r="CB15" s="14" t="str">
        <f>_xlfn.IFNA(SQRT((VLOOKUP(CB$1,DATA!$A$3:$F$301,2,FALSE)-VLOOKUP($A15,DATA!$A$3:$F$301,2,FALSE))^2+(VLOOKUP(CB$1,DATA!$A$3:$F$301,3,FALSE)-VLOOKUP($A15,DATA!$A$3:$F$301,3,FALSE))^2),"")</f>
        <v/>
      </c>
      <c r="CC15" s="14" t="str">
        <f>_xlfn.IFNA(SQRT((VLOOKUP(CC$1,DATA!$A$3:$F$301,2,FALSE)-VLOOKUP($A15,DATA!$A$3:$F$301,2,FALSE))^2+(VLOOKUP(CC$1,DATA!$A$3:$F$301,3,FALSE)-VLOOKUP($A15,DATA!$A$3:$F$301,3,FALSE))^2),"")</f>
        <v/>
      </c>
      <c r="CD15" s="14" t="str">
        <f>_xlfn.IFNA(SQRT((VLOOKUP(CD$1,DATA!$A$3:$F$301,2,FALSE)-VLOOKUP($A15,DATA!$A$3:$F$301,2,FALSE))^2+(VLOOKUP(CD$1,DATA!$A$3:$F$301,3,FALSE)-VLOOKUP($A15,DATA!$A$3:$F$301,3,FALSE))^2),"")</f>
        <v/>
      </c>
      <c r="CE15" s="14" t="str">
        <f>_xlfn.IFNA(SQRT((VLOOKUP(CE$1,DATA!$A$3:$F$301,2,FALSE)-VLOOKUP($A15,DATA!$A$3:$F$301,2,FALSE))^2+(VLOOKUP(CE$1,DATA!$A$3:$F$301,3,FALSE)-VLOOKUP($A15,DATA!$A$3:$F$301,3,FALSE))^2),"")</f>
        <v/>
      </c>
      <c r="CF15" s="14" t="str">
        <f>_xlfn.IFNA(SQRT((VLOOKUP(CF$1,DATA!$A$3:$F$301,2,FALSE)-VLOOKUP($A15,DATA!$A$3:$F$301,2,FALSE))^2+(VLOOKUP(CF$1,DATA!$A$3:$F$301,3,FALSE)-VLOOKUP($A15,DATA!$A$3:$F$301,3,FALSE))^2),"")</f>
        <v/>
      </c>
      <c r="CG15" s="14" t="str">
        <f>_xlfn.IFNA(SQRT((VLOOKUP(CG$1,DATA!$A$3:$F$301,2,FALSE)-VLOOKUP($A15,DATA!$A$3:$F$301,2,FALSE))^2+(VLOOKUP(CG$1,DATA!$A$3:$F$301,3,FALSE)-VLOOKUP($A15,DATA!$A$3:$F$301,3,FALSE))^2),"")</f>
        <v/>
      </c>
      <c r="CH15" s="14" t="str">
        <f>_xlfn.IFNA(SQRT((VLOOKUP(CH$1,DATA!$A$3:$F$301,2,FALSE)-VLOOKUP($A15,DATA!$A$3:$F$301,2,FALSE))^2+(VLOOKUP(CH$1,DATA!$A$3:$F$301,3,FALSE)-VLOOKUP($A15,DATA!$A$3:$F$301,3,FALSE))^2),"")</f>
        <v/>
      </c>
      <c r="CI15" s="14" t="str">
        <f>_xlfn.IFNA(SQRT((VLOOKUP(CI$1,DATA!$A$3:$F$301,2,FALSE)-VLOOKUP($A15,DATA!$A$3:$F$301,2,FALSE))^2+(VLOOKUP(CI$1,DATA!$A$3:$F$301,3,FALSE)-VLOOKUP($A15,DATA!$A$3:$F$301,3,FALSE))^2),"")</f>
        <v/>
      </c>
      <c r="CJ15" s="14" t="str">
        <f>_xlfn.IFNA(SQRT((VLOOKUP(CJ$1,DATA!$A$3:$F$301,2,FALSE)-VLOOKUP($A15,DATA!$A$3:$F$301,2,FALSE))^2+(VLOOKUP(CJ$1,DATA!$A$3:$F$301,3,FALSE)-VLOOKUP($A15,DATA!$A$3:$F$301,3,FALSE))^2),"")</f>
        <v/>
      </c>
      <c r="CK15" s="14" t="str">
        <f>_xlfn.IFNA(SQRT((VLOOKUP(CK$1,DATA!$A$3:$F$301,2,FALSE)-VLOOKUP($A15,DATA!$A$3:$F$301,2,FALSE))^2+(VLOOKUP(CK$1,DATA!$A$3:$F$301,3,FALSE)-VLOOKUP($A15,DATA!$A$3:$F$301,3,FALSE))^2),"")</f>
        <v/>
      </c>
      <c r="CL15" s="14" t="str">
        <f>_xlfn.IFNA(SQRT((VLOOKUP(CL$1,DATA!$A$3:$F$301,2,FALSE)-VLOOKUP($A15,DATA!$A$3:$F$301,2,FALSE))^2+(VLOOKUP(CL$1,DATA!$A$3:$F$301,3,FALSE)-VLOOKUP($A15,DATA!$A$3:$F$301,3,FALSE))^2),"")</f>
        <v/>
      </c>
      <c r="CM15" s="14" t="str">
        <f>_xlfn.IFNA(SQRT((VLOOKUP(CM$1,DATA!$A$3:$F$301,2,FALSE)-VLOOKUP($A15,DATA!$A$3:$F$301,2,FALSE))^2+(VLOOKUP(CM$1,DATA!$A$3:$F$301,3,FALSE)-VLOOKUP($A15,DATA!$A$3:$F$301,3,FALSE))^2),"")</f>
        <v/>
      </c>
      <c r="CN15" s="14" t="str">
        <f>_xlfn.IFNA(SQRT((VLOOKUP(CN$1,DATA!$A$3:$F$301,2,FALSE)-VLOOKUP($A15,DATA!$A$3:$F$301,2,FALSE))^2+(VLOOKUP(CN$1,DATA!$A$3:$F$301,3,FALSE)-VLOOKUP($A15,DATA!$A$3:$F$301,3,FALSE))^2),"")</f>
        <v/>
      </c>
      <c r="CO15" s="14" t="str">
        <f>_xlfn.IFNA(SQRT((VLOOKUP(CO$1,DATA!$A$3:$F$301,2,FALSE)-VLOOKUP($A15,DATA!$A$3:$F$301,2,FALSE))^2+(VLOOKUP(CO$1,DATA!$A$3:$F$301,3,FALSE)-VLOOKUP($A15,DATA!$A$3:$F$301,3,FALSE))^2),"")</f>
        <v/>
      </c>
      <c r="CP15" s="14" t="str">
        <f>_xlfn.IFNA(SQRT((VLOOKUP(CP$1,DATA!$A$3:$F$301,2,FALSE)-VLOOKUP($A15,DATA!$A$3:$F$301,2,FALSE))^2+(VLOOKUP(CP$1,DATA!$A$3:$F$301,3,FALSE)-VLOOKUP($A15,DATA!$A$3:$F$301,3,FALSE))^2),"")</f>
        <v/>
      </c>
      <c r="CQ15" s="14" t="str">
        <f>_xlfn.IFNA(SQRT((VLOOKUP(CQ$1,DATA!$A$3:$F$301,2,FALSE)-VLOOKUP($A15,DATA!$A$3:$F$301,2,FALSE))^2+(VLOOKUP(CQ$1,DATA!$A$3:$F$301,3,FALSE)-VLOOKUP($A15,DATA!$A$3:$F$301,3,FALSE))^2),"")</f>
        <v/>
      </c>
      <c r="CR15" s="14" t="str">
        <f>_xlfn.IFNA(SQRT((VLOOKUP(CR$1,DATA!$A$3:$F$301,2,FALSE)-VLOOKUP($A15,DATA!$A$3:$F$301,2,FALSE))^2+(VLOOKUP(CR$1,DATA!$A$3:$F$301,3,FALSE)-VLOOKUP($A15,DATA!$A$3:$F$301,3,FALSE))^2),"")</f>
        <v/>
      </c>
      <c r="CS15" s="14" t="str">
        <f>_xlfn.IFNA(SQRT((VLOOKUP(CS$1,DATA!$A$3:$F$301,2,FALSE)-VLOOKUP($A15,DATA!$A$3:$F$301,2,FALSE))^2+(VLOOKUP(CS$1,DATA!$A$3:$F$301,3,FALSE)-VLOOKUP($A15,DATA!$A$3:$F$301,3,FALSE))^2),"")</f>
        <v/>
      </c>
      <c r="CT15" s="14" t="str">
        <f>_xlfn.IFNA(SQRT((VLOOKUP(CT$1,DATA!$A$3:$F$301,2,FALSE)-VLOOKUP($A15,DATA!$A$3:$F$301,2,FALSE))^2+(VLOOKUP(CT$1,DATA!$A$3:$F$301,3,FALSE)-VLOOKUP($A15,DATA!$A$3:$F$301,3,FALSE))^2),"")</f>
        <v/>
      </c>
      <c r="CU15" s="14" t="str">
        <f>_xlfn.IFNA(SQRT((VLOOKUP(CU$1,DATA!$A$3:$F$301,2,FALSE)-VLOOKUP($A15,DATA!$A$3:$F$301,2,FALSE))^2+(VLOOKUP(CU$1,DATA!$A$3:$F$301,3,FALSE)-VLOOKUP($A15,DATA!$A$3:$F$301,3,FALSE))^2),"")</f>
        <v/>
      </c>
      <c r="CV15" s="14" t="str">
        <f>_xlfn.IFNA(SQRT((VLOOKUP(CV$1,DATA!$A$3:$F$301,2,FALSE)-VLOOKUP($A15,DATA!$A$3:$F$301,2,FALSE))^2+(VLOOKUP(CV$1,DATA!$A$3:$F$301,3,FALSE)-VLOOKUP($A15,DATA!$A$3:$F$301,3,FALSE))^2),"")</f>
        <v/>
      </c>
      <c r="CW15" s="14" t="str">
        <f>_xlfn.IFNA(SQRT((VLOOKUP(CW$1,DATA!$A$3:$F$301,2,FALSE)-VLOOKUP($A15,DATA!$A$3:$F$301,2,FALSE))^2+(VLOOKUP(CW$1,DATA!$A$3:$F$301,3,FALSE)-VLOOKUP($A15,DATA!$A$3:$F$301,3,FALSE))^2),"")</f>
        <v/>
      </c>
      <c r="CX15" s="14" t="str">
        <f>_xlfn.IFNA(SQRT((VLOOKUP(CX$1,DATA!$A$3:$F$301,2,FALSE)-VLOOKUP($A15,DATA!$A$3:$F$301,2,FALSE))^2+(VLOOKUP(CX$1,DATA!$A$3:$F$301,3,FALSE)-VLOOKUP($A15,DATA!$A$3:$F$301,3,FALSE))^2),"")</f>
        <v/>
      </c>
    </row>
    <row r="16" spans="1:102">
      <c r="A16" s="13">
        <v>15</v>
      </c>
      <c r="B16" s="14">
        <f>_xlfn.IFNA(SQRT((VLOOKUP(B$1,DATA!$A$3:$F$301,2,FALSE)-VLOOKUP($A16,DATA!$A$3:$F$301,2,FALSE))^2+(VLOOKUP(B$1,DATA!$A$3:$F$301,3,FALSE)-VLOOKUP($A16,DATA!$A$3:$F$301,3,FALSE))^2),"")</f>
        <v>42.426406871192853</v>
      </c>
      <c r="C16" s="14">
        <f>_xlfn.IFNA(SQRT((VLOOKUP(C$1,DATA!$A$3:$F$301,2,FALSE)-VLOOKUP($A16,DATA!$A$3:$F$301,2,FALSE))^2+(VLOOKUP(C$1,DATA!$A$3:$F$301,3,FALSE)-VLOOKUP($A16,DATA!$A$3:$F$301,3,FALSE))^2),"")</f>
        <v>45.453272709454048</v>
      </c>
      <c r="D16" s="14">
        <f>_xlfn.IFNA(SQRT((VLOOKUP(D$1,DATA!$A$3:$F$301,2,FALSE)-VLOOKUP($A16,DATA!$A$3:$F$301,2,FALSE))^2+(VLOOKUP(D$1,DATA!$A$3:$F$301,3,FALSE)-VLOOKUP($A16,DATA!$A$3:$F$301,3,FALSE))^2),"")</f>
        <v>51.61395160225576</v>
      </c>
      <c r="E16" s="14">
        <f>_xlfn.IFNA(SQRT((VLOOKUP(E$1,DATA!$A$3:$F$301,2,FALSE)-VLOOKUP($A16,DATA!$A$3:$F$301,2,FALSE))^2+(VLOOKUP(E$1,DATA!$A$3:$F$301,3,FALSE)-VLOOKUP($A16,DATA!$A$3:$F$301,3,FALSE))^2),"")</f>
        <v>43.600458713183279</v>
      </c>
      <c r="F16" s="14">
        <f>_xlfn.IFNA(SQRT((VLOOKUP(F$1,DATA!$A$3:$F$301,2,FALSE)-VLOOKUP($A16,DATA!$A$3:$F$301,2,FALSE))^2+(VLOOKUP(F$1,DATA!$A$3:$F$301,3,FALSE)-VLOOKUP($A16,DATA!$A$3:$F$301,3,FALSE))^2),"")</f>
        <v>39.45883931389772</v>
      </c>
      <c r="G16" s="14">
        <f>_xlfn.IFNA(SQRT((VLOOKUP(G$1,DATA!$A$3:$F$301,2,FALSE)-VLOOKUP($A16,DATA!$A$3:$F$301,2,FALSE))^2+(VLOOKUP(G$1,DATA!$A$3:$F$301,3,FALSE)-VLOOKUP($A16,DATA!$A$3:$F$301,3,FALSE))^2),"")</f>
        <v>22.847319317591726</v>
      </c>
      <c r="H16" s="14">
        <f>_xlfn.IFNA(SQRT((VLOOKUP(H$1,DATA!$A$3:$F$301,2,FALSE)-VLOOKUP($A16,DATA!$A$3:$F$301,2,FALSE))^2+(VLOOKUP(H$1,DATA!$A$3:$F$301,3,FALSE)-VLOOKUP($A16,DATA!$A$3:$F$301,3,FALSE))^2),"")</f>
        <v>31</v>
      </c>
      <c r="I16" s="14">
        <f>_xlfn.IFNA(SQRT((VLOOKUP(I$1,DATA!$A$3:$F$301,2,FALSE)-VLOOKUP($A16,DATA!$A$3:$F$301,2,FALSE))^2+(VLOOKUP(I$1,DATA!$A$3:$F$301,3,FALSE)-VLOOKUP($A16,DATA!$A$3:$F$301,3,FALSE))^2),"")</f>
        <v>8.9442719099991592</v>
      </c>
      <c r="J16" s="14">
        <f>_xlfn.IFNA(SQRT((VLOOKUP(J$1,DATA!$A$3:$F$301,2,FALSE)-VLOOKUP($A16,DATA!$A$3:$F$301,2,FALSE))^2+(VLOOKUP(J$1,DATA!$A$3:$F$301,3,FALSE)-VLOOKUP($A16,DATA!$A$3:$F$301,3,FALSE))^2),"")</f>
        <v>29.681644159311659</v>
      </c>
      <c r="K16" s="14">
        <f>_xlfn.IFNA(SQRT((VLOOKUP(K$1,DATA!$A$3:$F$301,2,FALSE)-VLOOKUP($A16,DATA!$A$3:$F$301,2,FALSE))^2+(VLOOKUP(K$1,DATA!$A$3:$F$301,3,FALSE)-VLOOKUP($A16,DATA!$A$3:$F$301,3,FALSE))^2),"")</f>
        <v>55.226805085936306</v>
      </c>
      <c r="L16" s="14">
        <f>_xlfn.IFNA(SQRT((VLOOKUP(L$1,DATA!$A$3:$F$301,2,FALSE)-VLOOKUP($A16,DATA!$A$3:$F$301,2,FALSE))^2+(VLOOKUP(L$1,DATA!$A$3:$F$301,3,FALSE)-VLOOKUP($A16,DATA!$A$3:$F$301,3,FALSE))^2),"")</f>
        <v>15.297058540778355</v>
      </c>
      <c r="M16" s="14">
        <f>_xlfn.IFNA(SQRT((VLOOKUP(M$1,DATA!$A$3:$F$301,2,FALSE)-VLOOKUP($A16,DATA!$A$3:$F$301,2,FALSE))^2+(VLOOKUP(M$1,DATA!$A$3:$F$301,3,FALSE)-VLOOKUP($A16,DATA!$A$3:$F$301,3,FALSE))^2),"")</f>
        <v>33.286633954186478</v>
      </c>
      <c r="N16" s="14">
        <f>_xlfn.IFNA(SQRT((VLOOKUP(N$1,DATA!$A$3:$F$301,2,FALSE)-VLOOKUP($A16,DATA!$A$3:$F$301,2,FALSE))^2+(VLOOKUP(N$1,DATA!$A$3:$F$301,3,FALSE)-VLOOKUP($A16,DATA!$A$3:$F$301,3,FALSE))^2),"")</f>
        <v>37.643060449437421</v>
      </c>
      <c r="O16" s="14">
        <f>_xlfn.IFNA(SQRT((VLOOKUP(O$1,DATA!$A$3:$F$301,2,FALSE)-VLOOKUP($A16,DATA!$A$3:$F$301,2,FALSE))^2+(VLOOKUP(O$1,DATA!$A$3:$F$301,3,FALSE)-VLOOKUP($A16,DATA!$A$3:$F$301,3,FALSE))^2),"")</f>
        <v>41.012193308819754</v>
      </c>
      <c r="P16" s="14">
        <f>_xlfn.IFNA(SQRT((VLOOKUP(P$1,DATA!$A$3:$F$301,2,FALSE)-VLOOKUP($A16,DATA!$A$3:$F$301,2,FALSE))^2+(VLOOKUP(P$1,DATA!$A$3:$F$301,3,FALSE)-VLOOKUP($A16,DATA!$A$3:$F$301,3,FALSE))^2),"")</f>
        <v>0</v>
      </c>
      <c r="Q16" s="14">
        <f>_xlfn.IFNA(SQRT((VLOOKUP(Q$1,DATA!$A$3:$F$301,2,FALSE)-VLOOKUP($A16,DATA!$A$3:$F$301,2,FALSE))^2+(VLOOKUP(Q$1,DATA!$A$3:$F$301,3,FALSE)-VLOOKUP($A16,DATA!$A$3:$F$301,3,FALSE))^2),"")</f>
        <v>22.135943621178654</v>
      </c>
      <c r="R16" s="14">
        <f>_xlfn.IFNA(SQRT((VLOOKUP(R$1,DATA!$A$3:$F$301,2,FALSE)-VLOOKUP($A16,DATA!$A$3:$F$301,2,FALSE))^2+(VLOOKUP(R$1,DATA!$A$3:$F$301,3,FALSE)-VLOOKUP($A16,DATA!$A$3:$F$301,3,FALSE))^2),"")</f>
        <v>45.354161881794269</v>
      </c>
      <c r="S16" s="14">
        <f>_xlfn.IFNA(SQRT((VLOOKUP(S$1,DATA!$A$3:$F$301,2,FALSE)-VLOOKUP($A16,DATA!$A$3:$F$301,2,FALSE))^2+(VLOOKUP(S$1,DATA!$A$3:$F$301,3,FALSE)-VLOOKUP($A16,DATA!$A$3:$F$301,3,FALSE))^2),"")</f>
        <v>20.615528128088304</v>
      </c>
      <c r="T16" s="14">
        <f>_xlfn.IFNA(SQRT((VLOOKUP(T$1,DATA!$A$3:$F$301,2,FALSE)-VLOOKUP($A16,DATA!$A$3:$F$301,2,FALSE))^2+(VLOOKUP(T$1,DATA!$A$3:$F$301,3,FALSE)-VLOOKUP($A16,DATA!$A$3:$F$301,3,FALSE))^2),"")</f>
        <v>31</v>
      </c>
      <c r="U16" s="14">
        <f>_xlfn.IFNA(SQRT((VLOOKUP(U$1,DATA!$A$3:$F$301,2,FALSE)-VLOOKUP($A16,DATA!$A$3:$F$301,2,FALSE))^2+(VLOOKUP(U$1,DATA!$A$3:$F$301,3,FALSE)-VLOOKUP($A16,DATA!$A$3:$F$301,3,FALSE))^2),"")</f>
        <v>42.154477816715982</v>
      </c>
      <c r="V16" s="14">
        <f>_xlfn.IFNA(SQRT((VLOOKUP(V$1,DATA!$A$3:$F$301,2,FALSE)-VLOOKUP($A16,DATA!$A$3:$F$301,2,FALSE))^2+(VLOOKUP(V$1,DATA!$A$3:$F$301,3,FALSE)-VLOOKUP($A16,DATA!$A$3:$F$301,3,FALSE))^2),"")</f>
        <v>29.832867780352597</v>
      </c>
      <c r="W16" s="14">
        <f>_xlfn.IFNA(SQRT((VLOOKUP(W$1,DATA!$A$3:$F$301,2,FALSE)-VLOOKUP($A16,DATA!$A$3:$F$301,2,FALSE))^2+(VLOOKUP(W$1,DATA!$A$3:$F$301,3,FALSE)-VLOOKUP($A16,DATA!$A$3:$F$301,3,FALSE))^2),"")</f>
        <v>36.124783736376884</v>
      </c>
      <c r="X16" s="14">
        <f>_xlfn.IFNA(SQRT((VLOOKUP(X$1,DATA!$A$3:$F$301,2,FALSE)-VLOOKUP($A16,DATA!$A$3:$F$301,2,FALSE))^2+(VLOOKUP(X$1,DATA!$A$3:$F$301,3,FALSE)-VLOOKUP($A16,DATA!$A$3:$F$301,3,FALSE))^2),"")</f>
        <v>37.12142238654117</v>
      </c>
      <c r="Y16" s="14">
        <f>_xlfn.IFNA(SQRT((VLOOKUP(Y$1,DATA!$A$3:$F$301,2,FALSE)-VLOOKUP($A16,DATA!$A$3:$F$301,2,FALSE))^2+(VLOOKUP(Y$1,DATA!$A$3:$F$301,3,FALSE)-VLOOKUP($A16,DATA!$A$3:$F$301,3,FALSE))^2),"")</f>
        <v>10.295630140987001</v>
      </c>
      <c r="Z16" s="14">
        <f>_xlfn.IFNA(SQRT((VLOOKUP(Z$1,DATA!$A$3:$F$301,2,FALSE)-VLOOKUP($A16,DATA!$A$3:$F$301,2,FALSE))^2+(VLOOKUP(Z$1,DATA!$A$3:$F$301,3,FALSE)-VLOOKUP($A16,DATA!$A$3:$F$301,3,FALSE))^2),"")</f>
        <v>46.840153714521477</v>
      </c>
      <c r="AA16" s="14">
        <f>_xlfn.IFNA(SQRT((VLOOKUP(AA$1,DATA!$A$3:$F$301,2,FALSE)-VLOOKUP($A16,DATA!$A$3:$F$301,2,FALSE))^2+(VLOOKUP(AA$1,DATA!$A$3:$F$301,3,FALSE)-VLOOKUP($A16,DATA!$A$3:$F$301,3,FALSE))^2),"")</f>
        <v>20.615528128088304</v>
      </c>
      <c r="AB16" s="14">
        <f>_xlfn.IFNA(SQRT((VLOOKUP(AB$1,DATA!$A$3:$F$301,2,FALSE)-VLOOKUP($A16,DATA!$A$3:$F$301,2,FALSE))^2+(VLOOKUP(AB$1,DATA!$A$3:$F$301,3,FALSE)-VLOOKUP($A16,DATA!$A$3:$F$301,3,FALSE))^2),"")</f>
        <v>54.405882034941776</v>
      </c>
      <c r="AC16" s="14">
        <f>_xlfn.IFNA(SQRT((VLOOKUP(AC$1,DATA!$A$3:$F$301,2,FALSE)-VLOOKUP($A16,DATA!$A$3:$F$301,2,FALSE))^2+(VLOOKUP(AC$1,DATA!$A$3:$F$301,3,FALSE)-VLOOKUP($A16,DATA!$A$3:$F$301,3,FALSE))^2),"")</f>
        <v>31.048349392520048</v>
      </c>
      <c r="AD16" s="14">
        <f>_xlfn.IFNA(SQRT((VLOOKUP(AD$1,DATA!$A$3:$F$301,2,FALSE)-VLOOKUP($A16,DATA!$A$3:$F$301,2,FALSE))^2+(VLOOKUP(AD$1,DATA!$A$3:$F$301,3,FALSE)-VLOOKUP($A16,DATA!$A$3:$F$301,3,FALSE))^2),"")</f>
        <v>40.01249804748511</v>
      </c>
      <c r="AE16" s="14">
        <f>_xlfn.IFNA(SQRT((VLOOKUP(AE$1,DATA!$A$3:$F$301,2,FALSE)-VLOOKUP($A16,DATA!$A$3:$F$301,2,FALSE))^2+(VLOOKUP(AE$1,DATA!$A$3:$F$301,3,FALSE)-VLOOKUP($A16,DATA!$A$3:$F$301,3,FALSE))^2),"")</f>
        <v>46.872166581031863</v>
      </c>
      <c r="AF16" s="14">
        <f>_xlfn.IFNA(SQRT((VLOOKUP(AF$1,DATA!$A$3:$F$301,2,FALSE)-VLOOKUP($A16,DATA!$A$3:$F$301,2,FALSE))^2+(VLOOKUP(AF$1,DATA!$A$3:$F$301,3,FALSE)-VLOOKUP($A16,DATA!$A$3:$F$301,3,FALSE))^2),"")</f>
        <v>40.26164427839479</v>
      </c>
      <c r="AG16" s="14">
        <f>_xlfn.IFNA(SQRT((VLOOKUP(AG$1,DATA!$A$3:$F$301,2,FALSE)-VLOOKUP($A16,DATA!$A$3:$F$301,2,FALSE))^2+(VLOOKUP(AG$1,DATA!$A$3:$F$301,3,FALSE)-VLOOKUP($A16,DATA!$A$3:$F$301,3,FALSE))^2),"")</f>
        <v>31.622776601683793</v>
      </c>
      <c r="AH16" s="14">
        <f>_xlfn.IFNA(SQRT((VLOOKUP(AH$1,DATA!$A$3:$F$301,2,FALSE)-VLOOKUP($A16,DATA!$A$3:$F$301,2,FALSE))^2+(VLOOKUP(AH$1,DATA!$A$3:$F$301,3,FALSE)-VLOOKUP($A16,DATA!$A$3:$F$301,3,FALSE))^2),"")</f>
        <v>27.018512172212592</v>
      </c>
      <c r="AI16" s="14">
        <f>_xlfn.IFNA(SQRT((VLOOKUP(AI$1,DATA!$A$3:$F$301,2,FALSE)-VLOOKUP($A16,DATA!$A$3:$F$301,2,FALSE))^2+(VLOOKUP(AI$1,DATA!$A$3:$F$301,3,FALSE)-VLOOKUP($A16,DATA!$A$3:$F$301,3,FALSE))^2),"")</f>
        <v>46.173585522460783</v>
      </c>
      <c r="AJ16" s="14">
        <f>_xlfn.IFNA(SQRT((VLOOKUP(AJ$1,DATA!$A$3:$F$301,2,FALSE)-VLOOKUP($A16,DATA!$A$3:$F$301,2,FALSE))^2+(VLOOKUP(AJ$1,DATA!$A$3:$F$301,3,FALSE)-VLOOKUP($A16,DATA!$A$3:$F$301,3,FALSE))^2),"")</f>
        <v>24</v>
      </c>
      <c r="AK16" s="14">
        <f>_xlfn.IFNA(SQRT((VLOOKUP(AK$1,DATA!$A$3:$F$301,2,FALSE)-VLOOKUP($A16,DATA!$A$3:$F$301,2,FALSE))^2+(VLOOKUP(AK$1,DATA!$A$3:$F$301,3,FALSE)-VLOOKUP($A16,DATA!$A$3:$F$301,3,FALSE))^2),"")</f>
        <v>27.459060435491963</v>
      </c>
      <c r="AL16" s="14">
        <f>_xlfn.IFNA(SQRT((VLOOKUP(AL$1,DATA!$A$3:$F$301,2,FALSE)-VLOOKUP($A16,DATA!$A$3:$F$301,2,FALSE))^2+(VLOOKUP(AL$1,DATA!$A$3:$F$301,3,FALSE)-VLOOKUP($A16,DATA!$A$3:$F$301,3,FALSE))^2),"")</f>
        <v>8.2462112512353212</v>
      </c>
      <c r="AM16" s="14">
        <f>_xlfn.IFNA(SQRT((VLOOKUP(AM$1,DATA!$A$3:$F$301,2,FALSE)-VLOOKUP($A16,DATA!$A$3:$F$301,2,FALSE))^2+(VLOOKUP(AM$1,DATA!$A$3:$F$301,3,FALSE)-VLOOKUP($A16,DATA!$A$3:$F$301,3,FALSE))^2),"")</f>
        <v>22.561028345356956</v>
      </c>
      <c r="AN16" s="14">
        <f>_xlfn.IFNA(SQRT((VLOOKUP(AN$1,DATA!$A$3:$F$301,2,FALSE)-VLOOKUP($A16,DATA!$A$3:$F$301,2,FALSE))^2+(VLOOKUP(AN$1,DATA!$A$3:$F$301,3,FALSE)-VLOOKUP($A16,DATA!$A$3:$F$301,3,FALSE))^2),"")</f>
        <v>41.012193308819754</v>
      </c>
      <c r="AO16" s="14">
        <f>_xlfn.IFNA(SQRT((VLOOKUP(AO$1,DATA!$A$3:$F$301,2,FALSE)-VLOOKUP($A16,DATA!$A$3:$F$301,2,FALSE))^2+(VLOOKUP(AO$1,DATA!$A$3:$F$301,3,FALSE)-VLOOKUP($A16,DATA!$A$3:$F$301,3,FALSE))^2),"")</f>
        <v>28.0178514522438</v>
      </c>
      <c r="AP16" s="14" t="str">
        <f>_xlfn.IFNA(SQRT((VLOOKUP(AP$1,DATA!$A$3:$F$301,2,FALSE)-VLOOKUP($A16,DATA!$A$3:$F$301,2,FALSE))^2+(VLOOKUP(AP$1,DATA!$A$3:$F$301,3,FALSE)-VLOOKUP($A16,DATA!$A$3:$F$301,3,FALSE))^2),"")</f>
        <v/>
      </c>
      <c r="AQ16" s="14" t="str">
        <f>_xlfn.IFNA(SQRT((VLOOKUP(AQ$1,DATA!$A$3:$F$301,2,FALSE)-VLOOKUP($A16,DATA!$A$3:$F$301,2,FALSE))^2+(VLOOKUP(AQ$1,DATA!$A$3:$F$301,3,FALSE)-VLOOKUP($A16,DATA!$A$3:$F$301,3,FALSE))^2),"")</f>
        <v/>
      </c>
      <c r="AR16" s="14" t="str">
        <f>_xlfn.IFNA(SQRT((VLOOKUP(AR$1,DATA!$A$3:$F$301,2,FALSE)-VLOOKUP($A16,DATA!$A$3:$F$301,2,FALSE))^2+(VLOOKUP(AR$1,DATA!$A$3:$F$301,3,FALSE)-VLOOKUP($A16,DATA!$A$3:$F$301,3,FALSE))^2),"")</f>
        <v/>
      </c>
      <c r="AS16" s="14" t="str">
        <f>_xlfn.IFNA(SQRT((VLOOKUP(AS$1,DATA!$A$3:$F$301,2,FALSE)-VLOOKUP($A16,DATA!$A$3:$F$301,2,FALSE))^2+(VLOOKUP(AS$1,DATA!$A$3:$F$301,3,FALSE)-VLOOKUP($A16,DATA!$A$3:$F$301,3,FALSE))^2),"")</f>
        <v/>
      </c>
      <c r="AT16" s="14" t="str">
        <f>_xlfn.IFNA(SQRT((VLOOKUP(AT$1,DATA!$A$3:$F$301,2,FALSE)-VLOOKUP($A16,DATA!$A$3:$F$301,2,FALSE))^2+(VLOOKUP(AT$1,DATA!$A$3:$F$301,3,FALSE)-VLOOKUP($A16,DATA!$A$3:$F$301,3,FALSE))^2),"")</f>
        <v/>
      </c>
      <c r="AU16" s="14" t="str">
        <f>_xlfn.IFNA(SQRT((VLOOKUP(AU$1,DATA!$A$3:$F$301,2,FALSE)-VLOOKUP($A16,DATA!$A$3:$F$301,2,FALSE))^2+(VLOOKUP(AU$1,DATA!$A$3:$F$301,3,FALSE)-VLOOKUP($A16,DATA!$A$3:$F$301,3,FALSE))^2),"")</f>
        <v/>
      </c>
      <c r="AV16" s="14" t="str">
        <f>_xlfn.IFNA(SQRT((VLOOKUP(AV$1,DATA!$A$3:$F$301,2,FALSE)-VLOOKUP($A16,DATA!$A$3:$F$301,2,FALSE))^2+(VLOOKUP(AV$1,DATA!$A$3:$F$301,3,FALSE)-VLOOKUP($A16,DATA!$A$3:$F$301,3,FALSE))^2),"")</f>
        <v/>
      </c>
      <c r="AW16" s="14" t="str">
        <f>_xlfn.IFNA(SQRT((VLOOKUP(AW$1,DATA!$A$3:$F$301,2,FALSE)-VLOOKUP($A16,DATA!$A$3:$F$301,2,FALSE))^2+(VLOOKUP(AW$1,DATA!$A$3:$F$301,3,FALSE)-VLOOKUP($A16,DATA!$A$3:$F$301,3,FALSE))^2),"")</f>
        <v/>
      </c>
      <c r="AX16" s="14" t="str">
        <f>_xlfn.IFNA(SQRT((VLOOKUP(AX$1,DATA!$A$3:$F$301,2,FALSE)-VLOOKUP($A16,DATA!$A$3:$F$301,2,FALSE))^2+(VLOOKUP(AX$1,DATA!$A$3:$F$301,3,FALSE)-VLOOKUP($A16,DATA!$A$3:$F$301,3,FALSE))^2),"")</f>
        <v/>
      </c>
      <c r="AY16" s="14" t="str">
        <f>_xlfn.IFNA(SQRT((VLOOKUP(AY$1,DATA!$A$3:$F$301,2,FALSE)-VLOOKUP($A16,DATA!$A$3:$F$301,2,FALSE))^2+(VLOOKUP(AY$1,DATA!$A$3:$F$301,3,FALSE)-VLOOKUP($A16,DATA!$A$3:$F$301,3,FALSE))^2),"")</f>
        <v/>
      </c>
      <c r="AZ16" s="14" t="str">
        <f>_xlfn.IFNA(SQRT((VLOOKUP(AZ$1,DATA!$A$3:$F$301,2,FALSE)-VLOOKUP($A16,DATA!$A$3:$F$301,2,FALSE))^2+(VLOOKUP(AZ$1,DATA!$A$3:$F$301,3,FALSE)-VLOOKUP($A16,DATA!$A$3:$F$301,3,FALSE))^2),"")</f>
        <v/>
      </c>
      <c r="BA16" s="14" t="str">
        <f>_xlfn.IFNA(SQRT((VLOOKUP(BA$1,DATA!$A$3:$F$301,2,FALSE)-VLOOKUP($A16,DATA!$A$3:$F$301,2,FALSE))^2+(VLOOKUP(BA$1,DATA!$A$3:$F$301,3,FALSE)-VLOOKUP($A16,DATA!$A$3:$F$301,3,FALSE))^2),"")</f>
        <v/>
      </c>
      <c r="BB16" s="14" t="str">
        <f>_xlfn.IFNA(SQRT((VLOOKUP(BB$1,DATA!$A$3:$F$301,2,FALSE)-VLOOKUP($A16,DATA!$A$3:$F$301,2,FALSE))^2+(VLOOKUP(BB$1,DATA!$A$3:$F$301,3,FALSE)-VLOOKUP($A16,DATA!$A$3:$F$301,3,FALSE))^2),"")</f>
        <v/>
      </c>
      <c r="BC16" s="14" t="str">
        <f>_xlfn.IFNA(SQRT((VLOOKUP(BC$1,DATA!$A$3:$F$301,2,FALSE)-VLOOKUP($A16,DATA!$A$3:$F$301,2,FALSE))^2+(VLOOKUP(BC$1,DATA!$A$3:$F$301,3,FALSE)-VLOOKUP($A16,DATA!$A$3:$F$301,3,FALSE))^2),"")</f>
        <v/>
      </c>
      <c r="BD16" s="14" t="str">
        <f>_xlfn.IFNA(SQRT((VLOOKUP(BD$1,DATA!$A$3:$F$301,2,FALSE)-VLOOKUP($A16,DATA!$A$3:$F$301,2,FALSE))^2+(VLOOKUP(BD$1,DATA!$A$3:$F$301,3,FALSE)-VLOOKUP($A16,DATA!$A$3:$F$301,3,FALSE))^2),"")</f>
        <v/>
      </c>
      <c r="BE16" s="14" t="str">
        <f>_xlfn.IFNA(SQRT((VLOOKUP(BE$1,DATA!$A$3:$F$301,2,FALSE)-VLOOKUP($A16,DATA!$A$3:$F$301,2,FALSE))^2+(VLOOKUP(BE$1,DATA!$A$3:$F$301,3,FALSE)-VLOOKUP($A16,DATA!$A$3:$F$301,3,FALSE))^2),"")</f>
        <v/>
      </c>
      <c r="BF16" s="14" t="str">
        <f>_xlfn.IFNA(SQRT((VLOOKUP(BF$1,DATA!$A$3:$F$301,2,FALSE)-VLOOKUP($A16,DATA!$A$3:$F$301,2,FALSE))^2+(VLOOKUP(BF$1,DATA!$A$3:$F$301,3,FALSE)-VLOOKUP($A16,DATA!$A$3:$F$301,3,FALSE))^2),"")</f>
        <v/>
      </c>
      <c r="BG16" s="14" t="str">
        <f>_xlfn.IFNA(SQRT((VLOOKUP(BG$1,DATA!$A$3:$F$301,2,FALSE)-VLOOKUP($A16,DATA!$A$3:$F$301,2,FALSE))^2+(VLOOKUP(BG$1,DATA!$A$3:$F$301,3,FALSE)-VLOOKUP($A16,DATA!$A$3:$F$301,3,FALSE))^2),"")</f>
        <v/>
      </c>
      <c r="BH16" s="14" t="str">
        <f>_xlfn.IFNA(SQRT((VLOOKUP(BH$1,DATA!$A$3:$F$301,2,FALSE)-VLOOKUP($A16,DATA!$A$3:$F$301,2,FALSE))^2+(VLOOKUP(BH$1,DATA!$A$3:$F$301,3,FALSE)-VLOOKUP($A16,DATA!$A$3:$F$301,3,FALSE))^2),"")</f>
        <v/>
      </c>
      <c r="BI16" s="14" t="str">
        <f>_xlfn.IFNA(SQRT((VLOOKUP(BI$1,DATA!$A$3:$F$301,2,FALSE)-VLOOKUP($A16,DATA!$A$3:$F$301,2,FALSE))^2+(VLOOKUP(BI$1,DATA!$A$3:$F$301,3,FALSE)-VLOOKUP($A16,DATA!$A$3:$F$301,3,FALSE))^2),"")</f>
        <v/>
      </c>
      <c r="BJ16" s="14" t="str">
        <f>_xlfn.IFNA(SQRT((VLOOKUP(BJ$1,DATA!$A$3:$F$301,2,FALSE)-VLOOKUP($A16,DATA!$A$3:$F$301,2,FALSE))^2+(VLOOKUP(BJ$1,DATA!$A$3:$F$301,3,FALSE)-VLOOKUP($A16,DATA!$A$3:$F$301,3,FALSE))^2),"")</f>
        <v/>
      </c>
      <c r="BK16" s="14" t="str">
        <f>_xlfn.IFNA(SQRT((VLOOKUP(BK$1,DATA!$A$3:$F$301,2,FALSE)-VLOOKUP($A16,DATA!$A$3:$F$301,2,FALSE))^2+(VLOOKUP(BK$1,DATA!$A$3:$F$301,3,FALSE)-VLOOKUP($A16,DATA!$A$3:$F$301,3,FALSE))^2),"")</f>
        <v/>
      </c>
      <c r="BL16" s="14" t="str">
        <f>_xlfn.IFNA(SQRT((VLOOKUP(BL$1,DATA!$A$3:$F$301,2,FALSE)-VLOOKUP($A16,DATA!$A$3:$F$301,2,FALSE))^2+(VLOOKUP(BL$1,DATA!$A$3:$F$301,3,FALSE)-VLOOKUP($A16,DATA!$A$3:$F$301,3,FALSE))^2),"")</f>
        <v/>
      </c>
      <c r="BM16" s="14" t="str">
        <f>_xlfn.IFNA(SQRT((VLOOKUP(BM$1,DATA!$A$3:$F$301,2,FALSE)-VLOOKUP($A16,DATA!$A$3:$F$301,2,FALSE))^2+(VLOOKUP(BM$1,DATA!$A$3:$F$301,3,FALSE)-VLOOKUP($A16,DATA!$A$3:$F$301,3,FALSE))^2),"")</f>
        <v/>
      </c>
      <c r="BN16" s="14" t="str">
        <f>_xlfn.IFNA(SQRT((VLOOKUP(BN$1,DATA!$A$3:$F$301,2,FALSE)-VLOOKUP($A16,DATA!$A$3:$F$301,2,FALSE))^2+(VLOOKUP(BN$1,DATA!$A$3:$F$301,3,FALSE)-VLOOKUP($A16,DATA!$A$3:$F$301,3,FALSE))^2),"")</f>
        <v/>
      </c>
      <c r="BO16" s="14" t="str">
        <f>_xlfn.IFNA(SQRT((VLOOKUP(BO$1,DATA!$A$3:$F$301,2,FALSE)-VLOOKUP($A16,DATA!$A$3:$F$301,2,FALSE))^2+(VLOOKUP(BO$1,DATA!$A$3:$F$301,3,FALSE)-VLOOKUP($A16,DATA!$A$3:$F$301,3,FALSE))^2),"")</f>
        <v/>
      </c>
      <c r="BP16" s="14" t="str">
        <f>_xlfn.IFNA(SQRT((VLOOKUP(BP$1,DATA!$A$3:$F$301,2,FALSE)-VLOOKUP($A16,DATA!$A$3:$F$301,2,FALSE))^2+(VLOOKUP(BP$1,DATA!$A$3:$F$301,3,FALSE)-VLOOKUP($A16,DATA!$A$3:$F$301,3,FALSE))^2),"")</f>
        <v/>
      </c>
      <c r="BQ16" s="14" t="str">
        <f>_xlfn.IFNA(SQRT((VLOOKUP(BQ$1,DATA!$A$3:$F$301,2,FALSE)-VLOOKUP($A16,DATA!$A$3:$F$301,2,FALSE))^2+(VLOOKUP(BQ$1,DATA!$A$3:$F$301,3,FALSE)-VLOOKUP($A16,DATA!$A$3:$F$301,3,FALSE))^2),"")</f>
        <v/>
      </c>
      <c r="BR16" s="14" t="str">
        <f>_xlfn.IFNA(SQRT((VLOOKUP(BR$1,DATA!$A$3:$F$301,2,FALSE)-VLOOKUP($A16,DATA!$A$3:$F$301,2,FALSE))^2+(VLOOKUP(BR$1,DATA!$A$3:$F$301,3,FALSE)-VLOOKUP($A16,DATA!$A$3:$F$301,3,FALSE))^2),"")</f>
        <v/>
      </c>
      <c r="BS16" s="14" t="str">
        <f>_xlfn.IFNA(SQRT((VLOOKUP(BS$1,DATA!$A$3:$F$301,2,FALSE)-VLOOKUP($A16,DATA!$A$3:$F$301,2,FALSE))^2+(VLOOKUP(BS$1,DATA!$A$3:$F$301,3,FALSE)-VLOOKUP($A16,DATA!$A$3:$F$301,3,FALSE))^2),"")</f>
        <v/>
      </c>
      <c r="BT16" s="14" t="str">
        <f>_xlfn.IFNA(SQRT((VLOOKUP(BT$1,DATA!$A$3:$F$301,2,FALSE)-VLOOKUP($A16,DATA!$A$3:$F$301,2,FALSE))^2+(VLOOKUP(BT$1,DATA!$A$3:$F$301,3,FALSE)-VLOOKUP($A16,DATA!$A$3:$F$301,3,FALSE))^2),"")</f>
        <v/>
      </c>
      <c r="BU16" s="14" t="str">
        <f>_xlfn.IFNA(SQRT((VLOOKUP(BU$1,DATA!$A$3:$F$301,2,FALSE)-VLOOKUP($A16,DATA!$A$3:$F$301,2,FALSE))^2+(VLOOKUP(BU$1,DATA!$A$3:$F$301,3,FALSE)-VLOOKUP($A16,DATA!$A$3:$F$301,3,FALSE))^2),"")</f>
        <v/>
      </c>
      <c r="BV16" s="14" t="str">
        <f>_xlfn.IFNA(SQRT((VLOOKUP(BV$1,DATA!$A$3:$F$301,2,FALSE)-VLOOKUP($A16,DATA!$A$3:$F$301,2,FALSE))^2+(VLOOKUP(BV$1,DATA!$A$3:$F$301,3,FALSE)-VLOOKUP($A16,DATA!$A$3:$F$301,3,FALSE))^2),"")</f>
        <v/>
      </c>
      <c r="BW16" s="14" t="str">
        <f>_xlfn.IFNA(SQRT((VLOOKUP(BW$1,DATA!$A$3:$F$301,2,FALSE)-VLOOKUP($A16,DATA!$A$3:$F$301,2,FALSE))^2+(VLOOKUP(BW$1,DATA!$A$3:$F$301,3,FALSE)-VLOOKUP($A16,DATA!$A$3:$F$301,3,FALSE))^2),"")</f>
        <v/>
      </c>
      <c r="BX16" s="14" t="str">
        <f>_xlfn.IFNA(SQRT((VLOOKUP(BX$1,DATA!$A$3:$F$301,2,FALSE)-VLOOKUP($A16,DATA!$A$3:$F$301,2,FALSE))^2+(VLOOKUP(BX$1,DATA!$A$3:$F$301,3,FALSE)-VLOOKUP($A16,DATA!$A$3:$F$301,3,FALSE))^2),"")</f>
        <v/>
      </c>
      <c r="BY16" s="14" t="str">
        <f>_xlfn.IFNA(SQRT((VLOOKUP(BY$1,DATA!$A$3:$F$301,2,FALSE)-VLOOKUP($A16,DATA!$A$3:$F$301,2,FALSE))^2+(VLOOKUP(BY$1,DATA!$A$3:$F$301,3,FALSE)-VLOOKUP($A16,DATA!$A$3:$F$301,3,FALSE))^2),"")</f>
        <v/>
      </c>
      <c r="BZ16" s="14" t="str">
        <f>_xlfn.IFNA(SQRT((VLOOKUP(BZ$1,DATA!$A$3:$F$301,2,FALSE)-VLOOKUP($A16,DATA!$A$3:$F$301,2,FALSE))^2+(VLOOKUP(BZ$1,DATA!$A$3:$F$301,3,FALSE)-VLOOKUP($A16,DATA!$A$3:$F$301,3,FALSE))^2),"")</f>
        <v/>
      </c>
      <c r="CA16" s="14" t="str">
        <f>_xlfn.IFNA(SQRT((VLOOKUP(CA$1,DATA!$A$3:$F$301,2,FALSE)-VLOOKUP($A16,DATA!$A$3:$F$301,2,FALSE))^2+(VLOOKUP(CA$1,DATA!$A$3:$F$301,3,FALSE)-VLOOKUP($A16,DATA!$A$3:$F$301,3,FALSE))^2),"")</f>
        <v/>
      </c>
      <c r="CB16" s="14" t="str">
        <f>_xlfn.IFNA(SQRT((VLOOKUP(CB$1,DATA!$A$3:$F$301,2,FALSE)-VLOOKUP($A16,DATA!$A$3:$F$301,2,FALSE))^2+(VLOOKUP(CB$1,DATA!$A$3:$F$301,3,FALSE)-VLOOKUP($A16,DATA!$A$3:$F$301,3,FALSE))^2),"")</f>
        <v/>
      </c>
      <c r="CC16" s="14" t="str">
        <f>_xlfn.IFNA(SQRT((VLOOKUP(CC$1,DATA!$A$3:$F$301,2,FALSE)-VLOOKUP($A16,DATA!$A$3:$F$301,2,FALSE))^2+(VLOOKUP(CC$1,DATA!$A$3:$F$301,3,FALSE)-VLOOKUP($A16,DATA!$A$3:$F$301,3,FALSE))^2),"")</f>
        <v/>
      </c>
      <c r="CD16" s="14" t="str">
        <f>_xlfn.IFNA(SQRT((VLOOKUP(CD$1,DATA!$A$3:$F$301,2,FALSE)-VLOOKUP($A16,DATA!$A$3:$F$301,2,FALSE))^2+(VLOOKUP(CD$1,DATA!$A$3:$F$301,3,FALSE)-VLOOKUP($A16,DATA!$A$3:$F$301,3,FALSE))^2),"")</f>
        <v/>
      </c>
      <c r="CE16" s="14" t="str">
        <f>_xlfn.IFNA(SQRT((VLOOKUP(CE$1,DATA!$A$3:$F$301,2,FALSE)-VLOOKUP($A16,DATA!$A$3:$F$301,2,FALSE))^2+(VLOOKUP(CE$1,DATA!$A$3:$F$301,3,FALSE)-VLOOKUP($A16,DATA!$A$3:$F$301,3,FALSE))^2),"")</f>
        <v/>
      </c>
      <c r="CF16" s="14" t="str">
        <f>_xlfn.IFNA(SQRT((VLOOKUP(CF$1,DATA!$A$3:$F$301,2,FALSE)-VLOOKUP($A16,DATA!$A$3:$F$301,2,FALSE))^2+(VLOOKUP(CF$1,DATA!$A$3:$F$301,3,FALSE)-VLOOKUP($A16,DATA!$A$3:$F$301,3,FALSE))^2),"")</f>
        <v/>
      </c>
      <c r="CG16" s="14" t="str">
        <f>_xlfn.IFNA(SQRT((VLOOKUP(CG$1,DATA!$A$3:$F$301,2,FALSE)-VLOOKUP($A16,DATA!$A$3:$F$301,2,FALSE))^2+(VLOOKUP(CG$1,DATA!$A$3:$F$301,3,FALSE)-VLOOKUP($A16,DATA!$A$3:$F$301,3,FALSE))^2),"")</f>
        <v/>
      </c>
      <c r="CH16" s="14" t="str">
        <f>_xlfn.IFNA(SQRT((VLOOKUP(CH$1,DATA!$A$3:$F$301,2,FALSE)-VLOOKUP($A16,DATA!$A$3:$F$301,2,FALSE))^2+(VLOOKUP(CH$1,DATA!$A$3:$F$301,3,FALSE)-VLOOKUP($A16,DATA!$A$3:$F$301,3,FALSE))^2),"")</f>
        <v/>
      </c>
      <c r="CI16" s="14" t="str">
        <f>_xlfn.IFNA(SQRT((VLOOKUP(CI$1,DATA!$A$3:$F$301,2,FALSE)-VLOOKUP($A16,DATA!$A$3:$F$301,2,FALSE))^2+(VLOOKUP(CI$1,DATA!$A$3:$F$301,3,FALSE)-VLOOKUP($A16,DATA!$A$3:$F$301,3,FALSE))^2),"")</f>
        <v/>
      </c>
      <c r="CJ16" s="14" t="str">
        <f>_xlfn.IFNA(SQRT((VLOOKUP(CJ$1,DATA!$A$3:$F$301,2,FALSE)-VLOOKUP($A16,DATA!$A$3:$F$301,2,FALSE))^2+(VLOOKUP(CJ$1,DATA!$A$3:$F$301,3,FALSE)-VLOOKUP($A16,DATA!$A$3:$F$301,3,FALSE))^2),"")</f>
        <v/>
      </c>
      <c r="CK16" s="14" t="str">
        <f>_xlfn.IFNA(SQRT((VLOOKUP(CK$1,DATA!$A$3:$F$301,2,FALSE)-VLOOKUP($A16,DATA!$A$3:$F$301,2,FALSE))^2+(VLOOKUP(CK$1,DATA!$A$3:$F$301,3,FALSE)-VLOOKUP($A16,DATA!$A$3:$F$301,3,FALSE))^2),"")</f>
        <v/>
      </c>
      <c r="CL16" s="14" t="str">
        <f>_xlfn.IFNA(SQRT((VLOOKUP(CL$1,DATA!$A$3:$F$301,2,FALSE)-VLOOKUP($A16,DATA!$A$3:$F$301,2,FALSE))^2+(VLOOKUP(CL$1,DATA!$A$3:$F$301,3,FALSE)-VLOOKUP($A16,DATA!$A$3:$F$301,3,FALSE))^2),"")</f>
        <v/>
      </c>
      <c r="CM16" s="14" t="str">
        <f>_xlfn.IFNA(SQRT((VLOOKUP(CM$1,DATA!$A$3:$F$301,2,FALSE)-VLOOKUP($A16,DATA!$A$3:$F$301,2,FALSE))^2+(VLOOKUP(CM$1,DATA!$A$3:$F$301,3,FALSE)-VLOOKUP($A16,DATA!$A$3:$F$301,3,FALSE))^2),"")</f>
        <v/>
      </c>
      <c r="CN16" s="14" t="str">
        <f>_xlfn.IFNA(SQRT((VLOOKUP(CN$1,DATA!$A$3:$F$301,2,FALSE)-VLOOKUP($A16,DATA!$A$3:$F$301,2,FALSE))^2+(VLOOKUP(CN$1,DATA!$A$3:$F$301,3,FALSE)-VLOOKUP($A16,DATA!$A$3:$F$301,3,FALSE))^2),"")</f>
        <v/>
      </c>
      <c r="CO16" s="14" t="str">
        <f>_xlfn.IFNA(SQRT((VLOOKUP(CO$1,DATA!$A$3:$F$301,2,FALSE)-VLOOKUP($A16,DATA!$A$3:$F$301,2,FALSE))^2+(VLOOKUP(CO$1,DATA!$A$3:$F$301,3,FALSE)-VLOOKUP($A16,DATA!$A$3:$F$301,3,FALSE))^2),"")</f>
        <v/>
      </c>
      <c r="CP16" s="14" t="str">
        <f>_xlfn.IFNA(SQRT((VLOOKUP(CP$1,DATA!$A$3:$F$301,2,FALSE)-VLOOKUP($A16,DATA!$A$3:$F$301,2,FALSE))^2+(VLOOKUP(CP$1,DATA!$A$3:$F$301,3,FALSE)-VLOOKUP($A16,DATA!$A$3:$F$301,3,FALSE))^2),"")</f>
        <v/>
      </c>
      <c r="CQ16" s="14" t="str">
        <f>_xlfn.IFNA(SQRT((VLOOKUP(CQ$1,DATA!$A$3:$F$301,2,FALSE)-VLOOKUP($A16,DATA!$A$3:$F$301,2,FALSE))^2+(VLOOKUP(CQ$1,DATA!$A$3:$F$301,3,FALSE)-VLOOKUP($A16,DATA!$A$3:$F$301,3,FALSE))^2),"")</f>
        <v/>
      </c>
      <c r="CR16" s="14" t="str">
        <f>_xlfn.IFNA(SQRT((VLOOKUP(CR$1,DATA!$A$3:$F$301,2,FALSE)-VLOOKUP($A16,DATA!$A$3:$F$301,2,FALSE))^2+(VLOOKUP(CR$1,DATA!$A$3:$F$301,3,FALSE)-VLOOKUP($A16,DATA!$A$3:$F$301,3,FALSE))^2),"")</f>
        <v/>
      </c>
      <c r="CS16" s="14" t="str">
        <f>_xlfn.IFNA(SQRT((VLOOKUP(CS$1,DATA!$A$3:$F$301,2,FALSE)-VLOOKUP($A16,DATA!$A$3:$F$301,2,FALSE))^2+(VLOOKUP(CS$1,DATA!$A$3:$F$301,3,FALSE)-VLOOKUP($A16,DATA!$A$3:$F$301,3,FALSE))^2),"")</f>
        <v/>
      </c>
      <c r="CT16" s="14" t="str">
        <f>_xlfn.IFNA(SQRT((VLOOKUP(CT$1,DATA!$A$3:$F$301,2,FALSE)-VLOOKUP($A16,DATA!$A$3:$F$301,2,FALSE))^2+(VLOOKUP(CT$1,DATA!$A$3:$F$301,3,FALSE)-VLOOKUP($A16,DATA!$A$3:$F$301,3,FALSE))^2),"")</f>
        <v/>
      </c>
      <c r="CU16" s="14" t="str">
        <f>_xlfn.IFNA(SQRT((VLOOKUP(CU$1,DATA!$A$3:$F$301,2,FALSE)-VLOOKUP($A16,DATA!$A$3:$F$301,2,FALSE))^2+(VLOOKUP(CU$1,DATA!$A$3:$F$301,3,FALSE)-VLOOKUP($A16,DATA!$A$3:$F$301,3,FALSE))^2),"")</f>
        <v/>
      </c>
      <c r="CV16" s="14" t="str">
        <f>_xlfn.IFNA(SQRT((VLOOKUP(CV$1,DATA!$A$3:$F$301,2,FALSE)-VLOOKUP($A16,DATA!$A$3:$F$301,2,FALSE))^2+(VLOOKUP(CV$1,DATA!$A$3:$F$301,3,FALSE)-VLOOKUP($A16,DATA!$A$3:$F$301,3,FALSE))^2),"")</f>
        <v/>
      </c>
      <c r="CW16" s="14" t="str">
        <f>_xlfn.IFNA(SQRT((VLOOKUP(CW$1,DATA!$A$3:$F$301,2,FALSE)-VLOOKUP($A16,DATA!$A$3:$F$301,2,FALSE))^2+(VLOOKUP(CW$1,DATA!$A$3:$F$301,3,FALSE)-VLOOKUP($A16,DATA!$A$3:$F$301,3,FALSE))^2),"")</f>
        <v/>
      </c>
      <c r="CX16" s="14" t="str">
        <f>_xlfn.IFNA(SQRT((VLOOKUP(CX$1,DATA!$A$3:$F$301,2,FALSE)-VLOOKUP($A16,DATA!$A$3:$F$301,2,FALSE))^2+(VLOOKUP(CX$1,DATA!$A$3:$F$301,3,FALSE)-VLOOKUP($A16,DATA!$A$3:$F$301,3,FALSE))^2),"")</f>
        <v/>
      </c>
    </row>
    <row r="17" spans="1:102">
      <c r="A17" s="13">
        <v>16</v>
      </c>
      <c r="B17" s="14">
        <f>_xlfn.IFNA(SQRT((VLOOKUP(B$1,DATA!$A$3:$F$301,2,FALSE)-VLOOKUP($A17,DATA!$A$3:$F$301,2,FALSE))^2+(VLOOKUP(B$1,DATA!$A$3:$F$301,3,FALSE)-VLOOKUP($A17,DATA!$A$3:$F$301,3,FALSE))^2),"")</f>
        <v>24.698178070456937</v>
      </c>
      <c r="C17" s="14">
        <f>_xlfn.IFNA(SQRT((VLOOKUP(C$1,DATA!$A$3:$F$301,2,FALSE)-VLOOKUP($A17,DATA!$A$3:$F$301,2,FALSE))^2+(VLOOKUP(C$1,DATA!$A$3:$F$301,3,FALSE)-VLOOKUP($A17,DATA!$A$3:$F$301,3,FALSE))^2),"")</f>
        <v>29.120439557122072</v>
      </c>
      <c r="D17" s="14">
        <f>_xlfn.IFNA(SQRT((VLOOKUP(D$1,DATA!$A$3:$F$301,2,FALSE)-VLOOKUP($A17,DATA!$A$3:$F$301,2,FALSE))^2+(VLOOKUP(D$1,DATA!$A$3:$F$301,3,FALSE)-VLOOKUP($A17,DATA!$A$3:$F$301,3,FALSE))^2),"")</f>
        <v>31.144823004794873</v>
      </c>
      <c r="E17" s="14">
        <f>_xlfn.IFNA(SQRT((VLOOKUP(E$1,DATA!$A$3:$F$301,2,FALSE)-VLOOKUP($A17,DATA!$A$3:$F$301,2,FALSE))^2+(VLOOKUP(E$1,DATA!$A$3:$F$301,3,FALSE)-VLOOKUP($A17,DATA!$A$3:$F$301,3,FALSE))^2),"")</f>
        <v>23.600847442411894</v>
      </c>
      <c r="F17" s="14">
        <f>_xlfn.IFNA(SQRT((VLOOKUP(F$1,DATA!$A$3:$F$301,2,FALSE)-VLOOKUP($A17,DATA!$A$3:$F$301,2,FALSE))^2+(VLOOKUP(F$1,DATA!$A$3:$F$301,3,FALSE)-VLOOKUP($A17,DATA!$A$3:$F$301,3,FALSE))^2),"")</f>
        <v>35.341194094144583</v>
      </c>
      <c r="G17" s="14">
        <f>_xlfn.IFNA(SQRT((VLOOKUP(G$1,DATA!$A$3:$F$301,2,FALSE)-VLOOKUP($A17,DATA!$A$3:$F$301,2,FALSE))^2+(VLOOKUP(G$1,DATA!$A$3:$F$301,3,FALSE)-VLOOKUP($A17,DATA!$A$3:$F$301,3,FALSE))^2),"")</f>
        <v>2</v>
      </c>
      <c r="H17" s="14">
        <f>_xlfn.IFNA(SQRT((VLOOKUP(H$1,DATA!$A$3:$F$301,2,FALSE)-VLOOKUP($A17,DATA!$A$3:$F$301,2,FALSE))^2+(VLOOKUP(H$1,DATA!$A$3:$F$301,3,FALSE)-VLOOKUP($A17,DATA!$A$3:$F$301,3,FALSE))^2),"")</f>
        <v>12.206555615733702</v>
      </c>
      <c r="I17" s="14">
        <f>_xlfn.IFNA(SQRT((VLOOKUP(I$1,DATA!$A$3:$F$301,2,FALSE)-VLOOKUP($A17,DATA!$A$3:$F$301,2,FALSE))^2+(VLOOKUP(I$1,DATA!$A$3:$F$301,3,FALSE)-VLOOKUP($A17,DATA!$A$3:$F$301,3,FALSE))^2),"")</f>
        <v>13.341664064126334</v>
      </c>
      <c r="J17" s="14">
        <f>_xlfn.IFNA(SQRT((VLOOKUP(J$1,DATA!$A$3:$F$301,2,FALSE)-VLOOKUP($A17,DATA!$A$3:$F$301,2,FALSE))^2+(VLOOKUP(J$1,DATA!$A$3:$F$301,3,FALSE)-VLOOKUP($A17,DATA!$A$3:$F$301,3,FALSE))^2),"")</f>
        <v>9.8488578017961039</v>
      </c>
      <c r="K17" s="14">
        <f>_xlfn.IFNA(SQRT((VLOOKUP(K$1,DATA!$A$3:$F$301,2,FALSE)-VLOOKUP($A17,DATA!$A$3:$F$301,2,FALSE))^2+(VLOOKUP(K$1,DATA!$A$3:$F$301,3,FALSE)-VLOOKUP($A17,DATA!$A$3:$F$301,3,FALSE))^2),"")</f>
        <v>36.055512754639892</v>
      </c>
      <c r="L17" s="14">
        <f>_xlfn.IFNA(SQRT((VLOOKUP(L$1,DATA!$A$3:$F$301,2,FALSE)-VLOOKUP($A17,DATA!$A$3:$F$301,2,FALSE))^2+(VLOOKUP(L$1,DATA!$A$3:$F$301,3,FALSE)-VLOOKUP($A17,DATA!$A$3:$F$301,3,FALSE))^2),"")</f>
        <v>7.2111025509279782</v>
      </c>
      <c r="M17" s="14">
        <f>_xlfn.IFNA(SQRT((VLOOKUP(M$1,DATA!$A$3:$F$301,2,FALSE)-VLOOKUP($A17,DATA!$A$3:$F$301,2,FALSE))^2+(VLOOKUP(M$1,DATA!$A$3:$F$301,3,FALSE)-VLOOKUP($A17,DATA!$A$3:$F$301,3,FALSE))^2),"")</f>
        <v>21.213203435596427</v>
      </c>
      <c r="N17" s="14">
        <f>_xlfn.IFNA(SQRT((VLOOKUP(N$1,DATA!$A$3:$F$301,2,FALSE)-VLOOKUP($A17,DATA!$A$3:$F$301,2,FALSE))^2+(VLOOKUP(N$1,DATA!$A$3:$F$301,3,FALSE)-VLOOKUP($A17,DATA!$A$3:$F$301,3,FALSE))^2),"")</f>
        <v>18.788294228055936</v>
      </c>
      <c r="O17" s="14">
        <f>_xlfn.IFNA(SQRT((VLOOKUP(O$1,DATA!$A$3:$F$301,2,FALSE)-VLOOKUP($A17,DATA!$A$3:$F$301,2,FALSE))^2+(VLOOKUP(O$1,DATA!$A$3:$F$301,3,FALSE)-VLOOKUP($A17,DATA!$A$3:$F$301,3,FALSE))^2),"")</f>
        <v>40.496913462633174</v>
      </c>
      <c r="P17" s="14">
        <f>_xlfn.IFNA(SQRT((VLOOKUP(P$1,DATA!$A$3:$F$301,2,FALSE)-VLOOKUP($A17,DATA!$A$3:$F$301,2,FALSE))^2+(VLOOKUP(P$1,DATA!$A$3:$F$301,3,FALSE)-VLOOKUP($A17,DATA!$A$3:$F$301,3,FALSE))^2),"")</f>
        <v>22.135943621178654</v>
      </c>
      <c r="Q17" s="14">
        <f>_xlfn.IFNA(SQRT((VLOOKUP(Q$1,DATA!$A$3:$F$301,2,FALSE)-VLOOKUP($A17,DATA!$A$3:$F$301,2,FALSE))^2+(VLOOKUP(Q$1,DATA!$A$3:$F$301,3,FALSE)-VLOOKUP($A17,DATA!$A$3:$F$301,3,FALSE))^2),"")</f>
        <v>0</v>
      </c>
      <c r="R17" s="14">
        <f>_xlfn.IFNA(SQRT((VLOOKUP(R$1,DATA!$A$3:$F$301,2,FALSE)-VLOOKUP($A17,DATA!$A$3:$F$301,2,FALSE))^2+(VLOOKUP(R$1,DATA!$A$3:$F$301,3,FALSE)-VLOOKUP($A17,DATA!$A$3:$F$301,3,FALSE))^2),"")</f>
        <v>23.345235059857504</v>
      </c>
      <c r="S17" s="14">
        <f>_xlfn.IFNA(SQRT((VLOOKUP(S$1,DATA!$A$3:$F$301,2,FALSE)-VLOOKUP($A17,DATA!$A$3:$F$301,2,FALSE))^2+(VLOOKUP(S$1,DATA!$A$3:$F$301,3,FALSE)-VLOOKUP($A17,DATA!$A$3:$F$301,3,FALSE))^2),"")</f>
        <v>7.810249675906654</v>
      </c>
      <c r="T17" s="14">
        <f>_xlfn.IFNA(SQRT((VLOOKUP(T$1,DATA!$A$3:$F$301,2,FALSE)-VLOOKUP($A17,DATA!$A$3:$F$301,2,FALSE))^2+(VLOOKUP(T$1,DATA!$A$3:$F$301,3,FALSE)-VLOOKUP($A17,DATA!$A$3:$F$301,3,FALSE))^2),"")</f>
        <v>31.89043743820395</v>
      </c>
      <c r="U17" s="14">
        <f>_xlfn.IFNA(SQRT((VLOOKUP(U$1,DATA!$A$3:$F$301,2,FALSE)-VLOOKUP($A17,DATA!$A$3:$F$301,2,FALSE))^2+(VLOOKUP(U$1,DATA!$A$3:$F$301,3,FALSE)-VLOOKUP($A17,DATA!$A$3:$F$301,3,FALSE))^2),"")</f>
        <v>20.124611797498108</v>
      </c>
      <c r="V17" s="14">
        <f>_xlfn.IFNA(SQRT((VLOOKUP(V$1,DATA!$A$3:$F$301,2,FALSE)-VLOOKUP($A17,DATA!$A$3:$F$301,2,FALSE))^2+(VLOOKUP(V$1,DATA!$A$3:$F$301,3,FALSE)-VLOOKUP($A17,DATA!$A$3:$F$301,3,FALSE))^2),"")</f>
        <v>8</v>
      </c>
      <c r="W17" s="14">
        <f>_xlfn.IFNA(SQRT((VLOOKUP(W$1,DATA!$A$3:$F$301,2,FALSE)-VLOOKUP($A17,DATA!$A$3:$F$301,2,FALSE))^2+(VLOOKUP(W$1,DATA!$A$3:$F$301,3,FALSE)-VLOOKUP($A17,DATA!$A$3:$F$301,3,FALSE))^2),"")</f>
        <v>15.524174696260024</v>
      </c>
      <c r="X17" s="14">
        <f>_xlfn.IFNA(SQRT((VLOOKUP(X$1,DATA!$A$3:$F$301,2,FALSE)-VLOOKUP($A17,DATA!$A$3:$F$301,2,FALSE))^2+(VLOOKUP(X$1,DATA!$A$3:$F$301,3,FALSE)-VLOOKUP($A17,DATA!$A$3:$F$301,3,FALSE))^2),"")</f>
        <v>18.867962264113206</v>
      </c>
      <c r="Y17" s="14">
        <f>_xlfn.IFNA(SQRT((VLOOKUP(Y$1,DATA!$A$3:$F$301,2,FALSE)-VLOOKUP($A17,DATA!$A$3:$F$301,2,FALSE))^2+(VLOOKUP(Y$1,DATA!$A$3:$F$301,3,FALSE)-VLOOKUP($A17,DATA!$A$3:$F$301,3,FALSE))^2),"")</f>
        <v>12.165525060596439</v>
      </c>
      <c r="Z17" s="14">
        <f>_xlfn.IFNA(SQRT((VLOOKUP(Z$1,DATA!$A$3:$F$301,2,FALSE)-VLOOKUP($A17,DATA!$A$3:$F$301,2,FALSE))^2+(VLOOKUP(Z$1,DATA!$A$3:$F$301,3,FALSE)-VLOOKUP($A17,DATA!$A$3:$F$301,3,FALSE))^2),"")</f>
        <v>24.738633753705962</v>
      </c>
      <c r="AA17" s="14">
        <f>_xlfn.IFNA(SQRT((VLOOKUP(AA$1,DATA!$A$3:$F$301,2,FALSE)-VLOOKUP($A17,DATA!$A$3:$F$301,2,FALSE))^2+(VLOOKUP(AA$1,DATA!$A$3:$F$301,3,FALSE)-VLOOKUP($A17,DATA!$A$3:$F$301,3,FALSE))^2),"")</f>
        <v>17.691806012954132</v>
      </c>
      <c r="AB17" s="14">
        <f>_xlfn.IFNA(SQRT((VLOOKUP(AB$1,DATA!$A$3:$F$301,2,FALSE)-VLOOKUP($A17,DATA!$A$3:$F$301,2,FALSE))^2+(VLOOKUP(AB$1,DATA!$A$3:$F$301,3,FALSE)-VLOOKUP($A17,DATA!$A$3:$F$301,3,FALSE))^2),"")</f>
        <v>33.97057550292606</v>
      </c>
      <c r="AC17" s="14">
        <f>_xlfn.IFNA(SQRT((VLOOKUP(AC$1,DATA!$A$3:$F$301,2,FALSE)-VLOOKUP($A17,DATA!$A$3:$F$301,2,FALSE))^2+(VLOOKUP(AC$1,DATA!$A$3:$F$301,3,FALSE)-VLOOKUP($A17,DATA!$A$3:$F$301,3,FALSE))^2),"")</f>
        <v>26.419689627245813</v>
      </c>
      <c r="AD17" s="14">
        <f>_xlfn.IFNA(SQRT((VLOOKUP(AD$1,DATA!$A$3:$F$301,2,FALSE)-VLOOKUP($A17,DATA!$A$3:$F$301,2,FALSE))^2+(VLOOKUP(AD$1,DATA!$A$3:$F$301,3,FALSE)-VLOOKUP($A17,DATA!$A$3:$F$301,3,FALSE))^2),"")</f>
        <v>20.615528128088304</v>
      </c>
      <c r="AE17" s="14">
        <f>_xlfn.IFNA(SQRT((VLOOKUP(AE$1,DATA!$A$3:$F$301,2,FALSE)-VLOOKUP($A17,DATA!$A$3:$F$301,2,FALSE))^2+(VLOOKUP(AE$1,DATA!$A$3:$F$301,3,FALSE)-VLOOKUP($A17,DATA!$A$3:$F$301,3,FALSE))^2),"")</f>
        <v>40.80441152620633</v>
      </c>
      <c r="AF17" s="14">
        <f>_xlfn.IFNA(SQRT((VLOOKUP(AF$1,DATA!$A$3:$F$301,2,FALSE)-VLOOKUP($A17,DATA!$A$3:$F$301,2,FALSE))^2+(VLOOKUP(AF$1,DATA!$A$3:$F$301,3,FALSE)-VLOOKUP($A17,DATA!$A$3:$F$301,3,FALSE))^2),"")</f>
        <v>18.248287590894659</v>
      </c>
      <c r="AG17" s="14">
        <f>_xlfn.IFNA(SQRT((VLOOKUP(AG$1,DATA!$A$3:$F$301,2,FALSE)-VLOOKUP($A17,DATA!$A$3:$F$301,2,FALSE))^2+(VLOOKUP(AG$1,DATA!$A$3:$F$301,3,FALSE)-VLOOKUP($A17,DATA!$A$3:$F$301,3,FALSE))^2),"")</f>
        <v>25.495097567963924</v>
      </c>
      <c r="AH17" s="14">
        <f>_xlfn.IFNA(SQRT((VLOOKUP(AH$1,DATA!$A$3:$F$301,2,FALSE)-VLOOKUP($A17,DATA!$A$3:$F$301,2,FALSE))^2+(VLOOKUP(AH$1,DATA!$A$3:$F$301,3,FALSE)-VLOOKUP($A17,DATA!$A$3:$F$301,3,FALSE))^2),"")</f>
        <v>10</v>
      </c>
      <c r="AI17" s="14">
        <f>_xlfn.IFNA(SQRT((VLOOKUP(AI$1,DATA!$A$3:$F$301,2,FALSE)-VLOOKUP($A17,DATA!$A$3:$F$301,2,FALSE))^2+(VLOOKUP(AI$1,DATA!$A$3:$F$301,3,FALSE)-VLOOKUP($A17,DATA!$A$3:$F$301,3,FALSE))^2),"")</f>
        <v>24.041630560342615</v>
      </c>
      <c r="AJ17" s="14">
        <f>_xlfn.IFNA(SQRT((VLOOKUP(AJ$1,DATA!$A$3:$F$301,2,FALSE)-VLOOKUP($A17,DATA!$A$3:$F$301,2,FALSE))^2+(VLOOKUP(AJ$1,DATA!$A$3:$F$301,3,FALSE)-VLOOKUP($A17,DATA!$A$3:$F$301,3,FALSE))^2),"")</f>
        <v>7.6157731058639087</v>
      </c>
      <c r="AK17" s="14">
        <f>_xlfn.IFNA(SQRT((VLOOKUP(AK$1,DATA!$A$3:$F$301,2,FALSE)-VLOOKUP($A17,DATA!$A$3:$F$301,2,FALSE))^2+(VLOOKUP(AK$1,DATA!$A$3:$F$301,3,FALSE)-VLOOKUP($A17,DATA!$A$3:$F$301,3,FALSE))^2),"")</f>
        <v>17.088007490635061</v>
      </c>
      <c r="AL17" s="14">
        <f>_xlfn.IFNA(SQRT((VLOOKUP(AL$1,DATA!$A$3:$F$301,2,FALSE)-VLOOKUP($A17,DATA!$A$3:$F$301,2,FALSE))^2+(VLOOKUP(AL$1,DATA!$A$3:$F$301,3,FALSE)-VLOOKUP($A17,DATA!$A$3:$F$301,3,FALSE))^2),"")</f>
        <v>23.021728866442675</v>
      </c>
      <c r="AM17" s="14">
        <f>_xlfn.IFNA(SQRT((VLOOKUP(AM$1,DATA!$A$3:$F$301,2,FALSE)-VLOOKUP($A17,DATA!$A$3:$F$301,2,FALSE))^2+(VLOOKUP(AM$1,DATA!$A$3:$F$301,3,FALSE)-VLOOKUP($A17,DATA!$A$3:$F$301,3,FALSE))^2),"")</f>
        <v>21.931712199461309</v>
      </c>
      <c r="AN17" s="14">
        <f>_xlfn.IFNA(SQRT((VLOOKUP(AN$1,DATA!$A$3:$F$301,2,FALSE)-VLOOKUP($A17,DATA!$A$3:$F$301,2,FALSE))^2+(VLOOKUP(AN$1,DATA!$A$3:$F$301,3,FALSE)-VLOOKUP($A17,DATA!$A$3:$F$301,3,FALSE))^2),"")</f>
        <v>21.540659228538015</v>
      </c>
      <c r="AO17" s="14">
        <f>_xlfn.IFNA(SQRT((VLOOKUP(AO$1,DATA!$A$3:$F$301,2,FALSE)-VLOOKUP($A17,DATA!$A$3:$F$301,2,FALSE))^2+(VLOOKUP(AO$1,DATA!$A$3:$F$301,3,FALSE)-VLOOKUP($A17,DATA!$A$3:$F$301,3,FALSE))^2),"")</f>
        <v>16.763054614240211</v>
      </c>
      <c r="AP17" s="14" t="str">
        <f>_xlfn.IFNA(SQRT((VLOOKUP(AP$1,DATA!$A$3:$F$301,2,FALSE)-VLOOKUP($A17,DATA!$A$3:$F$301,2,FALSE))^2+(VLOOKUP(AP$1,DATA!$A$3:$F$301,3,FALSE)-VLOOKUP($A17,DATA!$A$3:$F$301,3,FALSE))^2),"")</f>
        <v/>
      </c>
      <c r="AQ17" s="14" t="str">
        <f>_xlfn.IFNA(SQRT((VLOOKUP(AQ$1,DATA!$A$3:$F$301,2,FALSE)-VLOOKUP($A17,DATA!$A$3:$F$301,2,FALSE))^2+(VLOOKUP(AQ$1,DATA!$A$3:$F$301,3,FALSE)-VLOOKUP($A17,DATA!$A$3:$F$301,3,FALSE))^2),"")</f>
        <v/>
      </c>
      <c r="AR17" s="14" t="str">
        <f>_xlfn.IFNA(SQRT((VLOOKUP(AR$1,DATA!$A$3:$F$301,2,FALSE)-VLOOKUP($A17,DATA!$A$3:$F$301,2,FALSE))^2+(VLOOKUP(AR$1,DATA!$A$3:$F$301,3,FALSE)-VLOOKUP($A17,DATA!$A$3:$F$301,3,FALSE))^2),"")</f>
        <v/>
      </c>
      <c r="AS17" s="14" t="str">
        <f>_xlfn.IFNA(SQRT((VLOOKUP(AS$1,DATA!$A$3:$F$301,2,FALSE)-VLOOKUP($A17,DATA!$A$3:$F$301,2,FALSE))^2+(VLOOKUP(AS$1,DATA!$A$3:$F$301,3,FALSE)-VLOOKUP($A17,DATA!$A$3:$F$301,3,FALSE))^2),"")</f>
        <v/>
      </c>
      <c r="AT17" s="14" t="str">
        <f>_xlfn.IFNA(SQRT((VLOOKUP(AT$1,DATA!$A$3:$F$301,2,FALSE)-VLOOKUP($A17,DATA!$A$3:$F$301,2,FALSE))^2+(VLOOKUP(AT$1,DATA!$A$3:$F$301,3,FALSE)-VLOOKUP($A17,DATA!$A$3:$F$301,3,FALSE))^2),"")</f>
        <v/>
      </c>
      <c r="AU17" s="14" t="str">
        <f>_xlfn.IFNA(SQRT((VLOOKUP(AU$1,DATA!$A$3:$F$301,2,FALSE)-VLOOKUP($A17,DATA!$A$3:$F$301,2,FALSE))^2+(VLOOKUP(AU$1,DATA!$A$3:$F$301,3,FALSE)-VLOOKUP($A17,DATA!$A$3:$F$301,3,FALSE))^2),"")</f>
        <v/>
      </c>
      <c r="AV17" s="14" t="str">
        <f>_xlfn.IFNA(SQRT((VLOOKUP(AV$1,DATA!$A$3:$F$301,2,FALSE)-VLOOKUP($A17,DATA!$A$3:$F$301,2,FALSE))^2+(VLOOKUP(AV$1,DATA!$A$3:$F$301,3,FALSE)-VLOOKUP($A17,DATA!$A$3:$F$301,3,FALSE))^2),"")</f>
        <v/>
      </c>
      <c r="AW17" s="14" t="str">
        <f>_xlfn.IFNA(SQRT((VLOOKUP(AW$1,DATA!$A$3:$F$301,2,FALSE)-VLOOKUP($A17,DATA!$A$3:$F$301,2,FALSE))^2+(VLOOKUP(AW$1,DATA!$A$3:$F$301,3,FALSE)-VLOOKUP($A17,DATA!$A$3:$F$301,3,FALSE))^2),"")</f>
        <v/>
      </c>
      <c r="AX17" s="14" t="str">
        <f>_xlfn.IFNA(SQRT((VLOOKUP(AX$1,DATA!$A$3:$F$301,2,FALSE)-VLOOKUP($A17,DATA!$A$3:$F$301,2,FALSE))^2+(VLOOKUP(AX$1,DATA!$A$3:$F$301,3,FALSE)-VLOOKUP($A17,DATA!$A$3:$F$301,3,FALSE))^2),"")</f>
        <v/>
      </c>
      <c r="AY17" s="14" t="str">
        <f>_xlfn.IFNA(SQRT((VLOOKUP(AY$1,DATA!$A$3:$F$301,2,FALSE)-VLOOKUP($A17,DATA!$A$3:$F$301,2,FALSE))^2+(VLOOKUP(AY$1,DATA!$A$3:$F$301,3,FALSE)-VLOOKUP($A17,DATA!$A$3:$F$301,3,FALSE))^2),"")</f>
        <v/>
      </c>
      <c r="AZ17" s="14" t="str">
        <f>_xlfn.IFNA(SQRT((VLOOKUP(AZ$1,DATA!$A$3:$F$301,2,FALSE)-VLOOKUP($A17,DATA!$A$3:$F$301,2,FALSE))^2+(VLOOKUP(AZ$1,DATA!$A$3:$F$301,3,FALSE)-VLOOKUP($A17,DATA!$A$3:$F$301,3,FALSE))^2),"")</f>
        <v/>
      </c>
      <c r="BA17" s="14" t="str">
        <f>_xlfn.IFNA(SQRT((VLOOKUP(BA$1,DATA!$A$3:$F$301,2,FALSE)-VLOOKUP($A17,DATA!$A$3:$F$301,2,FALSE))^2+(VLOOKUP(BA$1,DATA!$A$3:$F$301,3,FALSE)-VLOOKUP($A17,DATA!$A$3:$F$301,3,FALSE))^2),"")</f>
        <v/>
      </c>
      <c r="BB17" s="14" t="str">
        <f>_xlfn.IFNA(SQRT((VLOOKUP(BB$1,DATA!$A$3:$F$301,2,FALSE)-VLOOKUP($A17,DATA!$A$3:$F$301,2,FALSE))^2+(VLOOKUP(BB$1,DATA!$A$3:$F$301,3,FALSE)-VLOOKUP($A17,DATA!$A$3:$F$301,3,FALSE))^2),"")</f>
        <v/>
      </c>
      <c r="BC17" s="14" t="str">
        <f>_xlfn.IFNA(SQRT((VLOOKUP(BC$1,DATA!$A$3:$F$301,2,FALSE)-VLOOKUP($A17,DATA!$A$3:$F$301,2,FALSE))^2+(VLOOKUP(BC$1,DATA!$A$3:$F$301,3,FALSE)-VLOOKUP($A17,DATA!$A$3:$F$301,3,FALSE))^2),"")</f>
        <v/>
      </c>
      <c r="BD17" s="14" t="str">
        <f>_xlfn.IFNA(SQRT((VLOOKUP(BD$1,DATA!$A$3:$F$301,2,FALSE)-VLOOKUP($A17,DATA!$A$3:$F$301,2,FALSE))^2+(VLOOKUP(BD$1,DATA!$A$3:$F$301,3,FALSE)-VLOOKUP($A17,DATA!$A$3:$F$301,3,FALSE))^2),"")</f>
        <v/>
      </c>
      <c r="BE17" s="14" t="str">
        <f>_xlfn.IFNA(SQRT((VLOOKUP(BE$1,DATA!$A$3:$F$301,2,FALSE)-VLOOKUP($A17,DATA!$A$3:$F$301,2,FALSE))^2+(VLOOKUP(BE$1,DATA!$A$3:$F$301,3,FALSE)-VLOOKUP($A17,DATA!$A$3:$F$301,3,FALSE))^2),"")</f>
        <v/>
      </c>
      <c r="BF17" s="14" t="str">
        <f>_xlfn.IFNA(SQRT((VLOOKUP(BF$1,DATA!$A$3:$F$301,2,FALSE)-VLOOKUP($A17,DATA!$A$3:$F$301,2,FALSE))^2+(VLOOKUP(BF$1,DATA!$A$3:$F$301,3,FALSE)-VLOOKUP($A17,DATA!$A$3:$F$301,3,FALSE))^2),"")</f>
        <v/>
      </c>
      <c r="BG17" s="14" t="str">
        <f>_xlfn.IFNA(SQRT((VLOOKUP(BG$1,DATA!$A$3:$F$301,2,FALSE)-VLOOKUP($A17,DATA!$A$3:$F$301,2,FALSE))^2+(VLOOKUP(BG$1,DATA!$A$3:$F$301,3,FALSE)-VLOOKUP($A17,DATA!$A$3:$F$301,3,FALSE))^2),"")</f>
        <v/>
      </c>
      <c r="BH17" s="14" t="str">
        <f>_xlfn.IFNA(SQRT((VLOOKUP(BH$1,DATA!$A$3:$F$301,2,FALSE)-VLOOKUP($A17,DATA!$A$3:$F$301,2,FALSE))^2+(VLOOKUP(BH$1,DATA!$A$3:$F$301,3,FALSE)-VLOOKUP($A17,DATA!$A$3:$F$301,3,FALSE))^2),"")</f>
        <v/>
      </c>
      <c r="BI17" s="14" t="str">
        <f>_xlfn.IFNA(SQRT((VLOOKUP(BI$1,DATA!$A$3:$F$301,2,FALSE)-VLOOKUP($A17,DATA!$A$3:$F$301,2,FALSE))^2+(VLOOKUP(BI$1,DATA!$A$3:$F$301,3,FALSE)-VLOOKUP($A17,DATA!$A$3:$F$301,3,FALSE))^2),"")</f>
        <v/>
      </c>
      <c r="BJ17" s="14" t="str">
        <f>_xlfn.IFNA(SQRT((VLOOKUP(BJ$1,DATA!$A$3:$F$301,2,FALSE)-VLOOKUP($A17,DATA!$A$3:$F$301,2,FALSE))^2+(VLOOKUP(BJ$1,DATA!$A$3:$F$301,3,FALSE)-VLOOKUP($A17,DATA!$A$3:$F$301,3,FALSE))^2),"")</f>
        <v/>
      </c>
      <c r="BK17" s="14" t="str">
        <f>_xlfn.IFNA(SQRT((VLOOKUP(BK$1,DATA!$A$3:$F$301,2,FALSE)-VLOOKUP($A17,DATA!$A$3:$F$301,2,FALSE))^2+(VLOOKUP(BK$1,DATA!$A$3:$F$301,3,FALSE)-VLOOKUP($A17,DATA!$A$3:$F$301,3,FALSE))^2),"")</f>
        <v/>
      </c>
      <c r="BL17" s="14" t="str">
        <f>_xlfn.IFNA(SQRT((VLOOKUP(BL$1,DATA!$A$3:$F$301,2,FALSE)-VLOOKUP($A17,DATA!$A$3:$F$301,2,FALSE))^2+(VLOOKUP(BL$1,DATA!$A$3:$F$301,3,FALSE)-VLOOKUP($A17,DATA!$A$3:$F$301,3,FALSE))^2),"")</f>
        <v/>
      </c>
      <c r="BM17" s="14" t="str">
        <f>_xlfn.IFNA(SQRT((VLOOKUP(BM$1,DATA!$A$3:$F$301,2,FALSE)-VLOOKUP($A17,DATA!$A$3:$F$301,2,FALSE))^2+(VLOOKUP(BM$1,DATA!$A$3:$F$301,3,FALSE)-VLOOKUP($A17,DATA!$A$3:$F$301,3,FALSE))^2),"")</f>
        <v/>
      </c>
      <c r="BN17" s="14" t="str">
        <f>_xlfn.IFNA(SQRT((VLOOKUP(BN$1,DATA!$A$3:$F$301,2,FALSE)-VLOOKUP($A17,DATA!$A$3:$F$301,2,FALSE))^2+(VLOOKUP(BN$1,DATA!$A$3:$F$301,3,FALSE)-VLOOKUP($A17,DATA!$A$3:$F$301,3,FALSE))^2),"")</f>
        <v/>
      </c>
      <c r="BO17" s="14" t="str">
        <f>_xlfn.IFNA(SQRT((VLOOKUP(BO$1,DATA!$A$3:$F$301,2,FALSE)-VLOOKUP($A17,DATA!$A$3:$F$301,2,FALSE))^2+(VLOOKUP(BO$1,DATA!$A$3:$F$301,3,FALSE)-VLOOKUP($A17,DATA!$A$3:$F$301,3,FALSE))^2),"")</f>
        <v/>
      </c>
      <c r="BP17" s="14" t="str">
        <f>_xlfn.IFNA(SQRT((VLOOKUP(BP$1,DATA!$A$3:$F$301,2,FALSE)-VLOOKUP($A17,DATA!$A$3:$F$301,2,FALSE))^2+(VLOOKUP(BP$1,DATA!$A$3:$F$301,3,FALSE)-VLOOKUP($A17,DATA!$A$3:$F$301,3,FALSE))^2),"")</f>
        <v/>
      </c>
      <c r="BQ17" s="14" t="str">
        <f>_xlfn.IFNA(SQRT((VLOOKUP(BQ$1,DATA!$A$3:$F$301,2,FALSE)-VLOOKUP($A17,DATA!$A$3:$F$301,2,FALSE))^2+(VLOOKUP(BQ$1,DATA!$A$3:$F$301,3,FALSE)-VLOOKUP($A17,DATA!$A$3:$F$301,3,FALSE))^2),"")</f>
        <v/>
      </c>
      <c r="BR17" s="14" t="str">
        <f>_xlfn.IFNA(SQRT((VLOOKUP(BR$1,DATA!$A$3:$F$301,2,FALSE)-VLOOKUP($A17,DATA!$A$3:$F$301,2,FALSE))^2+(VLOOKUP(BR$1,DATA!$A$3:$F$301,3,FALSE)-VLOOKUP($A17,DATA!$A$3:$F$301,3,FALSE))^2),"")</f>
        <v/>
      </c>
      <c r="BS17" s="14" t="str">
        <f>_xlfn.IFNA(SQRT((VLOOKUP(BS$1,DATA!$A$3:$F$301,2,FALSE)-VLOOKUP($A17,DATA!$A$3:$F$301,2,FALSE))^2+(VLOOKUP(BS$1,DATA!$A$3:$F$301,3,FALSE)-VLOOKUP($A17,DATA!$A$3:$F$301,3,FALSE))^2),"")</f>
        <v/>
      </c>
      <c r="BT17" s="14" t="str">
        <f>_xlfn.IFNA(SQRT((VLOOKUP(BT$1,DATA!$A$3:$F$301,2,FALSE)-VLOOKUP($A17,DATA!$A$3:$F$301,2,FALSE))^2+(VLOOKUP(BT$1,DATA!$A$3:$F$301,3,FALSE)-VLOOKUP($A17,DATA!$A$3:$F$301,3,FALSE))^2),"")</f>
        <v/>
      </c>
      <c r="BU17" s="14" t="str">
        <f>_xlfn.IFNA(SQRT((VLOOKUP(BU$1,DATA!$A$3:$F$301,2,FALSE)-VLOOKUP($A17,DATA!$A$3:$F$301,2,FALSE))^2+(VLOOKUP(BU$1,DATA!$A$3:$F$301,3,FALSE)-VLOOKUP($A17,DATA!$A$3:$F$301,3,FALSE))^2),"")</f>
        <v/>
      </c>
      <c r="BV17" s="14" t="str">
        <f>_xlfn.IFNA(SQRT((VLOOKUP(BV$1,DATA!$A$3:$F$301,2,FALSE)-VLOOKUP($A17,DATA!$A$3:$F$301,2,FALSE))^2+(VLOOKUP(BV$1,DATA!$A$3:$F$301,3,FALSE)-VLOOKUP($A17,DATA!$A$3:$F$301,3,FALSE))^2),"")</f>
        <v/>
      </c>
      <c r="BW17" s="14" t="str">
        <f>_xlfn.IFNA(SQRT((VLOOKUP(BW$1,DATA!$A$3:$F$301,2,FALSE)-VLOOKUP($A17,DATA!$A$3:$F$301,2,FALSE))^2+(VLOOKUP(BW$1,DATA!$A$3:$F$301,3,FALSE)-VLOOKUP($A17,DATA!$A$3:$F$301,3,FALSE))^2),"")</f>
        <v/>
      </c>
      <c r="BX17" s="14" t="str">
        <f>_xlfn.IFNA(SQRT((VLOOKUP(BX$1,DATA!$A$3:$F$301,2,FALSE)-VLOOKUP($A17,DATA!$A$3:$F$301,2,FALSE))^2+(VLOOKUP(BX$1,DATA!$A$3:$F$301,3,FALSE)-VLOOKUP($A17,DATA!$A$3:$F$301,3,FALSE))^2),"")</f>
        <v/>
      </c>
      <c r="BY17" s="14" t="str">
        <f>_xlfn.IFNA(SQRT((VLOOKUP(BY$1,DATA!$A$3:$F$301,2,FALSE)-VLOOKUP($A17,DATA!$A$3:$F$301,2,FALSE))^2+(VLOOKUP(BY$1,DATA!$A$3:$F$301,3,FALSE)-VLOOKUP($A17,DATA!$A$3:$F$301,3,FALSE))^2),"")</f>
        <v/>
      </c>
      <c r="BZ17" s="14" t="str">
        <f>_xlfn.IFNA(SQRT((VLOOKUP(BZ$1,DATA!$A$3:$F$301,2,FALSE)-VLOOKUP($A17,DATA!$A$3:$F$301,2,FALSE))^2+(VLOOKUP(BZ$1,DATA!$A$3:$F$301,3,FALSE)-VLOOKUP($A17,DATA!$A$3:$F$301,3,FALSE))^2),"")</f>
        <v/>
      </c>
      <c r="CA17" s="14" t="str">
        <f>_xlfn.IFNA(SQRT((VLOOKUP(CA$1,DATA!$A$3:$F$301,2,FALSE)-VLOOKUP($A17,DATA!$A$3:$F$301,2,FALSE))^2+(VLOOKUP(CA$1,DATA!$A$3:$F$301,3,FALSE)-VLOOKUP($A17,DATA!$A$3:$F$301,3,FALSE))^2),"")</f>
        <v/>
      </c>
      <c r="CB17" s="14" t="str">
        <f>_xlfn.IFNA(SQRT((VLOOKUP(CB$1,DATA!$A$3:$F$301,2,FALSE)-VLOOKUP($A17,DATA!$A$3:$F$301,2,FALSE))^2+(VLOOKUP(CB$1,DATA!$A$3:$F$301,3,FALSE)-VLOOKUP($A17,DATA!$A$3:$F$301,3,FALSE))^2),"")</f>
        <v/>
      </c>
      <c r="CC17" s="14" t="str">
        <f>_xlfn.IFNA(SQRT((VLOOKUP(CC$1,DATA!$A$3:$F$301,2,FALSE)-VLOOKUP($A17,DATA!$A$3:$F$301,2,FALSE))^2+(VLOOKUP(CC$1,DATA!$A$3:$F$301,3,FALSE)-VLOOKUP($A17,DATA!$A$3:$F$301,3,FALSE))^2),"")</f>
        <v/>
      </c>
      <c r="CD17" s="14" t="str">
        <f>_xlfn.IFNA(SQRT((VLOOKUP(CD$1,DATA!$A$3:$F$301,2,FALSE)-VLOOKUP($A17,DATA!$A$3:$F$301,2,FALSE))^2+(VLOOKUP(CD$1,DATA!$A$3:$F$301,3,FALSE)-VLOOKUP($A17,DATA!$A$3:$F$301,3,FALSE))^2),"")</f>
        <v/>
      </c>
      <c r="CE17" s="14" t="str">
        <f>_xlfn.IFNA(SQRT((VLOOKUP(CE$1,DATA!$A$3:$F$301,2,FALSE)-VLOOKUP($A17,DATA!$A$3:$F$301,2,FALSE))^2+(VLOOKUP(CE$1,DATA!$A$3:$F$301,3,FALSE)-VLOOKUP($A17,DATA!$A$3:$F$301,3,FALSE))^2),"")</f>
        <v/>
      </c>
      <c r="CF17" s="14" t="str">
        <f>_xlfn.IFNA(SQRT((VLOOKUP(CF$1,DATA!$A$3:$F$301,2,FALSE)-VLOOKUP($A17,DATA!$A$3:$F$301,2,FALSE))^2+(VLOOKUP(CF$1,DATA!$A$3:$F$301,3,FALSE)-VLOOKUP($A17,DATA!$A$3:$F$301,3,FALSE))^2),"")</f>
        <v/>
      </c>
      <c r="CG17" s="14" t="str">
        <f>_xlfn.IFNA(SQRT((VLOOKUP(CG$1,DATA!$A$3:$F$301,2,FALSE)-VLOOKUP($A17,DATA!$A$3:$F$301,2,FALSE))^2+(VLOOKUP(CG$1,DATA!$A$3:$F$301,3,FALSE)-VLOOKUP($A17,DATA!$A$3:$F$301,3,FALSE))^2),"")</f>
        <v/>
      </c>
      <c r="CH17" s="14" t="str">
        <f>_xlfn.IFNA(SQRT((VLOOKUP(CH$1,DATA!$A$3:$F$301,2,FALSE)-VLOOKUP($A17,DATA!$A$3:$F$301,2,FALSE))^2+(VLOOKUP(CH$1,DATA!$A$3:$F$301,3,FALSE)-VLOOKUP($A17,DATA!$A$3:$F$301,3,FALSE))^2),"")</f>
        <v/>
      </c>
      <c r="CI17" s="14" t="str">
        <f>_xlfn.IFNA(SQRT((VLOOKUP(CI$1,DATA!$A$3:$F$301,2,FALSE)-VLOOKUP($A17,DATA!$A$3:$F$301,2,FALSE))^2+(VLOOKUP(CI$1,DATA!$A$3:$F$301,3,FALSE)-VLOOKUP($A17,DATA!$A$3:$F$301,3,FALSE))^2),"")</f>
        <v/>
      </c>
      <c r="CJ17" s="14" t="str">
        <f>_xlfn.IFNA(SQRT((VLOOKUP(CJ$1,DATA!$A$3:$F$301,2,FALSE)-VLOOKUP($A17,DATA!$A$3:$F$301,2,FALSE))^2+(VLOOKUP(CJ$1,DATA!$A$3:$F$301,3,FALSE)-VLOOKUP($A17,DATA!$A$3:$F$301,3,FALSE))^2),"")</f>
        <v/>
      </c>
      <c r="CK17" s="14" t="str">
        <f>_xlfn.IFNA(SQRT((VLOOKUP(CK$1,DATA!$A$3:$F$301,2,FALSE)-VLOOKUP($A17,DATA!$A$3:$F$301,2,FALSE))^2+(VLOOKUP(CK$1,DATA!$A$3:$F$301,3,FALSE)-VLOOKUP($A17,DATA!$A$3:$F$301,3,FALSE))^2),"")</f>
        <v/>
      </c>
      <c r="CL17" s="14" t="str">
        <f>_xlfn.IFNA(SQRT((VLOOKUP(CL$1,DATA!$A$3:$F$301,2,FALSE)-VLOOKUP($A17,DATA!$A$3:$F$301,2,FALSE))^2+(VLOOKUP(CL$1,DATA!$A$3:$F$301,3,FALSE)-VLOOKUP($A17,DATA!$A$3:$F$301,3,FALSE))^2),"")</f>
        <v/>
      </c>
      <c r="CM17" s="14" t="str">
        <f>_xlfn.IFNA(SQRT((VLOOKUP(CM$1,DATA!$A$3:$F$301,2,FALSE)-VLOOKUP($A17,DATA!$A$3:$F$301,2,FALSE))^2+(VLOOKUP(CM$1,DATA!$A$3:$F$301,3,FALSE)-VLOOKUP($A17,DATA!$A$3:$F$301,3,FALSE))^2),"")</f>
        <v/>
      </c>
      <c r="CN17" s="14" t="str">
        <f>_xlfn.IFNA(SQRT((VLOOKUP(CN$1,DATA!$A$3:$F$301,2,FALSE)-VLOOKUP($A17,DATA!$A$3:$F$301,2,FALSE))^2+(VLOOKUP(CN$1,DATA!$A$3:$F$301,3,FALSE)-VLOOKUP($A17,DATA!$A$3:$F$301,3,FALSE))^2),"")</f>
        <v/>
      </c>
      <c r="CO17" s="14" t="str">
        <f>_xlfn.IFNA(SQRT((VLOOKUP(CO$1,DATA!$A$3:$F$301,2,FALSE)-VLOOKUP($A17,DATA!$A$3:$F$301,2,FALSE))^2+(VLOOKUP(CO$1,DATA!$A$3:$F$301,3,FALSE)-VLOOKUP($A17,DATA!$A$3:$F$301,3,FALSE))^2),"")</f>
        <v/>
      </c>
      <c r="CP17" s="14" t="str">
        <f>_xlfn.IFNA(SQRT((VLOOKUP(CP$1,DATA!$A$3:$F$301,2,FALSE)-VLOOKUP($A17,DATA!$A$3:$F$301,2,FALSE))^2+(VLOOKUP(CP$1,DATA!$A$3:$F$301,3,FALSE)-VLOOKUP($A17,DATA!$A$3:$F$301,3,FALSE))^2),"")</f>
        <v/>
      </c>
      <c r="CQ17" s="14" t="str">
        <f>_xlfn.IFNA(SQRT((VLOOKUP(CQ$1,DATA!$A$3:$F$301,2,FALSE)-VLOOKUP($A17,DATA!$A$3:$F$301,2,FALSE))^2+(VLOOKUP(CQ$1,DATA!$A$3:$F$301,3,FALSE)-VLOOKUP($A17,DATA!$A$3:$F$301,3,FALSE))^2),"")</f>
        <v/>
      </c>
      <c r="CR17" s="14" t="str">
        <f>_xlfn.IFNA(SQRT((VLOOKUP(CR$1,DATA!$A$3:$F$301,2,FALSE)-VLOOKUP($A17,DATA!$A$3:$F$301,2,FALSE))^2+(VLOOKUP(CR$1,DATA!$A$3:$F$301,3,FALSE)-VLOOKUP($A17,DATA!$A$3:$F$301,3,FALSE))^2),"")</f>
        <v/>
      </c>
      <c r="CS17" s="14" t="str">
        <f>_xlfn.IFNA(SQRT((VLOOKUP(CS$1,DATA!$A$3:$F$301,2,FALSE)-VLOOKUP($A17,DATA!$A$3:$F$301,2,FALSE))^2+(VLOOKUP(CS$1,DATA!$A$3:$F$301,3,FALSE)-VLOOKUP($A17,DATA!$A$3:$F$301,3,FALSE))^2),"")</f>
        <v/>
      </c>
      <c r="CT17" s="14" t="str">
        <f>_xlfn.IFNA(SQRT((VLOOKUP(CT$1,DATA!$A$3:$F$301,2,FALSE)-VLOOKUP($A17,DATA!$A$3:$F$301,2,FALSE))^2+(VLOOKUP(CT$1,DATA!$A$3:$F$301,3,FALSE)-VLOOKUP($A17,DATA!$A$3:$F$301,3,FALSE))^2),"")</f>
        <v/>
      </c>
      <c r="CU17" s="14" t="str">
        <f>_xlfn.IFNA(SQRT((VLOOKUP(CU$1,DATA!$A$3:$F$301,2,FALSE)-VLOOKUP($A17,DATA!$A$3:$F$301,2,FALSE))^2+(VLOOKUP(CU$1,DATA!$A$3:$F$301,3,FALSE)-VLOOKUP($A17,DATA!$A$3:$F$301,3,FALSE))^2),"")</f>
        <v/>
      </c>
      <c r="CV17" s="14" t="str">
        <f>_xlfn.IFNA(SQRT((VLOOKUP(CV$1,DATA!$A$3:$F$301,2,FALSE)-VLOOKUP($A17,DATA!$A$3:$F$301,2,FALSE))^2+(VLOOKUP(CV$1,DATA!$A$3:$F$301,3,FALSE)-VLOOKUP($A17,DATA!$A$3:$F$301,3,FALSE))^2),"")</f>
        <v/>
      </c>
      <c r="CW17" s="14" t="str">
        <f>_xlfn.IFNA(SQRT((VLOOKUP(CW$1,DATA!$A$3:$F$301,2,FALSE)-VLOOKUP($A17,DATA!$A$3:$F$301,2,FALSE))^2+(VLOOKUP(CW$1,DATA!$A$3:$F$301,3,FALSE)-VLOOKUP($A17,DATA!$A$3:$F$301,3,FALSE))^2),"")</f>
        <v/>
      </c>
      <c r="CX17" s="14" t="str">
        <f>_xlfn.IFNA(SQRT((VLOOKUP(CX$1,DATA!$A$3:$F$301,2,FALSE)-VLOOKUP($A17,DATA!$A$3:$F$301,2,FALSE))^2+(VLOOKUP(CX$1,DATA!$A$3:$F$301,3,FALSE)-VLOOKUP($A17,DATA!$A$3:$F$301,3,FALSE))^2),"")</f>
        <v/>
      </c>
    </row>
    <row r="18" spans="1:102">
      <c r="A18" s="13">
        <v>17</v>
      </c>
      <c r="B18" s="14">
        <f>_xlfn.IFNA(SQRT((VLOOKUP(B$1,DATA!$A$3:$F$301,2,FALSE)-VLOOKUP($A18,DATA!$A$3:$F$301,2,FALSE))^2+(VLOOKUP(B$1,DATA!$A$3:$F$301,3,FALSE)-VLOOKUP($A18,DATA!$A$3:$F$301,3,FALSE))^2),"")</f>
        <v>23.600847442411894</v>
      </c>
      <c r="C18" s="14">
        <f>_xlfn.IFNA(SQRT((VLOOKUP(C$1,DATA!$A$3:$F$301,2,FALSE)-VLOOKUP($A18,DATA!$A$3:$F$301,2,FALSE))^2+(VLOOKUP(C$1,DATA!$A$3:$F$301,3,FALSE)-VLOOKUP($A18,DATA!$A$3:$F$301,3,FALSE))^2),"")</f>
        <v>28.301943396169811</v>
      </c>
      <c r="D18" s="14">
        <f>_xlfn.IFNA(SQRT((VLOOKUP(D$1,DATA!$A$3:$F$301,2,FALSE)-VLOOKUP($A18,DATA!$A$3:$F$301,2,FALSE))^2+(VLOOKUP(D$1,DATA!$A$3:$F$301,3,FALSE)-VLOOKUP($A18,DATA!$A$3:$F$301,3,FALSE))^2),"")</f>
        <v>19.104973174542799</v>
      </c>
      <c r="E18" s="14">
        <f>_xlfn.IFNA(SQRT((VLOOKUP(E$1,DATA!$A$3:$F$301,2,FALSE)-VLOOKUP($A18,DATA!$A$3:$F$301,2,FALSE))^2+(VLOOKUP(E$1,DATA!$A$3:$F$301,3,FALSE)-VLOOKUP($A18,DATA!$A$3:$F$301,3,FALSE))^2),"")</f>
        <v>17.4928556845359</v>
      </c>
      <c r="F18" s="14">
        <f>_xlfn.IFNA(SQRT((VLOOKUP(F$1,DATA!$A$3:$F$301,2,FALSE)-VLOOKUP($A18,DATA!$A$3:$F$301,2,FALSE))^2+(VLOOKUP(F$1,DATA!$A$3:$F$301,3,FALSE)-VLOOKUP($A18,DATA!$A$3:$F$301,3,FALSE))^2),"")</f>
        <v>47.201694884823787</v>
      </c>
      <c r="G18" s="14">
        <f>_xlfn.IFNA(SQRT((VLOOKUP(G$1,DATA!$A$3:$F$301,2,FALSE)-VLOOKUP($A18,DATA!$A$3:$F$301,2,FALSE))^2+(VLOOKUP(G$1,DATA!$A$3:$F$301,3,FALSE)-VLOOKUP($A18,DATA!$A$3:$F$301,3,FALSE))^2),"")</f>
        <v>23.086792761230392</v>
      </c>
      <c r="H18" s="14">
        <f>_xlfn.IFNA(SQRT((VLOOKUP(H$1,DATA!$A$3:$F$301,2,FALSE)-VLOOKUP($A18,DATA!$A$3:$F$301,2,FALSE))^2+(VLOOKUP(H$1,DATA!$A$3:$F$301,3,FALSE)-VLOOKUP($A18,DATA!$A$3:$F$301,3,FALSE))^2),"")</f>
        <v>17.029386365926403</v>
      </c>
      <c r="I18" s="14">
        <f>_xlfn.IFNA(SQRT((VLOOKUP(I$1,DATA!$A$3:$F$301,2,FALSE)-VLOOKUP($A18,DATA!$A$3:$F$301,2,FALSE))^2+(VLOOKUP(I$1,DATA!$A$3:$F$301,3,FALSE)-VLOOKUP($A18,DATA!$A$3:$F$301,3,FALSE))^2),"")</f>
        <v>36.674241641784498</v>
      </c>
      <c r="J18" s="14">
        <f>_xlfn.IFNA(SQRT((VLOOKUP(J$1,DATA!$A$3:$F$301,2,FALSE)-VLOOKUP($A18,DATA!$A$3:$F$301,2,FALSE))^2+(VLOOKUP(J$1,DATA!$A$3:$F$301,3,FALSE)-VLOOKUP($A18,DATA!$A$3:$F$301,3,FALSE))^2),"")</f>
        <v>19.646882704388499</v>
      </c>
      <c r="K18" s="14">
        <f>_xlfn.IFNA(SQRT((VLOOKUP(K$1,DATA!$A$3:$F$301,2,FALSE)-VLOOKUP($A18,DATA!$A$3:$F$301,2,FALSE))^2+(VLOOKUP(K$1,DATA!$A$3:$F$301,3,FALSE)-VLOOKUP($A18,DATA!$A$3:$F$301,3,FALSE))^2),"")</f>
        <v>26.172504656604801</v>
      </c>
      <c r="L18" s="14">
        <f>_xlfn.IFNA(SQRT((VLOOKUP(L$1,DATA!$A$3:$F$301,2,FALSE)-VLOOKUP($A18,DATA!$A$3:$F$301,2,FALSE))^2+(VLOOKUP(L$1,DATA!$A$3:$F$301,3,FALSE)-VLOOKUP($A18,DATA!$A$3:$F$301,3,FALSE))^2),"")</f>
        <v>30.083217912982647</v>
      </c>
      <c r="M18" s="14">
        <f>_xlfn.IFNA(SQRT((VLOOKUP(M$1,DATA!$A$3:$F$301,2,FALSE)-VLOOKUP($A18,DATA!$A$3:$F$301,2,FALSE))^2+(VLOOKUP(M$1,DATA!$A$3:$F$301,3,FALSE)-VLOOKUP($A18,DATA!$A$3:$F$301,3,FALSE))^2),"")</f>
        <v>31.064449134018133</v>
      </c>
      <c r="N18" s="14">
        <f>_xlfn.IFNA(SQRT((VLOOKUP(N$1,DATA!$A$3:$F$301,2,FALSE)-VLOOKUP($A18,DATA!$A$3:$F$301,2,FALSE))^2+(VLOOKUP(N$1,DATA!$A$3:$F$301,3,FALSE)-VLOOKUP($A18,DATA!$A$3:$F$301,3,FALSE))^2),"")</f>
        <v>19.849433241279208</v>
      </c>
      <c r="O18" s="14">
        <f>_xlfn.IFNA(SQRT((VLOOKUP(O$1,DATA!$A$3:$F$301,2,FALSE)-VLOOKUP($A18,DATA!$A$3:$F$301,2,FALSE))^2+(VLOOKUP(O$1,DATA!$A$3:$F$301,3,FALSE)-VLOOKUP($A18,DATA!$A$3:$F$301,3,FALSE))^2),"")</f>
        <v>54.083269131959838</v>
      </c>
      <c r="P18" s="14">
        <f>_xlfn.IFNA(SQRT((VLOOKUP(P$1,DATA!$A$3:$F$301,2,FALSE)-VLOOKUP($A18,DATA!$A$3:$F$301,2,FALSE))^2+(VLOOKUP(P$1,DATA!$A$3:$F$301,3,FALSE)-VLOOKUP($A18,DATA!$A$3:$F$301,3,FALSE))^2),"")</f>
        <v>45.354161881794269</v>
      </c>
      <c r="Q18" s="14">
        <f>_xlfn.IFNA(SQRT((VLOOKUP(Q$1,DATA!$A$3:$F$301,2,FALSE)-VLOOKUP($A18,DATA!$A$3:$F$301,2,FALSE))^2+(VLOOKUP(Q$1,DATA!$A$3:$F$301,3,FALSE)-VLOOKUP($A18,DATA!$A$3:$F$301,3,FALSE))^2),"")</f>
        <v>23.345235059857504</v>
      </c>
      <c r="R18" s="14">
        <f>_xlfn.IFNA(SQRT((VLOOKUP(R$1,DATA!$A$3:$F$301,2,FALSE)-VLOOKUP($A18,DATA!$A$3:$F$301,2,FALSE))^2+(VLOOKUP(R$1,DATA!$A$3:$F$301,3,FALSE)-VLOOKUP($A18,DATA!$A$3:$F$301,3,FALSE))^2),"")</f>
        <v>0</v>
      </c>
      <c r="S18" s="14">
        <f>_xlfn.IFNA(SQRT((VLOOKUP(S$1,DATA!$A$3:$F$301,2,FALSE)-VLOOKUP($A18,DATA!$A$3:$F$301,2,FALSE))^2+(VLOOKUP(S$1,DATA!$A$3:$F$301,3,FALSE)-VLOOKUP($A18,DATA!$A$3:$F$301,3,FALSE))^2),"")</f>
        <v>28.071337695236398</v>
      </c>
      <c r="T18" s="14">
        <f>_xlfn.IFNA(SQRT((VLOOKUP(T$1,DATA!$A$3:$F$301,2,FALSE)-VLOOKUP($A18,DATA!$A$3:$F$301,2,FALSE))^2+(VLOOKUP(T$1,DATA!$A$3:$F$301,3,FALSE)-VLOOKUP($A18,DATA!$A$3:$F$301,3,FALSE))^2),"")</f>
        <v>48.332183894378289</v>
      </c>
      <c r="U18" s="14">
        <f>_xlfn.IFNA(SQRT((VLOOKUP(U$1,DATA!$A$3:$F$301,2,FALSE)-VLOOKUP($A18,DATA!$A$3:$F$301,2,FALSE))^2+(VLOOKUP(U$1,DATA!$A$3:$F$301,3,FALSE)-VLOOKUP($A18,DATA!$A$3:$F$301,3,FALSE))^2),"")</f>
        <v>7.0710678118654755</v>
      </c>
      <c r="V18" s="14">
        <f>_xlfn.IFNA(SQRT((VLOOKUP(V$1,DATA!$A$3:$F$301,2,FALSE)-VLOOKUP($A18,DATA!$A$3:$F$301,2,FALSE))^2+(VLOOKUP(V$1,DATA!$A$3:$F$301,3,FALSE)-VLOOKUP($A18,DATA!$A$3:$F$301,3,FALSE))^2),"")</f>
        <v>15.524174696260024</v>
      </c>
      <c r="W18" s="14">
        <f>_xlfn.IFNA(SQRT((VLOOKUP(W$1,DATA!$A$3:$F$301,2,FALSE)-VLOOKUP($A18,DATA!$A$3:$F$301,2,FALSE))^2+(VLOOKUP(W$1,DATA!$A$3:$F$301,3,FALSE)-VLOOKUP($A18,DATA!$A$3:$F$301,3,FALSE))^2),"")</f>
        <v>11.313708498984761</v>
      </c>
      <c r="X18" s="14">
        <f>_xlfn.IFNA(SQRT((VLOOKUP(X$1,DATA!$A$3:$F$301,2,FALSE)-VLOOKUP($A18,DATA!$A$3:$F$301,2,FALSE))^2+(VLOOKUP(X$1,DATA!$A$3:$F$301,3,FALSE)-VLOOKUP($A18,DATA!$A$3:$F$301,3,FALSE))^2),"")</f>
        <v>15.652475842498529</v>
      </c>
      <c r="Y18" s="14">
        <f>_xlfn.IFNA(SQRT((VLOOKUP(Y$1,DATA!$A$3:$F$301,2,FALSE)-VLOOKUP($A18,DATA!$A$3:$F$301,2,FALSE))^2+(VLOOKUP(Y$1,DATA!$A$3:$F$301,3,FALSE)-VLOOKUP($A18,DATA!$A$3:$F$301,3,FALSE))^2),"")</f>
        <v>35.510561809129406</v>
      </c>
      <c r="Z18" s="14">
        <f>_xlfn.IFNA(SQRT((VLOOKUP(Z$1,DATA!$A$3:$F$301,2,FALSE)-VLOOKUP($A18,DATA!$A$3:$F$301,2,FALSE))^2+(VLOOKUP(Z$1,DATA!$A$3:$F$301,3,FALSE)-VLOOKUP($A18,DATA!$A$3:$F$301,3,FALSE))^2),"")</f>
        <v>2.2360679774997898</v>
      </c>
      <c r="AA18" s="14">
        <f>_xlfn.IFNA(SQRT((VLOOKUP(AA$1,DATA!$A$3:$F$301,2,FALSE)-VLOOKUP($A18,DATA!$A$3:$F$301,2,FALSE))^2+(VLOOKUP(AA$1,DATA!$A$3:$F$301,3,FALSE)-VLOOKUP($A18,DATA!$A$3:$F$301,3,FALSE))^2),"")</f>
        <v>36.878177829171548</v>
      </c>
      <c r="AB18" s="14">
        <f>_xlfn.IFNA(SQRT((VLOOKUP(AB$1,DATA!$A$3:$F$301,2,FALSE)-VLOOKUP($A18,DATA!$A$3:$F$301,2,FALSE))^2+(VLOOKUP(AB$1,DATA!$A$3:$F$301,3,FALSE)-VLOOKUP($A18,DATA!$A$3:$F$301,3,FALSE))^2),"")</f>
        <v>21</v>
      </c>
      <c r="AC18" s="14">
        <f>_xlfn.IFNA(SQRT((VLOOKUP(AC$1,DATA!$A$3:$F$301,2,FALSE)-VLOOKUP($A18,DATA!$A$3:$F$301,2,FALSE))^2+(VLOOKUP(AC$1,DATA!$A$3:$F$301,3,FALSE)-VLOOKUP($A18,DATA!$A$3:$F$301,3,FALSE))^2),"")</f>
        <v>40.70626487409524</v>
      </c>
      <c r="AD18" s="14">
        <f>_xlfn.IFNA(SQRT((VLOOKUP(AD$1,DATA!$A$3:$F$301,2,FALSE)-VLOOKUP($A18,DATA!$A$3:$F$301,2,FALSE))^2+(VLOOKUP(AD$1,DATA!$A$3:$F$301,3,FALSE)-VLOOKUP($A18,DATA!$A$3:$F$301,3,FALSE))^2),"")</f>
        <v>12.649110640673518</v>
      </c>
      <c r="AE18" s="14">
        <f>_xlfn.IFNA(SQRT((VLOOKUP(AE$1,DATA!$A$3:$F$301,2,FALSE)-VLOOKUP($A18,DATA!$A$3:$F$301,2,FALSE))^2+(VLOOKUP(AE$1,DATA!$A$3:$F$301,3,FALSE)-VLOOKUP($A18,DATA!$A$3:$F$301,3,FALSE))^2),"")</f>
        <v>49.497474683058329</v>
      </c>
      <c r="AF18" s="14">
        <f>_xlfn.IFNA(SQRT((VLOOKUP(AF$1,DATA!$A$3:$F$301,2,FALSE)-VLOOKUP($A18,DATA!$A$3:$F$301,2,FALSE))^2+(VLOOKUP(AF$1,DATA!$A$3:$F$301,3,FALSE)-VLOOKUP($A18,DATA!$A$3:$F$301,3,FALSE))^2),"")</f>
        <v>5.0990195135927845</v>
      </c>
      <c r="AG18" s="14">
        <f>_xlfn.IFNA(SQRT((VLOOKUP(AG$1,DATA!$A$3:$F$301,2,FALSE)-VLOOKUP($A18,DATA!$A$3:$F$301,2,FALSE))^2+(VLOOKUP(AG$1,DATA!$A$3:$F$301,3,FALSE)-VLOOKUP($A18,DATA!$A$3:$F$301,3,FALSE))^2),"")</f>
        <v>38.948684188300895</v>
      </c>
      <c r="AH18" s="14">
        <f>_xlfn.IFNA(SQRT((VLOOKUP(AH$1,DATA!$A$3:$F$301,2,FALSE)-VLOOKUP($A18,DATA!$A$3:$F$301,2,FALSE))^2+(VLOOKUP(AH$1,DATA!$A$3:$F$301,3,FALSE)-VLOOKUP($A18,DATA!$A$3:$F$301,3,FALSE))^2),"")</f>
        <v>23.769728648009426</v>
      </c>
      <c r="AI18" s="14">
        <f>_xlfn.IFNA(SQRT((VLOOKUP(AI$1,DATA!$A$3:$F$301,2,FALSE)-VLOOKUP($A18,DATA!$A$3:$F$301,2,FALSE))^2+(VLOOKUP(AI$1,DATA!$A$3:$F$301,3,FALSE)-VLOOKUP($A18,DATA!$A$3:$F$301,3,FALSE))^2),"")</f>
        <v>3</v>
      </c>
      <c r="AJ18" s="14">
        <f>_xlfn.IFNA(SQRT((VLOOKUP(AJ$1,DATA!$A$3:$F$301,2,FALSE)-VLOOKUP($A18,DATA!$A$3:$F$301,2,FALSE))^2+(VLOOKUP(AJ$1,DATA!$A$3:$F$301,3,FALSE)-VLOOKUP($A18,DATA!$A$3:$F$301,3,FALSE))^2),"")</f>
        <v>22.825424421026653</v>
      </c>
      <c r="AK18" s="14">
        <f>_xlfn.IFNA(SQRT((VLOOKUP(AK$1,DATA!$A$3:$F$301,2,FALSE)-VLOOKUP($A18,DATA!$A$3:$F$301,2,FALSE))^2+(VLOOKUP(AK$1,DATA!$A$3:$F$301,3,FALSE)-VLOOKUP($A18,DATA!$A$3:$F$301,3,FALSE))^2),"")</f>
        <v>31.384709652950431</v>
      </c>
      <c r="AL18" s="14">
        <f>_xlfn.IFNA(SQRT((VLOOKUP(AL$1,DATA!$A$3:$F$301,2,FALSE)-VLOOKUP($A18,DATA!$A$3:$F$301,2,FALSE))^2+(VLOOKUP(AL$1,DATA!$A$3:$F$301,3,FALSE)-VLOOKUP($A18,DATA!$A$3:$F$301,3,FALSE))^2),"")</f>
        <v>46.097722286464439</v>
      </c>
      <c r="AM18" s="14">
        <f>_xlfn.IFNA(SQRT((VLOOKUP(AM$1,DATA!$A$3:$F$301,2,FALSE)-VLOOKUP($A18,DATA!$A$3:$F$301,2,FALSE))^2+(VLOOKUP(AM$1,DATA!$A$3:$F$301,3,FALSE)-VLOOKUP($A18,DATA!$A$3:$F$301,3,FALSE))^2),"")</f>
        <v>40.521599178709621</v>
      </c>
      <c r="AN18" s="14">
        <f>_xlfn.IFNA(SQRT((VLOOKUP(AN$1,DATA!$A$3:$F$301,2,FALSE)-VLOOKUP($A18,DATA!$A$3:$F$301,2,FALSE))^2+(VLOOKUP(AN$1,DATA!$A$3:$F$301,3,FALSE)-VLOOKUP($A18,DATA!$A$3:$F$301,3,FALSE))^2),"")</f>
        <v>12.369316876852981</v>
      </c>
      <c r="AO18" s="14">
        <f>_xlfn.IFNA(SQRT((VLOOKUP(AO$1,DATA!$A$3:$F$301,2,FALSE)-VLOOKUP($A18,DATA!$A$3:$F$301,2,FALSE))^2+(VLOOKUP(AO$1,DATA!$A$3:$F$301,3,FALSE)-VLOOKUP($A18,DATA!$A$3:$F$301,3,FALSE))^2),"")</f>
        <v>30.463092423455635</v>
      </c>
      <c r="AP18" s="14" t="str">
        <f>_xlfn.IFNA(SQRT((VLOOKUP(AP$1,DATA!$A$3:$F$301,2,FALSE)-VLOOKUP($A18,DATA!$A$3:$F$301,2,FALSE))^2+(VLOOKUP(AP$1,DATA!$A$3:$F$301,3,FALSE)-VLOOKUP($A18,DATA!$A$3:$F$301,3,FALSE))^2),"")</f>
        <v/>
      </c>
      <c r="AQ18" s="14" t="str">
        <f>_xlfn.IFNA(SQRT((VLOOKUP(AQ$1,DATA!$A$3:$F$301,2,FALSE)-VLOOKUP($A18,DATA!$A$3:$F$301,2,FALSE))^2+(VLOOKUP(AQ$1,DATA!$A$3:$F$301,3,FALSE)-VLOOKUP($A18,DATA!$A$3:$F$301,3,FALSE))^2),"")</f>
        <v/>
      </c>
      <c r="AR18" s="14" t="str">
        <f>_xlfn.IFNA(SQRT((VLOOKUP(AR$1,DATA!$A$3:$F$301,2,FALSE)-VLOOKUP($A18,DATA!$A$3:$F$301,2,FALSE))^2+(VLOOKUP(AR$1,DATA!$A$3:$F$301,3,FALSE)-VLOOKUP($A18,DATA!$A$3:$F$301,3,FALSE))^2),"")</f>
        <v/>
      </c>
      <c r="AS18" s="14" t="str">
        <f>_xlfn.IFNA(SQRT((VLOOKUP(AS$1,DATA!$A$3:$F$301,2,FALSE)-VLOOKUP($A18,DATA!$A$3:$F$301,2,FALSE))^2+(VLOOKUP(AS$1,DATA!$A$3:$F$301,3,FALSE)-VLOOKUP($A18,DATA!$A$3:$F$301,3,FALSE))^2),"")</f>
        <v/>
      </c>
      <c r="AT18" s="14" t="str">
        <f>_xlfn.IFNA(SQRT((VLOOKUP(AT$1,DATA!$A$3:$F$301,2,FALSE)-VLOOKUP($A18,DATA!$A$3:$F$301,2,FALSE))^2+(VLOOKUP(AT$1,DATA!$A$3:$F$301,3,FALSE)-VLOOKUP($A18,DATA!$A$3:$F$301,3,FALSE))^2),"")</f>
        <v/>
      </c>
      <c r="AU18" s="14" t="str">
        <f>_xlfn.IFNA(SQRT((VLOOKUP(AU$1,DATA!$A$3:$F$301,2,FALSE)-VLOOKUP($A18,DATA!$A$3:$F$301,2,FALSE))^2+(VLOOKUP(AU$1,DATA!$A$3:$F$301,3,FALSE)-VLOOKUP($A18,DATA!$A$3:$F$301,3,FALSE))^2),"")</f>
        <v/>
      </c>
      <c r="AV18" s="14" t="str">
        <f>_xlfn.IFNA(SQRT((VLOOKUP(AV$1,DATA!$A$3:$F$301,2,FALSE)-VLOOKUP($A18,DATA!$A$3:$F$301,2,FALSE))^2+(VLOOKUP(AV$1,DATA!$A$3:$F$301,3,FALSE)-VLOOKUP($A18,DATA!$A$3:$F$301,3,FALSE))^2),"")</f>
        <v/>
      </c>
      <c r="AW18" s="14" t="str">
        <f>_xlfn.IFNA(SQRT((VLOOKUP(AW$1,DATA!$A$3:$F$301,2,FALSE)-VLOOKUP($A18,DATA!$A$3:$F$301,2,FALSE))^2+(VLOOKUP(AW$1,DATA!$A$3:$F$301,3,FALSE)-VLOOKUP($A18,DATA!$A$3:$F$301,3,FALSE))^2),"")</f>
        <v/>
      </c>
      <c r="AX18" s="14" t="str">
        <f>_xlfn.IFNA(SQRT((VLOOKUP(AX$1,DATA!$A$3:$F$301,2,FALSE)-VLOOKUP($A18,DATA!$A$3:$F$301,2,FALSE))^2+(VLOOKUP(AX$1,DATA!$A$3:$F$301,3,FALSE)-VLOOKUP($A18,DATA!$A$3:$F$301,3,FALSE))^2),"")</f>
        <v/>
      </c>
      <c r="AY18" s="14" t="str">
        <f>_xlfn.IFNA(SQRT((VLOOKUP(AY$1,DATA!$A$3:$F$301,2,FALSE)-VLOOKUP($A18,DATA!$A$3:$F$301,2,FALSE))^2+(VLOOKUP(AY$1,DATA!$A$3:$F$301,3,FALSE)-VLOOKUP($A18,DATA!$A$3:$F$301,3,FALSE))^2),"")</f>
        <v/>
      </c>
      <c r="AZ18" s="14" t="str">
        <f>_xlfn.IFNA(SQRT((VLOOKUP(AZ$1,DATA!$A$3:$F$301,2,FALSE)-VLOOKUP($A18,DATA!$A$3:$F$301,2,FALSE))^2+(VLOOKUP(AZ$1,DATA!$A$3:$F$301,3,FALSE)-VLOOKUP($A18,DATA!$A$3:$F$301,3,FALSE))^2),"")</f>
        <v/>
      </c>
      <c r="BA18" s="14" t="str">
        <f>_xlfn.IFNA(SQRT((VLOOKUP(BA$1,DATA!$A$3:$F$301,2,FALSE)-VLOOKUP($A18,DATA!$A$3:$F$301,2,FALSE))^2+(VLOOKUP(BA$1,DATA!$A$3:$F$301,3,FALSE)-VLOOKUP($A18,DATA!$A$3:$F$301,3,FALSE))^2),"")</f>
        <v/>
      </c>
      <c r="BB18" s="14" t="str">
        <f>_xlfn.IFNA(SQRT((VLOOKUP(BB$1,DATA!$A$3:$F$301,2,FALSE)-VLOOKUP($A18,DATA!$A$3:$F$301,2,FALSE))^2+(VLOOKUP(BB$1,DATA!$A$3:$F$301,3,FALSE)-VLOOKUP($A18,DATA!$A$3:$F$301,3,FALSE))^2),"")</f>
        <v/>
      </c>
      <c r="BC18" s="14" t="str">
        <f>_xlfn.IFNA(SQRT((VLOOKUP(BC$1,DATA!$A$3:$F$301,2,FALSE)-VLOOKUP($A18,DATA!$A$3:$F$301,2,FALSE))^2+(VLOOKUP(BC$1,DATA!$A$3:$F$301,3,FALSE)-VLOOKUP($A18,DATA!$A$3:$F$301,3,FALSE))^2),"")</f>
        <v/>
      </c>
      <c r="BD18" s="14" t="str">
        <f>_xlfn.IFNA(SQRT((VLOOKUP(BD$1,DATA!$A$3:$F$301,2,FALSE)-VLOOKUP($A18,DATA!$A$3:$F$301,2,FALSE))^2+(VLOOKUP(BD$1,DATA!$A$3:$F$301,3,FALSE)-VLOOKUP($A18,DATA!$A$3:$F$301,3,FALSE))^2),"")</f>
        <v/>
      </c>
      <c r="BE18" s="14" t="str">
        <f>_xlfn.IFNA(SQRT((VLOOKUP(BE$1,DATA!$A$3:$F$301,2,FALSE)-VLOOKUP($A18,DATA!$A$3:$F$301,2,FALSE))^2+(VLOOKUP(BE$1,DATA!$A$3:$F$301,3,FALSE)-VLOOKUP($A18,DATA!$A$3:$F$301,3,FALSE))^2),"")</f>
        <v/>
      </c>
      <c r="BF18" s="14" t="str">
        <f>_xlfn.IFNA(SQRT((VLOOKUP(BF$1,DATA!$A$3:$F$301,2,FALSE)-VLOOKUP($A18,DATA!$A$3:$F$301,2,FALSE))^2+(VLOOKUP(BF$1,DATA!$A$3:$F$301,3,FALSE)-VLOOKUP($A18,DATA!$A$3:$F$301,3,FALSE))^2),"")</f>
        <v/>
      </c>
      <c r="BG18" s="14" t="str">
        <f>_xlfn.IFNA(SQRT((VLOOKUP(BG$1,DATA!$A$3:$F$301,2,FALSE)-VLOOKUP($A18,DATA!$A$3:$F$301,2,FALSE))^2+(VLOOKUP(BG$1,DATA!$A$3:$F$301,3,FALSE)-VLOOKUP($A18,DATA!$A$3:$F$301,3,FALSE))^2),"")</f>
        <v/>
      </c>
      <c r="BH18" s="14" t="str">
        <f>_xlfn.IFNA(SQRT((VLOOKUP(BH$1,DATA!$A$3:$F$301,2,FALSE)-VLOOKUP($A18,DATA!$A$3:$F$301,2,FALSE))^2+(VLOOKUP(BH$1,DATA!$A$3:$F$301,3,FALSE)-VLOOKUP($A18,DATA!$A$3:$F$301,3,FALSE))^2),"")</f>
        <v/>
      </c>
      <c r="BI18" s="14" t="str">
        <f>_xlfn.IFNA(SQRT((VLOOKUP(BI$1,DATA!$A$3:$F$301,2,FALSE)-VLOOKUP($A18,DATA!$A$3:$F$301,2,FALSE))^2+(VLOOKUP(BI$1,DATA!$A$3:$F$301,3,FALSE)-VLOOKUP($A18,DATA!$A$3:$F$301,3,FALSE))^2),"")</f>
        <v/>
      </c>
      <c r="BJ18" s="14" t="str">
        <f>_xlfn.IFNA(SQRT((VLOOKUP(BJ$1,DATA!$A$3:$F$301,2,FALSE)-VLOOKUP($A18,DATA!$A$3:$F$301,2,FALSE))^2+(VLOOKUP(BJ$1,DATA!$A$3:$F$301,3,FALSE)-VLOOKUP($A18,DATA!$A$3:$F$301,3,FALSE))^2),"")</f>
        <v/>
      </c>
      <c r="BK18" s="14" t="str">
        <f>_xlfn.IFNA(SQRT((VLOOKUP(BK$1,DATA!$A$3:$F$301,2,FALSE)-VLOOKUP($A18,DATA!$A$3:$F$301,2,FALSE))^2+(VLOOKUP(BK$1,DATA!$A$3:$F$301,3,FALSE)-VLOOKUP($A18,DATA!$A$3:$F$301,3,FALSE))^2),"")</f>
        <v/>
      </c>
      <c r="BL18" s="14" t="str">
        <f>_xlfn.IFNA(SQRT((VLOOKUP(BL$1,DATA!$A$3:$F$301,2,FALSE)-VLOOKUP($A18,DATA!$A$3:$F$301,2,FALSE))^2+(VLOOKUP(BL$1,DATA!$A$3:$F$301,3,FALSE)-VLOOKUP($A18,DATA!$A$3:$F$301,3,FALSE))^2),"")</f>
        <v/>
      </c>
      <c r="BM18" s="14" t="str">
        <f>_xlfn.IFNA(SQRT((VLOOKUP(BM$1,DATA!$A$3:$F$301,2,FALSE)-VLOOKUP($A18,DATA!$A$3:$F$301,2,FALSE))^2+(VLOOKUP(BM$1,DATA!$A$3:$F$301,3,FALSE)-VLOOKUP($A18,DATA!$A$3:$F$301,3,FALSE))^2),"")</f>
        <v/>
      </c>
      <c r="BN18" s="14" t="str">
        <f>_xlfn.IFNA(SQRT((VLOOKUP(BN$1,DATA!$A$3:$F$301,2,FALSE)-VLOOKUP($A18,DATA!$A$3:$F$301,2,FALSE))^2+(VLOOKUP(BN$1,DATA!$A$3:$F$301,3,FALSE)-VLOOKUP($A18,DATA!$A$3:$F$301,3,FALSE))^2),"")</f>
        <v/>
      </c>
      <c r="BO18" s="14" t="str">
        <f>_xlfn.IFNA(SQRT((VLOOKUP(BO$1,DATA!$A$3:$F$301,2,FALSE)-VLOOKUP($A18,DATA!$A$3:$F$301,2,FALSE))^2+(VLOOKUP(BO$1,DATA!$A$3:$F$301,3,FALSE)-VLOOKUP($A18,DATA!$A$3:$F$301,3,FALSE))^2),"")</f>
        <v/>
      </c>
      <c r="BP18" s="14" t="str">
        <f>_xlfn.IFNA(SQRT((VLOOKUP(BP$1,DATA!$A$3:$F$301,2,FALSE)-VLOOKUP($A18,DATA!$A$3:$F$301,2,FALSE))^2+(VLOOKUP(BP$1,DATA!$A$3:$F$301,3,FALSE)-VLOOKUP($A18,DATA!$A$3:$F$301,3,FALSE))^2),"")</f>
        <v/>
      </c>
      <c r="BQ18" s="14" t="str">
        <f>_xlfn.IFNA(SQRT((VLOOKUP(BQ$1,DATA!$A$3:$F$301,2,FALSE)-VLOOKUP($A18,DATA!$A$3:$F$301,2,FALSE))^2+(VLOOKUP(BQ$1,DATA!$A$3:$F$301,3,FALSE)-VLOOKUP($A18,DATA!$A$3:$F$301,3,FALSE))^2),"")</f>
        <v/>
      </c>
      <c r="BR18" s="14" t="str">
        <f>_xlfn.IFNA(SQRT((VLOOKUP(BR$1,DATA!$A$3:$F$301,2,FALSE)-VLOOKUP($A18,DATA!$A$3:$F$301,2,FALSE))^2+(VLOOKUP(BR$1,DATA!$A$3:$F$301,3,FALSE)-VLOOKUP($A18,DATA!$A$3:$F$301,3,FALSE))^2),"")</f>
        <v/>
      </c>
      <c r="BS18" s="14" t="str">
        <f>_xlfn.IFNA(SQRT((VLOOKUP(BS$1,DATA!$A$3:$F$301,2,FALSE)-VLOOKUP($A18,DATA!$A$3:$F$301,2,FALSE))^2+(VLOOKUP(BS$1,DATA!$A$3:$F$301,3,FALSE)-VLOOKUP($A18,DATA!$A$3:$F$301,3,FALSE))^2),"")</f>
        <v/>
      </c>
      <c r="BT18" s="14" t="str">
        <f>_xlfn.IFNA(SQRT((VLOOKUP(BT$1,DATA!$A$3:$F$301,2,FALSE)-VLOOKUP($A18,DATA!$A$3:$F$301,2,FALSE))^2+(VLOOKUP(BT$1,DATA!$A$3:$F$301,3,FALSE)-VLOOKUP($A18,DATA!$A$3:$F$301,3,FALSE))^2),"")</f>
        <v/>
      </c>
      <c r="BU18" s="14" t="str">
        <f>_xlfn.IFNA(SQRT((VLOOKUP(BU$1,DATA!$A$3:$F$301,2,FALSE)-VLOOKUP($A18,DATA!$A$3:$F$301,2,FALSE))^2+(VLOOKUP(BU$1,DATA!$A$3:$F$301,3,FALSE)-VLOOKUP($A18,DATA!$A$3:$F$301,3,FALSE))^2),"")</f>
        <v/>
      </c>
      <c r="BV18" s="14" t="str">
        <f>_xlfn.IFNA(SQRT((VLOOKUP(BV$1,DATA!$A$3:$F$301,2,FALSE)-VLOOKUP($A18,DATA!$A$3:$F$301,2,FALSE))^2+(VLOOKUP(BV$1,DATA!$A$3:$F$301,3,FALSE)-VLOOKUP($A18,DATA!$A$3:$F$301,3,FALSE))^2),"")</f>
        <v/>
      </c>
      <c r="BW18" s="14" t="str">
        <f>_xlfn.IFNA(SQRT((VLOOKUP(BW$1,DATA!$A$3:$F$301,2,FALSE)-VLOOKUP($A18,DATA!$A$3:$F$301,2,FALSE))^2+(VLOOKUP(BW$1,DATA!$A$3:$F$301,3,FALSE)-VLOOKUP($A18,DATA!$A$3:$F$301,3,FALSE))^2),"")</f>
        <v/>
      </c>
      <c r="BX18" s="14" t="str">
        <f>_xlfn.IFNA(SQRT((VLOOKUP(BX$1,DATA!$A$3:$F$301,2,FALSE)-VLOOKUP($A18,DATA!$A$3:$F$301,2,FALSE))^2+(VLOOKUP(BX$1,DATA!$A$3:$F$301,3,FALSE)-VLOOKUP($A18,DATA!$A$3:$F$301,3,FALSE))^2),"")</f>
        <v/>
      </c>
      <c r="BY18" s="14" t="str">
        <f>_xlfn.IFNA(SQRT((VLOOKUP(BY$1,DATA!$A$3:$F$301,2,FALSE)-VLOOKUP($A18,DATA!$A$3:$F$301,2,FALSE))^2+(VLOOKUP(BY$1,DATA!$A$3:$F$301,3,FALSE)-VLOOKUP($A18,DATA!$A$3:$F$301,3,FALSE))^2),"")</f>
        <v/>
      </c>
      <c r="BZ18" s="14" t="str">
        <f>_xlfn.IFNA(SQRT((VLOOKUP(BZ$1,DATA!$A$3:$F$301,2,FALSE)-VLOOKUP($A18,DATA!$A$3:$F$301,2,FALSE))^2+(VLOOKUP(BZ$1,DATA!$A$3:$F$301,3,FALSE)-VLOOKUP($A18,DATA!$A$3:$F$301,3,FALSE))^2),"")</f>
        <v/>
      </c>
      <c r="CA18" s="14" t="str">
        <f>_xlfn.IFNA(SQRT((VLOOKUP(CA$1,DATA!$A$3:$F$301,2,FALSE)-VLOOKUP($A18,DATA!$A$3:$F$301,2,FALSE))^2+(VLOOKUP(CA$1,DATA!$A$3:$F$301,3,FALSE)-VLOOKUP($A18,DATA!$A$3:$F$301,3,FALSE))^2),"")</f>
        <v/>
      </c>
      <c r="CB18" s="14" t="str">
        <f>_xlfn.IFNA(SQRT((VLOOKUP(CB$1,DATA!$A$3:$F$301,2,FALSE)-VLOOKUP($A18,DATA!$A$3:$F$301,2,FALSE))^2+(VLOOKUP(CB$1,DATA!$A$3:$F$301,3,FALSE)-VLOOKUP($A18,DATA!$A$3:$F$301,3,FALSE))^2),"")</f>
        <v/>
      </c>
      <c r="CC18" s="14" t="str">
        <f>_xlfn.IFNA(SQRT((VLOOKUP(CC$1,DATA!$A$3:$F$301,2,FALSE)-VLOOKUP($A18,DATA!$A$3:$F$301,2,FALSE))^2+(VLOOKUP(CC$1,DATA!$A$3:$F$301,3,FALSE)-VLOOKUP($A18,DATA!$A$3:$F$301,3,FALSE))^2),"")</f>
        <v/>
      </c>
      <c r="CD18" s="14" t="str">
        <f>_xlfn.IFNA(SQRT((VLOOKUP(CD$1,DATA!$A$3:$F$301,2,FALSE)-VLOOKUP($A18,DATA!$A$3:$F$301,2,FALSE))^2+(VLOOKUP(CD$1,DATA!$A$3:$F$301,3,FALSE)-VLOOKUP($A18,DATA!$A$3:$F$301,3,FALSE))^2),"")</f>
        <v/>
      </c>
      <c r="CE18" s="14" t="str">
        <f>_xlfn.IFNA(SQRT((VLOOKUP(CE$1,DATA!$A$3:$F$301,2,FALSE)-VLOOKUP($A18,DATA!$A$3:$F$301,2,FALSE))^2+(VLOOKUP(CE$1,DATA!$A$3:$F$301,3,FALSE)-VLOOKUP($A18,DATA!$A$3:$F$301,3,FALSE))^2),"")</f>
        <v/>
      </c>
      <c r="CF18" s="14" t="str">
        <f>_xlfn.IFNA(SQRT((VLOOKUP(CF$1,DATA!$A$3:$F$301,2,FALSE)-VLOOKUP($A18,DATA!$A$3:$F$301,2,FALSE))^2+(VLOOKUP(CF$1,DATA!$A$3:$F$301,3,FALSE)-VLOOKUP($A18,DATA!$A$3:$F$301,3,FALSE))^2),"")</f>
        <v/>
      </c>
      <c r="CG18" s="14" t="str">
        <f>_xlfn.IFNA(SQRT((VLOOKUP(CG$1,DATA!$A$3:$F$301,2,FALSE)-VLOOKUP($A18,DATA!$A$3:$F$301,2,FALSE))^2+(VLOOKUP(CG$1,DATA!$A$3:$F$301,3,FALSE)-VLOOKUP($A18,DATA!$A$3:$F$301,3,FALSE))^2),"")</f>
        <v/>
      </c>
      <c r="CH18" s="14" t="str">
        <f>_xlfn.IFNA(SQRT((VLOOKUP(CH$1,DATA!$A$3:$F$301,2,FALSE)-VLOOKUP($A18,DATA!$A$3:$F$301,2,FALSE))^2+(VLOOKUP(CH$1,DATA!$A$3:$F$301,3,FALSE)-VLOOKUP($A18,DATA!$A$3:$F$301,3,FALSE))^2),"")</f>
        <v/>
      </c>
      <c r="CI18" s="14" t="str">
        <f>_xlfn.IFNA(SQRT((VLOOKUP(CI$1,DATA!$A$3:$F$301,2,FALSE)-VLOOKUP($A18,DATA!$A$3:$F$301,2,FALSE))^2+(VLOOKUP(CI$1,DATA!$A$3:$F$301,3,FALSE)-VLOOKUP($A18,DATA!$A$3:$F$301,3,FALSE))^2),"")</f>
        <v/>
      </c>
      <c r="CJ18" s="14" t="str">
        <f>_xlfn.IFNA(SQRT((VLOOKUP(CJ$1,DATA!$A$3:$F$301,2,FALSE)-VLOOKUP($A18,DATA!$A$3:$F$301,2,FALSE))^2+(VLOOKUP(CJ$1,DATA!$A$3:$F$301,3,FALSE)-VLOOKUP($A18,DATA!$A$3:$F$301,3,FALSE))^2),"")</f>
        <v/>
      </c>
      <c r="CK18" s="14" t="str">
        <f>_xlfn.IFNA(SQRT((VLOOKUP(CK$1,DATA!$A$3:$F$301,2,FALSE)-VLOOKUP($A18,DATA!$A$3:$F$301,2,FALSE))^2+(VLOOKUP(CK$1,DATA!$A$3:$F$301,3,FALSE)-VLOOKUP($A18,DATA!$A$3:$F$301,3,FALSE))^2),"")</f>
        <v/>
      </c>
      <c r="CL18" s="14" t="str">
        <f>_xlfn.IFNA(SQRT((VLOOKUP(CL$1,DATA!$A$3:$F$301,2,FALSE)-VLOOKUP($A18,DATA!$A$3:$F$301,2,FALSE))^2+(VLOOKUP(CL$1,DATA!$A$3:$F$301,3,FALSE)-VLOOKUP($A18,DATA!$A$3:$F$301,3,FALSE))^2),"")</f>
        <v/>
      </c>
      <c r="CM18" s="14" t="str">
        <f>_xlfn.IFNA(SQRT((VLOOKUP(CM$1,DATA!$A$3:$F$301,2,FALSE)-VLOOKUP($A18,DATA!$A$3:$F$301,2,FALSE))^2+(VLOOKUP(CM$1,DATA!$A$3:$F$301,3,FALSE)-VLOOKUP($A18,DATA!$A$3:$F$301,3,FALSE))^2),"")</f>
        <v/>
      </c>
      <c r="CN18" s="14" t="str">
        <f>_xlfn.IFNA(SQRT((VLOOKUP(CN$1,DATA!$A$3:$F$301,2,FALSE)-VLOOKUP($A18,DATA!$A$3:$F$301,2,FALSE))^2+(VLOOKUP(CN$1,DATA!$A$3:$F$301,3,FALSE)-VLOOKUP($A18,DATA!$A$3:$F$301,3,FALSE))^2),"")</f>
        <v/>
      </c>
      <c r="CO18" s="14" t="str">
        <f>_xlfn.IFNA(SQRT((VLOOKUP(CO$1,DATA!$A$3:$F$301,2,FALSE)-VLOOKUP($A18,DATA!$A$3:$F$301,2,FALSE))^2+(VLOOKUP(CO$1,DATA!$A$3:$F$301,3,FALSE)-VLOOKUP($A18,DATA!$A$3:$F$301,3,FALSE))^2),"")</f>
        <v/>
      </c>
      <c r="CP18" s="14" t="str">
        <f>_xlfn.IFNA(SQRT((VLOOKUP(CP$1,DATA!$A$3:$F$301,2,FALSE)-VLOOKUP($A18,DATA!$A$3:$F$301,2,FALSE))^2+(VLOOKUP(CP$1,DATA!$A$3:$F$301,3,FALSE)-VLOOKUP($A18,DATA!$A$3:$F$301,3,FALSE))^2),"")</f>
        <v/>
      </c>
      <c r="CQ18" s="14" t="str">
        <f>_xlfn.IFNA(SQRT((VLOOKUP(CQ$1,DATA!$A$3:$F$301,2,FALSE)-VLOOKUP($A18,DATA!$A$3:$F$301,2,FALSE))^2+(VLOOKUP(CQ$1,DATA!$A$3:$F$301,3,FALSE)-VLOOKUP($A18,DATA!$A$3:$F$301,3,FALSE))^2),"")</f>
        <v/>
      </c>
      <c r="CR18" s="14" t="str">
        <f>_xlfn.IFNA(SQRT((VLOOKUP(CR$1,DATA!$A$3:$F$301,2,FALSE)-VLOOKUP($A18,DATA!$A$3:$F$301,2,FALSE))^2+(VLOOKUP(CR$1,DATA!$A$3:$F$301,3,FALSE)-VLOOKUP($A18,DATA!$A$3:$F$301,3,FALSE))^2),"")</f>
        <v/>
      </c>
      <c r="CS18" s="14" t="str">
        <f>_xlfn.IFNA(SQRT((VLOOKUP(CS$1,DATA!$A$3:$F$301,2,FALSE)-VLOOKUP($A18,DATA!$A$3:$F$301,2,FALSE))^2+(VLOOKUP(CS$1,DATA!$A$3:$F$301,3,FALSE)-VLOOKUP($A18,DATA!$A$3:$F$301,3,FALSE))^2),"")</f>
        <v/>
      </c>
      <c r="CT18" s="14" t="str">
        <f>_xlfn.IFNA(SQRT((VLOOKUP(CT$1,DATA!$A$3:$F$301,2,FALSE)-VLOOKUP($A18,DATA!$A$3:$F$301,2,FALSE))^2+(VLOOKUP(CT$1,DATA!$A$3:$F$301,3,FALSE)-VLOOKUP($A18,DATA!$A$3:$F$301,3,FALSE))^2),"")</f>
        <v/>
      </c>
      <c r="CU18" s="14" t="str">
        <f>_xlfn.IFNA(SQRT((VLOOKUP(CU$1,DATA!$A$3:$F$301,2,FALSE)-VLOOKUP($A18,DATA!$A$3:$F$301,2,FALSE))^2+(VLOOKUP(CU$1,DATA!$A$3:$F$301,3,FALSE)-VLOOKUP($A18,DATA!$A$3:$F$301,3,FALSE))^2),"")</f>
        <v/>
      </c>
      <c r="CV18" s="14" t="str">
        <f>_xlfn.IFNA(SQRT((VLOOKUP(CV$1,DATA!$A$3:$F$301,2,FALSE)-VLOOKUP($A18,DATA!$A$3:$F$301,2,FALSE))^2+(VLOOKUP(CV$1,DATA!$A$3:$F$301,3,FALSE)-VLOOKUP($A18,DATA!$A$3:$F$301,3,FALSE))^2),"")</f>
        <v/>
      </c>
      <c r="CW18" s="14" t="str">
        <f>_xlfn.IFNA(SQRT((VLOOKUP(CW$1,DATA!$A$3:$F$301,2,FALSE)-VLOOKUP($A18,DATA!$A$3:$F$301,2,FALSE))^2+(VLOOKUP(CW$1,DATA!$A$3:$F$301,3,FALSE)-VLOOKUP($A18,DATA!$A$3:$F$301,3,FALSE))^2),"")</f>
        <v/>
      </c>
      <c r="CX18" s="14" t="str">
        <f>_xlfn.IFNA(SQRT((VLOOKUP(CX$1,DATA!$A$3:$F$301,2,FALSE)-VLOOKUP($A18,DATA!$A$3:$F$301,2,FALSE))^2+(VLOOKUP(CX$1,DATA!$A$3:$F$301,3,FALSE)-VLOOKUP($A18,DATA!$A$3:$F$301,3,FALSE))^2),"")</f>
        <v/>
      </c>
    </row>
    <row r="19" spans="1:102">
      <c r="A19" s="13">
        <v>18</v>
      </c>
      <c r="B19" s="14">
        <f>_xlfn.IFNA(SQRT((VLOOKUP(B$1,DATA!$A$3:$F$301,2,FALSE)-VLOOKUP($A19,DATA!$A$3:$F$301,2,FALSE))^2+(VLOOKUP(B$1,DATA!$A$3:$F$301,3,FALSE)-VLOOKUP($A19,DATA!$A$3:$F$301,3,FALSE))^2),"")</f>
        <v>22.022715545545239</v>
      </c>
      <c r="C19" s="14">
        <f>_xlfn.IFNA(SQRT((VLOOKUP(C$1,DATA!$A$3:$F$301,2,FALSE)-VLOOKUP($A19,DATA!$A$3:$F$301,2,FALSE))^2+(VLOOKUP(C$1,DATA!$A$3:$F$301,3,FALSE)-VLOOKUP($A19,DATA!$A$3:$F$301,3,FALSE))^2),"")</f>
        <v>25.553864678361276</v>
      </c>
      <c r="D19" s="14">
        <f>_xlfn.IFNA(SQRT((VLOOKUP(D$1,DATA!$A$3:$F$301,2,FALSE)-VLOOKUP($A19,DATA!$A$3:$F$301,2,FALSE))^2+(VLOOKUP(D$1,DATA!$A$3:$F$301,3,FALSE)-VLOOKUP($A19,DATA!$A$3:$F$301,3,FALSE))^2),"")</f>
        <v>31.064449134018133</v>
      </c>
      <c r="E19" s="14">
        <f>_xlfn.IFNA(SQRT((VLOOKUP(E$1,DATA!$A$3:$F$301,2,FALSE)-VLOOKUP($A19,DATA!$A$3:$F$301,2,FALSE))^2+(VLOOKUP(E$1,DATA!$A$3:$F$301,3,FALSE)-VLOOKUP($A19,DATA!$A$3:$F$301,3,FALSE))^2),"")</f>
        <v>23.021728866442675</v>
      </c>
      <c r="F19" s="14">
        <f>_xlfn.IFNA(SQRT((VLOOKUP(F$1,DATA!$A$3:$F$301,2,FALSE)-VLOOKUP($A19,DATA!$A$3:$F$301,2,FALSE))^2+(VLOOKUP(F$1,DATA!$A$3:$F$301,3,FALSE)-VLOOKUP($A19,DATA!$A$3:$F$301,3,FALSE))^2),"")</f>
        <v>27.856776554368238</v>
      </c>
      <c r="G19" s="14">
        <f>_xlfn.IFNA(SQRT((VLOOKUP(G$1,DATA!$A$3:$F$301,2,FALSE)-VLOOKUP($A19,DATA!$A$3:$F$301,2,FALSE))^2+(VLOOKUP(G$1,DATA!$A$3:$F$301,3,FALSE)-VLOOKUP($A19,DATA!$A$3:$F$301,3,FALSE))^2),"")</f>
        <v>6.4031242374328485</v>
      </c>
      <c r="H19" s="14">
        <f>_xlfn.IFNA(SQRT((VLOOKUP(H$1,DATA!$A$3:$F$301,2,FALSE)-VLOOKUP($A19,DATA!$A$3:$F$301,2,FALSE))^2+(VLOOKUP(H$1,DATA!$A$3:$F$301,3,FALSE)-VLOOKUP($A19,DATA!$A$3:$F$301,3,FALSE))^2),"")</f>
        <v>19.849433241279208</v>
      </c>
      <c r="I19" s="14">
        <f>_xlfn.IFNA(SQRT((VLOOKUP(I$1,DATA!$A$3:$F$301,2,FALSE)-VLOOKUP($A19,DATA!$A$3:$F$301,2,FALSE))^2+(VLOOKUP(I$1,DATA!$A$3:$F$301,3,FALSE)-VLOOKUP($A19,DATA!$A$3:$F$301,3,FALSE))^2),"")</f>
        <v>12.041594578792296</v>
      </c>
      <c r="J19" s="14">
        <f>_xlfn.IFNA(SQRT((VLOOKUP(J$1,DATA!$A$3:$F$301,2,FALSE)-VLOOKUP($A19,DATA!$A$3:$F$301,2,FALSE))^2+(VLOOKUP(J$1,DATA!$A$3:$F$301,3,FALSE)-VLOOKUP($A19,DATA!$A$3:$F$301,3,FALSE))^2),"")</f>
        <v>9.4868329805051381</v>
      </c>
      <c r="K19" s="14">
        <f>_xlfn.IFNA(SQRT((VLOOKUP(K$1,DATA!$A$3:$F$301,2,FALSE)-VLOOKUP($A19,DATA!$A$3:$F$301,2,FALSE))^2+(VLOOKUP(K$1,DATA!$A$3:$F$301,3,FALSE)-VLOOKUP($A19,DATA!$A$3:$F$301,3,FALSE))^2),"")</f>
        <v>34.655446902326915</v>
      </c>
      <c r="L19" s="14">
        <f>_xlfn.IFNA(SQRT((VLOOKUP(L$1,DATA!$A$3:$F$301,2,FALSE)-VLOOKUP($A19,DATA!$A$3:$F$301,2,FALSE))^2+(VLOOKUP(L$1,DATA!$A$3:$F$301,3,FALSE)-VLOOKUP($A19,DATA!$A$3:$F$301,3,FALSE))^2),"")</f>
        <v>10.04987562112089</v>
      </c>
      <c r="M19" s="14">
        <f>_xlfn.IFNA(SQRT((VLOOKUP(M$1,DATA!$A$3:$F$301,2,FALSE)-VLOOKUP($A19,DATA!$A$3:$F$301,2,FALSE))^2+(VLOOKUP(M$1,DATA!$A$3:$F$301,3,FALSE)-VLOOKUP($A19,DATA!$A$3:$F$301,3,FALSE))^2),"")</f>
        <v>15.132745950421556</v>
      </c>
      <c r="N19" s="14">
        <f>_xlfn.IFNA(SQRT((VLOOKUP(N$1,DATA!$A$3:$F$301,2,FALSE)-VLOOKUP($A19,DATA!$A$3:$F$301,2,FALSE))^2+(VLOOKUP(N$1,DATA!$A$3:$F$301,3,FALSE)-VLOOKUP($A19,DATA!$A$3:$F$301,3,FALSE))^2),"")</f>
        <v>17.029386365926403</v>
      </c>
      <c r="O19" s="14">
        <f>_xlfn.IFNA(SQRT((VLOOKUP(O$1,DATA!$A$3:$F$301,2,FALSE)-VLOOKUP($A19,DATA!$A$3:$F$301,2,FALSE))^2+(VLOOKUP(O$1,DATA!$A$3:$F$301,3,FALSE)-VLOOKUP($A19,DATA!$A$3:$F$301,3,FALSE))^2),"")</f>
        <v>32.756678708318397</v>
      </c>
      <c r="P19" s="14">
        <f>_xlfn.IFNA(SQRT((VLOOKUP(P$1,DATA!$A$3:$F$301,2,FALSE)-VLOOKUP($A19,DATA!$A$3:$F$301,2,FALSE))^2+(VLOOKUP(P$1,DATA!$A$3:$F$301,3,FALSE)-VLOOKUP($A19,DATA!$A$3:$F$301,3,FALSE))^2),"")</f>
        <v>20.615528128088304</v>
      </c>
      <c r="Q19" s="14">
        <f>_xlfn.IFNA(SQRT((VLOOKUP(Q$1,DATA!$A$3:$F$301,2,FALSE)-VLOOKUP($A19,DATA!$A$3:$F$301,2,FALSE))^2+(VLOOKUP(Q$1,DATA!$A$3:$F$301,3,FALSE)-VLOOKUP($A19,DATA!$A$3:$F$301,3,FALSE))^2),"")</f>
        <v>7.810249675906654</v>
      </c>
      <c r="R19" s="14">
        <f>_xlfn.IFNA(SQRT((VLOOKUP(R$1,DATA!$A$3:$F$301,2,FALSE)-VLOOKUP($A19,DATA!$A$3:$F$301,2,FALSE))^2+(VLOOKUP(R$1,DATA!$A$3:$F$301,3,FALSE)-VLOOKUP($A19,DATA!$A$3:$F$301,3,FALSE))^2),"")</f>
        <v>28.071337695236398</v>
      </c>
      <c r="S19" s="14">
        <f>_xlfn.IFNA(SQRT((VLOOKUP(S$1,DATA!$A$3:$F$301,2,FALSE)-VLOOKUP($A19,DATA!$A$3:$F$301,2,FALSE))^2+(VLOOKUP(S$1,DATA!$A$3:$F$301,3,FALSE)-VLOOKUP($A19,DATA!$A$3:$F$301,3,FALSE))^2),"")</f>
        <v>0</v>
      </c>
      <c r="T19" s="14">
        <f>_xlfn.IFNA(SQRT((VLOOKUP(T$1,DATA!$A$3:$F$301,2,FALSE)-VLOOKUP($A19,DATA!$A$3:$F$301,2,FALSE))^2+(VLOOKUP(T$1,DATA!$A$3:$F$301,3,FALSE)-VLOOKUP($A19,DATA!$A$3:$F$301,3,FALSE))^2),"")</f>
        <v>24.083189157584592</v>
      </c>
      <c r="U19" s="14">
        <f>_xlfn.IFNA(SQRT((VLOOKUP(U$1,DATA!$A$3:$F$301,2,FALSE)-VLOOKUP($A19,DATA!$A$3:$F$301,2,FALSE))^2+(VLOOKUP(U$1,DATA!$A$3:$F$301,3,FALSE)-VLOOKUP($A19,DATA!$A$3:$F$301,3,FALSE))^2),"")</f>
        <v>23.194827009486403</v>
      </c>
      <c r="V19" s="14">
        <f>_xlfn.IFNA(SQRT((VLOOKUP(V$1,DATA!$A$3:$F$301,2,FALSE)-VLOOKUP($A19,DATA!$A$3:$F$301,2,FALSE))^2+(VLOOKUP(V$1,DATA!$A$3:$F$301,3,FALSE)-VLOOKUP($A19,DATA!$A$3:$F$301,3,FALSE))^2),"")</f>
        <v>14.317821063276353</v>
      </c>
      <c r="W19" s="14">
        <f>_xlfn.IFNA(SQRT((VLOOKUP(W$1,DATA!$A$3:$F$301,2,FALSE)-VLOOKUP($A19,DATA!$A$3:$F$301,2,FALSE))^2+(VLOOKUP(W$1,DATA!$A$3:$F$301,3,FALSE)-VLOOKUP($A19,DATA!$A$3:$F$301,3,FALSE))^2),"")</f>
        <v>22.360679774997898</v>
      </c>
      <c r="X19" s="14">
        <f>_xlfn.IFNA(SQRT((VLOOKUP(X$1,DATA!$A$3:$F$301,2,FALSE)-VLOOKUP($A19,DATA!$A$3:$F$301,2,FALSE))^2+(VLOOKUP(X$1,DATA!$A$3:$F$301,3,FALSE)-VLOOKUP($A19,DATA!$A$3:$F$301,3,FALSE))^2),"")</f>
        <v>26.40075756488817</v>
      </c>
      <c r="Y19" s="14">
        <f>_xlfn.IFNA(SQRT((VLOOKUP(Y$1,DATA!$A$3:$F$301,2,FALSE)-VLOOKUP($A19,DATA!$A$3:$F$301,2,FALSE))^2+(VLOOKUP(Y$1,DATA!$A$3:$F$301,3,FALSE)-VLOOKUP($A19,DATA!$A$3:$F$301,3,FALSE))^2),"")</f>
        <v>10.63014581273465</v>
      </c>
      <c r="Z19" s="14">
        <f>_xlfn.IFNA(SQRT((VLOOKUP(Z$1,DATA!$A$3:$F$301,2,FALSE)-VLOOKUP($A19,DATA!$A$3:$F$301,2,FALSE))^2+(VLOOKUP(Z$1,DATA!$A$3:$F$301,3,FALSE)-VLOOKUP($A19,DATA!$A$3:$F$301,3,FALSE))^2),"")</f>
        <v>29</v>
      </c>
      <c r="AA19" s="14">
        <f>_xlfn.IFNA(SQRT((VLOOKUP(AA$1,DATA!$A$3:$F$301,2,FALSE)-VLOOKUP($A19,DATA!$A$3:$F$301,2,FALSE))^2+(VLOOKUP(AA$1,DATA!$A$3:$F$301,3,FALSE)-VLOOKUP($A19,DATA!$A$3:$F$301,3,FALSE))^2),"")</f>
        <v>10</v>
      </c>
      <c r="AB19" s="14">
        <f>_xlfn.IFNA(SQRT((VLOOKUP(AB$1,DATA!$A$3:$F$301,2,FALSE)-VLOOKUP($A19,DATA!$A$3:$F$301,2,FALSE))^2+(VLOOKUP(AB$1,DATA!$A$3:$F$301,3,FALSE)-VLOOKUP($A19,DATA!$A$3:$F$301,3,FALSE))^2),"")</f>
        <v>33.837848631377263</v>
      </c>
      <c r="AC19" s="14">
        <f>_xlfn.IFNA(SQRT((VLOOKUP(AC$1,DATA!$A$3:$F$301,2,FALSE)-VLOOKUP($A19,DATA!$A$3:$F$301,2,FALSE))^2+(VLOOKUP(AC$1,DATA!$A$3:$F$301,3,FALSE)-VLOOKUP($A19,DATA!$A$3:$F$301,3,FALSE))^2),"")</f>
        <v>18.788294228055936</v>
      </c>
      <c r="AD19" s="14">
        <f>_xlfn.IFNA(SQRT((VLOOKUP(AD$1,DATA!$A$3:$F$301,2,FALSE)-VLOOKUP($A19,DATA!$A$3:$F$301,2,FALSE))^2+(VLOOKUP(AD$1,DATA!$A$3:$F$301,3,FALSE)-VLOOKUP($A19,DATA!$A$3:$F$301,3,FALSE))^2),"")</f>
        <v>27.784887978899608</v>
      </c>
      <c r="AE19" s="14">
        <f>_xlfn.IFNA(SQRT((VLOOKUP(AE$1,DATA!$A$3:$F$301,2,FALSE)-VLOOKUP($A19,DATA!$A$3:$F$301,2,FALSE))^2+(VLOOKUP(AE$1,DATA!$A$3:$F$301,3,FALSE)-VLOOKUP($A19,DATA!$A$3:$F$301,3,FALSE))^2),"")</f>
        <v>33.734255586865999</v>
      </c>
      <c r="AF19" s="14">
        <f>_xlfn.IFNA(SQRT((VLOOKUP(AF$1,DATA!$A$3:$F$301,2,FALSE)-VLOOKUP($A19,DATA!$A$3:$F$301,2,FALSE))^2+(VLOOKUP(AF$1,DATA!$A$3:$F$301,3,FALSE)-VLOOKUP($A19,DATA!$A$3:$F$301,3,FALSE))^2),"")</f>
        <v>23.194827009486403</v>
      </c>
      <c r="AG19" s="14">
        <f>_xlfn.IFNA(SQRT((VLOOKUP(AG$1,DATA!$A$3:$F$301,2,FALSE)-VLOOKUP($A19,DATA!$A$3:$F$301,2,FALSE))^2+(VLOOKUP(AG$1,DATA!$A$3:$F$301,3,FALSE)-VLOOKUP($A19,DATA!$A$3:$F$301,3,FALSE))^2),"")</f>
        <v>18.027756377319946</v>
      </c>
      <c r="AH19" s="14">
        <f>_xlfn.IFNA(SQRT((VLOOKUP(AH$1,DATA!$A$3:$F$301,2,FALSE)-VLOOKUP($A19,DATA!$A$3:$F$301,2,FALSE))^2+(VLOOKUP(AH$1,DATA!$A$3:$F$301,3,FALSE)-VLOOKUP($A19,DATA!$A$3:$F$301,3,FALSE))^2),"")</f>
        <v>6.4031242374328485</v>
      </c>
      <c r="AI19" s="14">
        <f>_xlfn.IFNA(SQRT((VLOOKUP(AI$1,DATA!$A$3:$F$301,2,FALSE)-VLOOKUP($A19,DATA!$A$3:$F$301,2,FALSE))^2+(VLOOKUP(AI$1,DATA!$A$3:$F$301,3,FALSE)-VLOOKUP($A19,DATA!$A$3:$F$301,3,FALSE))^2),"")</f>
        <v>28.0178514522438</v>
      </c>
      <c r="AJ19" s="14">
        <f>_xlfn.IFNA(SQRT((VLOOKUP(AJ$1,DATA!$A$3:$F$301,2,FALSE)-VLOOKUP($A19,DATA!$A$3:$F$301,2,FALSE))^2+(VLOOKUP(AJ$1,DATA!$A$3:$F$301,3,FALSE)-VLOOKUP($A19,DATA!$A$3:$F$301,3,FALSE))^2),"")</f>
        <v>15.264337522473747</v>
      </c>
      <c r="AK19" s="14">
        <f>_xlfn.IFNA(SQRT((VLOOKUP(AK$1,DATA!$A$3:$F$301,2,FALSE)-VLOOKUP($A19,DATA!$A$3:$F$301,2,FALSE))^2+(VLOOKUP(AK$1,DATA!$A$3:$F$301,3,FALSE)-VLOOKUP($A19,DATA!$A$3:$F$301,3,FALSE))^2),"")</f>
        <v>10.04987562112089</v>
      </c>
      <c r="AL19" s="14">
        <f>_xlfn.IFNA(SQRT((VLOOKUP(AL$1,DATA!$A$3:$F$301,2,FALSE)-VLOOKUP($A19,DATA!$A$3:$F$301,2,FALSE))^2+(VLOOKUP(AL$1,DATA!$A$3:$F$301,3,FALSE)-VLOOKUP($A19,DATA!$A$3:$F$301,3,FALSE))^2),"")</f>
        <v>18.681541692269406</v>
      </c>
      <c r="AM19" s="14">
        <f>_xlfn.IFNA(SQRT((VLOOKUP(AM$1,DATA!$A$3:$F$301,2,FALSE)-VLOOKUP($A19,DATA!$A$3:$F$301,2,FALSE))^2+(VLOOKUP(AM$1,DATA!$A$3:$F$301,3,FALSE)-VLOOKUP($A19,DATA!$A$3:$F$301,3,FALSE))^2),"")</f>
        <v>14.212670403551895</v>
      </c>
      <c r="AN19" s="14">
        <f>_xlfn.IFNA(SQRT((VLOOKUP(AN$1,DATA!$A$3:$F$301,2,FALSE)-VLOOKUP($A19,DATA!$A$3:$F$301,2,FALSE))^2+(VLOOKUP(AN$1,DATA!$A$3:$F$301,3,FALSE)-VLOOKUP($A19,DATA!$A$3:$F$301,3,FALSE))^2),"")</f>
        <v>28.653097563788805</v>
      </c>
      <c r="AO19" s="14">
        <f>_xlfn.IFNA(SQRT((VLOOKUP(AO$1,DATA!$A$3:$F$301,2,FALSE)-VLOOKUP($A19,DATA!$A$3:$F$301,2,FALSE))^2+(VLOOKUP(AO$1,DATA!$A$3:$F$301,3,FALSE)-VLOOKUP($A19,DATA!$A$3:$F$301,3,FALSE))^2),"")</f>
        <v>10</v>
      </c>
      <c r="AP19" s="14" t="str">
        <f>_xlfn.IFNA(SQRT((VLOOKUP(AP$1,DATA!$A$3:$F$301,2,FALSE)-VLOOKUP($A19,DATA!$A$3:$F$301,2,FALSE))^2+(VLOOKUP(AP$1,DATA!$A$3:$F$301,3,FALSE)-VLOOKUP($A19,DATA!$A$3:$F$301,3,FALSE))^2),"")</f>
        <v/>
      </c>
      <c r="AQ19" s="14" t="str">
        <f>_xlfn.IFNA(SQRT((VLOOKUP(AQ$1,DATA!$A$3:$F$301,2,FALSE)-VLOOKUP($A19,DATA!$A$3:$F$301,2,FALSE))^2+(VLOOKUP(AQ$1,DATA!$A$3:$F$301,3,FALSE)-VLOOKUP($A19,DATA!$A$3:$F$301,3,FALSE))^2),"")</f>
        <v/>
      </c>
      <c r="AR19" s="14" t="str">
        <f>_xlfn.IFNA(SQRT((VLOOKUP(AR$1,DATA!$A$3:$F$301,2,FALSE)-VLOOKUP($A19,DATA!$A$3:$F$301,2,FALSE))^2+(VLOOKUP(AR$1,DATA!$A$3:$F$301,3,FALSE)-VLOOKUP($A19,DATA!$A$3:$F$301,3,FALSE))^2),"")</f>
        <v/>
      </c>
      <c r="AS19" s="14" t="str">
        <f>_xlfn.IFNA(SQRT((VLOOKUP(AS$1,DATA!$A$3:$F$301,2,FALSE)-VLOOKUP($A19,DATA!$A$3:$F$301,2,FALSE))^2+(VLOOKUP(AS$1,DATA!$A$3:$F$301,3,FALSE)-VLOOKUP($A19,DATA!$A$3:$F$301,3,FALSE))^2),"")</f>
        <v/>
      </c>
      <c r="AT19" s="14" t="str">
        <f>_xlfn.IFNA(SQRT((VLOOKUP(AT$1,DATA!$A$3:$F$301,2,FALSE)-VLOOKUP($A19,DATA!$A$3:$F$301,2,FALSE))^2+(VLOOKUP(AT$1,DATA!$A$3:$F$301,3,FALSE)-VLOOKUP($A19,DATA!$A$3:$F$301,3,FALSE))^2),"")</f>
        <v/>
      </c>
      <c r="AU19" s="14" t="str">
        <f>_xlfn.IFNA(SQRT((VLOOKUP(AU$1,DATA!$A$3:$F$301,2,FALSE)-VLOOKUP($A19,DATA!$A$3:$F$301,2,FALSE))^2+(VLOOKUP(AU$1,DATA!$A$3:$F$301,3,FALSE)-VLOOKUP($A19,DATA!$A$3:$F$301,3,FALSE))^2),"")</f>
        <v/>
      </c>
      <c r="AV19" s="14" t="str">
        <f>_xlfn.IFNA(SQRT((VLOOKUP(AV$1,DATA!$A$3:$F$301,2,FALSE)-VLOOKUP($A19,DATA!$A$3:$F$301,2,FALSE))^2+(VLOOKUP(AV$1,DATA!$A$3:$F$301,3,FALSE)-VLOOKUP($A19,DATA!$A$3:$F$301,3,FALSE))^2),"")</f>
        <v/>
      </c>
      <c r="AW19" s="14" t="str">
        <f>_xlfn.IFNA(SQRT((VLOOKUP(AW$1,DATA!$A$3:$F$301,2,FALSE)-VLOOKUP($A19,DATA!$A$3:$F$301,2,FALSE))^2+(VLOOKUP(AW$1,DATA!$A$3:$F$301,3,FALSE)-VLOOKUP($A19,DATA!$A$3:$F$301,3,FALSE))^2),"")</f>
        <v/>
      </c>
      <c r="AX19" s="14" t="str">
        <f>_xlfn.IFNA(SQRT((VLOOKUP(AX$1,DATA!$A$3:$F$301,2,FALSE)-VLOOKUP($A19,DATA!$A$3:$F$301,2,FALSE))^2+(VLOOKUP(AX$1,DATA!$A$3:$F$301,3,FALSE)-VLOOKUP($A19,DATA!$A$3:$F$301,3,FALSE))^2),"")</f>
        <v/>
      </c>
      <c r="AY19" s="14" t="str">
        <f>_xlfn.IFNA(SQRT((VLOOKUP(AY$1,DATA!$A$3:$F$301,2,FALSE)-VLOOKUP($A19,DATA!$A$3:$F$301,2,FALSE))^2+(VLOOKUP(AY$1,DATA!$A$3:$F$301,3,FALSE)-VLOOKUP($A19,DATA!$A$3:$F$301,3,FALSE))^2),"")</f>
        <v/>
      </c>
      <c r="AZ19" s="14" t="str">
        <f>_xlfn.IFNA(SQRT((VLOOKUP(AZ$1,DATA!$A$3:$F$301,2,FALSE)-VLOOKUP($A19,DATA!$A$3:$F$301,2,FALSE))^2+(VLOOKUP(AZ$1,DATA!$A$3:$F$301,3,FALSE)-VLOOKUP($A19,DATA!$A$3:$F$301,3,FALSE))^2),"")</f>
        <v/>
      </c>
      <c r="BA19" s="14" t="str">
        <f>_xlfn.IFNA(SQRT((VLOOKUP(BA$1,DATA!$A$3:$F$301,2,FALSE)-VLOOKUP($A19,DATA!$A$3:$F$301,2,FALSE))^2+(VLOOKUP(BA$1,DATA!$A$3:$F$301,3,FALSE)-VLOOKUP($A19,DATA!$A$3:$F$301,3,FALSE))^2),"")</f>
        <v/>
      </c>
      <c r="BB19" s="14" t="str">
        <f>_xlfn.IFNA(SQRT((VLOOKUP(BB$1,DATA!$A$3:$F$301,2,FALSE)-VLOOKUP($A19,DATA!$A$3:$F$301,2,FALSE))^2+(VLOOKUP(BB$1,DATA!$A$3:$F$301,3,FALSE)-VLOOKUP($A19,DATA!$A$3:$F$301,3,FALSE))^2),"")</f>
        <v/>
      </c>
      <c r="BC19" s="14" t="str">
        <f>_xlfn.IFNA(SQRT((VLOOKUP(BC$1,DATA!$A$3:$F$301,2,FALSE)-VLOOKUP($A19,DATA!$A$3:$F$301,2,FALSE))^2+(VLOOKUP(BC$1,DATA!$A$3:$F$301,3,FALSE)-VLOOKUP($A19,DATA!$A$3:$F$301,3,FALSE))^2),"")</f>
        <v/>
      </c>
      <c r="BD19" s="14" t="str">
        <f>_xlfn.IFNA(SQRT((VLOOKUP(BD$1,DATA!$A$3:$F$301,2,FALSE)-VLOOKUP($A19,DATA!$A$3:$F$301,2,FALSE))^2+(VLOOKUP(BD$1,DATA!$A$3:$F$301,3,FALSE)-VLOOKUP($A19,DATA!$A$3:$F$301,3,FALSE))^2),"")</f>
        <v/>
      </c>
      <c r="BE19" s="14" t="str">
        <f>_xlfn.IFNA(SQRT((VLOOKUP(BE$1,DATA!$A$3:$F$301,2,FALSE)-VLOOKUP($A19,DATA!$A$3:$F$301,2,FALSE))^2+(VLOOKUP(BE$1,DATA!$A$3:$F$301,3,FALSE)-VLOOKUP($A19,DATA!$A$3:$F$301,3,FALSE))^2),"")</f>
        <v/>
      </c>
      <c r="BF19" s="14" t="str">
        <f>_xlfn.IFNA(SQRT((VLOOKUP(BF$1,DATA!$A$3:$F$301,2,FALSE)-VLOOKUP($A19,DATA!$A$3:$F$301,2,FALSE))^2+(VLOOKUP(BF$1,DATA!$A$3:$F$301,3,FALSE)-VLOOKUP($A19,DATA!$A$3:$F$301,3,FALSE))^2),"")</f>
        <v/>
      </c>
      <c r="BG19" s="14" t="str">
        <f>_xlfn.IFNA(SQRT((VLOOKUP(BG$1,DATA!$A$3:$F$301,2,FALSE)-VLOOKUP($A19,DATA!$A$3:$F$301,2,FALSE))^2+(VLOOKUP(BG$1,DATA!$A$3:$F$301,3,FALSE)-VLOOKUP($A19,DATA!$A$3:$F$301,3,FALSE))^2),"")</f>
        <v/>
      </c>
      <c r="BH19" s="14" t="str">
        <f>_xlfn.IFNA(SQRT((VLOOKUP(BH$1,DATA!$A$3:$F$301,2,FALSE)-VLOOKUP($A19,DATA!$A$3:$F$301,2,FALSE))^2+(VLOOKUP(BH$1,DATA!$A$3:$F$301,3,FALSE)-VLOOKUP($A19,DATA!$A$3:$F$301,3,FALSE))^2),"")</f>
        <v/>
      </c>
      <c r="BI19" s="14" t="str">
        <f>_xlfn.IFNA(SQRT((VLOOKUP(BI$1,DATA!$A$3:$F$301,2,FALSE)-VLOOKUP($A19,DATA!$A$3:$F$301,2,FALSE))^2+(VLOOKUP(BI$1,DATA!$A$3:$F$301,3,FALSE)-VLOOKUP($A19,DATA!$A$3:$F$301,3,FALSE))^2),"")</f>
        <v/>
      </c>
      <c r="BJ19" s="14" t="str">
        <f>_xlfn.IFNA(SQRT((VLOOKUP(BJ$1,DATA!$A$3:$F$301,2,FALSE)-VLOOKUP($A19,DATA!$A$3:$F$301,2,FALSE))^2+(VLOOKUP(BJ$1,DATA!$A$3:$F$301,3,FALSE)-VLOOKUP($A19,DATA!$A$3:$F$301,3,FALSE))^2),"")</f>
        <v/>
      </c>
      <c r="BK19" s="14" t="str">
        <f>_xlfn.IFNA(SQRT((VLOOKUP(BK$1,DATA!$A$3:$F$301,2,FALSE)-VLOOKUP($A19,DATA!$A$3:$F$301,2,FALSE))^2+(VLOOKUP(BK$1,DATA!$A$3:$F$301,3,FALSE)-VLOOKUP($A19,DATA!$A$3:$F$301,3,FALSE))^2),"")</f>
        <v/>
      </c>
      <c r="BL19" s="14" t="str">
        <f>_xlfn.IFNA(SQRT((VLOOKUP(BL$1,DATA!$A$3:$F$301,2,FALSE)-VLOOKUP($A19,DATA!$A$3:$F$301,2,FALSE))^2+(VLOOKUP(BL$1,DATA!$A$3:$F$301,3,FALSE)-VLOOKUP($A19,DATA!$A$3:$F$301,3,FALSE))^2),"")</f>
        <v/>
      </c>
      <c r="BM19" s="14" t="str">
        <f>_xlfn.IFNA(SQRT((VLOOKUP(BM$1,DATA!$A$3:$F$301,2,FALSE)-VLOOKUP($A19,DATA!$A$3:$F$301,2,FALSE))^2+(VLOOKUP(BM$1,DATA!$A$3:$F$301,3,FALSE)-VLOOKUP($A19,DATA!$A$3:$F$301,3,FALSE))^2),"")</f>
        <v/>
      </c>
      <c r="BN19" s="14" t="str">
        <f>_xlfn.IFNA(SQRT((VLOOKUP(BN$1,DATA!$A$3:$F$301,2,FALSE)-VLOOKUP($A19,DATA!$A$3:$F$301,2,FALSE))^2+(VLOOKUP(BN$1,DATA!$A$3:$F$301,3,FALSE)-VLOOKUP($A19,DATA!$A$3:$F$301,3,FALSE))^2),"")</f>
        <v/>
      </c>
      <c r="BO19" s="14" t="str">
        <f>_xlfn.IFNA(SQRT((VLOOKUP(BO$1,DATA!$A$3:$F$301,2,FALSE)-VLOOKUP($A19,DATA!$A$3:$F$301,2,FALSE))^2+(VLOOKUP(BO$1,DATA!$A$3:$F$301,3,FALSE)-VLOOKUP($A19,DATA!$A$3:$F$301,3,FALSE))^2),"")</f>
        <v/>
      </c>
      <c r="BP19" s="14" t="str">
        <f>_xlfn.IFNA(SQRT((VLOOKUP(BP$1,DATA!$A$3:$F$301,2,FALSE)-VLOOKUP($A19,DATA!$A$3:$F$301,2,FALSE))^2+(VLOOKUP(BP$1,DATA!$A$3:$F$301,3,FALSE)-VLOOKUP($A19,DATA!$A$3:$F$301,3,FALSE))^2),"")</f>
        <v/>
      </c>
      <c r="BQ19" s="14" t="str">
        <f>_xlfn.IFNA(SQRT((VLOOKUP(BQ$1,DATA!$A$3:$F$301,2,FALSE)-VLOOKUP($A19,DATA!$A$3:$F$301,2,FALSE))^2+(VLOOKUP(BQ$1,DATA!$A$3:$F$301,3,FALSE)-VLOOKUP($A19,DATA!$A$3:$F$301,3,FALSE))^2),"")</f>
        <v/>
      </c>
      <c r="BR19" s="14" t="str">
        <f>_xlfn.IFNA(SQRT((VLOOKUP(BR$1,DATA!$A$3:$F$301,2,FALSE)-VLOOKUP($A19,DATA!$A$3:$F$301,2,FALSE))^2+(VLOOKUP(BR$1,DATA!$A$3:$F$301,3,FALSE)-VLOOKUP($A19,DATA!$A$3:$F$301,3,FALSE))^2),"")</f>
        <v/>
      </c>
      <c r="BS19" s="14" t="str">
        <f>_xlfn.IFNA(SQRT((VLOOKUP(BS$1,DATA!$A$3:$F$301,2,FALSE)-VLOOKUP($A19,DATA!$A$3:$F$301,2,FALSE))^2+(VLOOKUP(BS$1,DATA!$A$3:$F$301,3,FALSE)-VLOOKUP($A19,DATA!$A$3:$F$301,3,FALSE))^2),"")</f>
        <v/>
      </c>
      <c r="BT19" s="14" t="str">
        <f>_xlfn.IFNA(SQRT((VLOOKUP(BT$1,DATA!$A$3:$F$301,2,FALSE)-VLOOKUP($A19,DATA!$A$3:$F$301,2,FALSE))^2+(VLOOKUP(BT$1,DATA!$A$3:$F$301,3,FALSE)-VLOOKUP($A19,DATA!$A$3:$F$301,3,FALSE))^2),"")</f>
        <v/>
      </c>
      <c r="BU19" s="14" t="str">
        <f>_xlfn.IFNA(SQRT((VLOOKUP(BU$1,DATA!$A$3:$F$301,2,FALSE)-VLOOKUP($A19,DATA!$A$3:$F$301,2,FALSE))^2+(VLOOKUP(BU$1,DATA!$A$3:$F$301,3,FALSE)-VLOOKUP($A19,DATA!$A$3:$F$301,3,FALSE))^2),"")</f>
        <v/>
      </c>
      <c r="BV19" s="14" t="str">
        <f>_xlfn.IFNA(SQRT((VLOOKUP(BV$1,DATA!$A$3:$F$301,2,FALSE)-VLOOKUP($A19,DATA!$A$3:$F$301,2,FALSE))^2+(VLOOKUP(BV$1,DATA!$A$3:$F$301,3,FALSE)-VLOOKUP($A19,DATA!$A$3:$F$301,3,FALSE))^2),"")</f>
        <v/>
      </c>
      <c r="BW19" s="14" t="str">
        <f>_xlfn.IFNA(SQRT((VLOOKUP(BW$1,DATA!$A$3:$F$301,2,FALSE)-VLOOKUP($A19,DATA!$A$3:$F$301,2,FALSE))^2+(VLOOKUP(BW$1,DATA!$A$3:$F$301,3,FALSE)-VLOOKUP($A19,DATA!$A$3:$F$301,3,FALSE))^2),"")</f>
        <v/>
      </c>
      <c r="BX19" s="14" t="str">
        <f>_xlfn.IFNA(SQRT((VLOOKUP(BX$1,DATA!$A$3:$F$301,2,FALSE)-VLOOKUP($A19,DATA!$A$3:$F$301,2,FALSE))^2+(VLOOKUP(BX$1,DATA!$A$3:$F$301,3,FALSE)-VLOOKUP($A19,DATA!$A$3:$F$301,3,FALSE))^2),"")</f>
        <v/>
      </c>
      <c r="BY19" s="14" t="str">
        <f>_xlfn.IFNA(SQRT((VLOOKUP(BY$1,DATA!$A$3:$F$301,2,FALSE)-VLOOKUP($A19,DATA!$A$3:$F$301,2,FALSE))^2+(VLOOKUP(BY$1,DATA!$A$3:$F$301,3,FALSE)-VLOOKUP($A19,DATA!$A$3:$F$301,3,FALSE))^2),"")</f>
        <v/>
      </c>
      <c r="BZ19" s="14" t="str">
        <f>_xlfn.IFNA(SQRT((VLOOKUP(BZ$1,DATA!$A$3:$F$301,2,FALSE)-VLOOKUP($A19,DATA!$A$3:$F$301,2,FALSE))^2+(VLOOKUP(BZ$1,DATA!$A$3:$F$301,3,FALSE)-VLOOKUP($A19,DATA!$A$3:$F$301,3,FALSE))^2),"")</f>
        <v/>
      </c>
      <c r="CA19" s="14" t="str">
        <f>_xlfn.IFNA(SQRT((VLOOKUP(CA$1,DATA!$A$3:$F$301,2,FALSE)-VLOOKUP($A19,DATA!$A$3:$F$301,2,FALSE))^2+(VLOOKUP(CA$1,DATA!$A$3:$F$301,3,FALSE)-VLOOKUP($A19,DATA!$A$3:$F$301,3,FALSE))^2),"")</f>
        <v/>
      </c>
      <c r="CB19" s="14" t="str">
        <f>_xlfn.IFNA(SQRT((VLOOKUP(CB$1,DATA!$A$3:$F$301,2,FALSE)-VLOOKUP($A19,DATA!$A$3:$F$301,2,FALSE))^2+(VLOOKUP(CB$1,DATA!$A$3:$F$301,3,FALSE)-VLOOKUP($A19,DATA!$A$3:$F$301,3,FALSE))^2),"")</f>
        <v/>
      </c>
      <c r="CC19" s="14" t="str">
        <f>_xlfn.IFNA(SQRT((VLOOKUP(CC$1,DATA!$A$3:$F$301,2,FALSE)-VLOOKUP($A19,DATA!$A$3:$F$301,2,FALSE))^2+(VLOOKUP(CC$1,DATA!$A$3:$F$301,3,FALSE)-VLOOKUP($A19,DATA!$A$3:$F$301,3,FALSE))^2),"")</f>
        <v/>
      </c>
      <c r="CD19" s="14" t="str">
        <f>_xlfn.IFNA(SQRT((VLOOKUP(CD$1,DATA!$A$3:$F$301,2,FALSE)-VLOOKUP($A19,DATA!$A$3:$F$301,2,FALSE))^2+(VLOOKUP(CD$1,DATA!$A$3:$F$301,3,FALSE)-VLOOKUP($A19,DATA!$A$3:$F$301,3,FALSE))^2),"")</f>
        <v/>
      </c>
      <c r="CE19" s="14" t="str">
        <f>_xlfn.IFNA(SQRT((VLOOKUP(CE$1,DATA!$A$3:$F$301,2,FALSE)-VLOOKUP($A19,DATA!$A$3:$F$301,2,FALSE))^2+(VLOOKUP(CE$1,DATA!$A$3:$F$301,3,FALSE)-VLOOKUP($A19,DATA!$A$3:$F$301,3,FALSE))^2),"")</f>
        <v/>
      </c>
      <c r="CF19" s="14" t="str">
        <f>_xlfn.IFNA(SQRT((VLOOKUP(CF$1,DATA!$A$3:$F$301,2,FALSE)-VLOOKUP($A19,DATA!$A$3:$F$301,2,FALSE))^2+(VLOOKUP(CF$1,DATA!$A$3:$F$301,3,FALSE)-VLOOKUP($A19,DATA!$A$3:$F$301,3,FALSE))^2),"")</f>
        <v/>
      </c>
      <c r="CG19" s="14" t="str">
        <f>_xlfn.IFNA(SQRT((VLOOKUP(CG$1,DATA!$A$3:$F$301,2,FALSE)-VLOOKUP($A19,DATA!$A$3:$F$301,2,FALSE))^2+(VLOOKUP(CG$1,DATA!$A$3:$F$301,3,FALSE)-VLOOKUP($A19,DATA!$A$3:$F$301,3,FALSE))^2),"")</f>
        <v/>
      </c>
      <c r="CH19" s="14" t="str">
        <f>_xlfn.IFNA(SQRT((VLOOKUP(CH$1,DATA!$A$3:$F$301,2,FALSE)-VLOOKUP($A19,DATA!$A$3:$F$301,2,FALSE))^2+(VLOOKUP(CH$1,DATA!$A$3:$F$301,3,FALSE)-VLOOKUP($A19,DATA!$A$3:$F$301,3,FALSE))^2),"")</f>
        <v/>
      </c>
      <c r="CI19" s="14" t="str">
        <f>_xlfn.IFNA(SQRT((VLOOKUP(CI$1,DATA!$A$3:$F$301,2,FALSE)-VLOOKUP($A19,DATA!$A$3:$F$301,2,FALSE))^2+(VLOOKUP(CI$1,DATA!$A$3:$F$301,3,FALSE)-VLOOKUP($A19,DATA!$A$3:$F$301,3,FALSE))^2),"")</f>
        <v/>
      </c>
      <c r="CJ19" s="14" t="str">
        <f>_xlfn.IFNA(SQRT((VLOOKUP(CJ$1,DATA!$A$3:$F$301,2,FALSE)-VLOOKUP($A19,DATA!$A$3:$F$301,2,FALSE))^2+(VLOOKUP(CJ$1,DATA!$A$3:$F$301,3,FALSE)-VLOOKUP($A19,DATA!$A$3:$F$301,3,FALSE))^2),"")</f>
        <v/>
      </c>
      <c r="CK19" s="14" t="str">
        <f>_xlfn.IFNA(SQRT((VLOOKUP(CK$1,DATA!$A$3:$F$301,2,FALSE)-VLOOKUP($A19,DATA!$A$3:$F$301,2,FALSE))^2+(VLOOKUP(CK$1,DATA!$A$3:$F$301,3,FALSE)-VLOOKUP($A19,DATA!$A$3:$F$301,3,FALSE))^2),"")</f>
        <v/>
      </c>
      <c r="CL19" s="14" t="str">
        <f>_xlfn.IFNA(SQRT((VLOOKUP(CL$1,DATA!$A$3:$F$301,2,FALSE)-VLOOKUP($A19,DATA!$A$3:$F$301,2,FALSE))^2+(VLOOKUP(CL$1,DATA!$A$3:$F$301,3,FALSE)-VLOOKUP($A19,DATA!$A$3:$F$301,3,FALSE))^2),"")</f>
        <v/>
      </c>
      <c r="CM19" s="14" t="str">
        <f>_xlfn.IFNA(SQRT((VLOOKUP(CM$1,DATA!$A$3:$F$301,2,FALSE)-VLOOKUP($A19,DATA!$A$3:$F$301,2,FALSE))^2+(VLOOKUP(CM$1,DATA!$A$3:$F$301,3,FALSE)-VLOOKUP($A19,DATA!$A$3:$F$301,3,FALSE))^2),"")</f>
        <v/>
      </c>
      <c r="CN19" s="14" t="str">
        <f>_xlfn.IFNA(SQRT((VLOOKUP(CN$1,DATA!$A$3:$F$301,2,FALSE)-VLOOKUP($A19,DATA!$A$3:$F$301,2,FALSE))^2+(VLOOKUP(CN$1,DATA!$A$3:$F$301,3,FALSE)-VLOOKUP($A19,DATA!$A$3:$F$301,3,FALSE))^2),"")</f>
        <v/>
      </c>
      <c r="CO19" s="14" t="str">
        <f>_xlfn.IFNA(SQRT((VLOOKUP(CO$1,DATA!$A$3:$F$301,2,FALSE)-VLOOKUP($A19,DATA!$A$3:$F$301,2,FALSE))^2+(VLOOKUP(CO$1,DATA!$A$3:$F$301,3,FALSE)-VLOOKUP($A19,DATA!$A$3:$F$301,3,FALSE))^2),"")</f>
        <v/>
      </c>
      <c r="CP19" s="14" t="str">
        <f>_xlfn.IFNA(SQRT((VLOOKUP(CP$1,DATA!$A$3:$F$301,2,FALSE)-VLOOKUP($A19,DATA!$A$3:$F$301,2,FALSE))^2+(VLOOKUP(CP$1,DATA!$A$3:$F$301,3,FALSE)-VLOOKUP($A19,DATA!$A$3:$F$301,3,FALSE))^2),"")</f>
        <v/>
      </c>
      <c r="CQ19" s="14" t="str">
        <f>_xlfn.IFNA(SQRT((VLOOKUP(CQ$1,DATA!$A$3:$F$301,2,FALSE)-VLOOKUP($A19,DATA!$A$3:$F$301,2,FALSE))^2+(VLOOKUP(CQ$1,DATA!$A$3:$F$301,3,FALSE)-VLOOKUP($A19,DATA!$A$3:$F$301,3,FALSE))^2),"")</f>
        <v/>
      </c>
      <c r="CR19" s="14" t="str">
        <f>_xlfn.IFNA(SQRT((VLOOKUP(CR$1,DATA!$A$3:$F$301,2,FALSE)-VLOOKUP($A19,DATA!$A$3:$F$301,2,FALSE))^2+(VLOOKUP(CR$1,DATA!$A$3:$F$301,3,FALSE)-VLOOKUP($A19,DATA!$A$3:$F$301,3,FALSE))^2),"")</f>
        <v/>
      </c>
      <c r="CS19" s="14" t="str">
        <f>_xlfn.IFNA(SQRT((VLOOKUP(CS$1,DATA!$A$3:$F$301,2,FALSE)-VLOOKUP($A19,DATA!$A$3:$F$301,2,FALSE))^2+(VLOOKUP(CS$1,DATA!$A$3:$F$301,3,FALSE)-VLOOKUP($A19,DATA!$A$3:$F$301,3,FALSE))^2),"")</f>
        <v/>
      </c>
      <c r="CT19" s="14" t="str">
        <f>_xlfn.IFNA(SQRT((VLOOKUP(CT$1,DATA!$A$3:$F$301,2,FALSE)-VLOOKUP($A19,DATA!$A$3:$F$301,2,FALSE))^2+(VLOOKUP(CT$1,DATA!$A$3:$F$301,3,FALSE)-VLOOKUP($A19,DATA!$A$3:$F$301,3,FALSE))^2),"")</f>
        <v/>
      </c>
      <c r="CU19" s="14" t="str">
        <f>_xlfn.IFNA(SQRT((VLOOKUP(CU$1,DATA!$A$3:$F$301,2,FALSE)-VLOOKUP($A19,DATA!$A$3:$F$301,2,FALSE))^2+(VLOOKUP(CU$1,DATA!$A$3:$F$301,3,FALSE)-VLOOKUP($A19,DATA!$A$3:$F$301,3,FALSE))^2),"")</f>
        <v/>
      </c>
      <c r="CV19" s="14" t="str">
        <f>_xlfn.IFNA(SQRT((VLOOKUP(CV$1,DATA!$A$3:$F$301,2,FALSE)-VLOOKUP($A19,DATA!$A$3:$F$301,2,FALSE))^2+(VLOOKUP(CV$1,DATA!$A$3:$F$301,3,FALSE)-VLOOKUP($A19,DATA!$A$3:$F$301,3,FALSE))^2),"")</f>
        <v/>
      </c>
      <c r="CW19" s="14" t="str">
        <f>_xlfn.IFNA(SQRT((VLOOKUP(CW$1,DATA!$A$3:$F$301,2,FALSE)-VLOOKUP($A19,DATA!$A$3:$F$301,2,FALSE))^2+(VLOOKUP(CW$1,DATA!$A$3:$F$301,3,FALSE)-VLOOKUP($A19,DATA!$A$3:$F$301,3,FALSE))^2),"")</f>
        <v/>
      </c>
      <c r="CX19" s="14" t="str">
        <f>_xlfn.IFNA(SQRT((VLOOKUP(CX$1,DATA!$A$3:$F$301,2,FALSE)-VLOOKUP($A19,DATA!$A$3:$F$301,2,FALSE))^2+(VLOOKUP(CX$1,DATA!$A$3:$F$301,3,FALSE)-VLOOKUP($A19,DATA!$A$3:$F$301,3,FALSE))^2),"")</f>
        <v/>
      </c>
    </row>
    <row r="20" spans="1:102">
      <c r="A20" s="13">
        <v>19</v>
      </c>
      <c r="B20" s="14">
        <f>_xlfn.IFNA(SQRT((VLOOKUP(B$1,DATA!$A$3:$F$301,2,FALSE)-VLOOKUP($A20,DATA!$A$3:$F$301,2,FALSE))^2+(VLOOKUP(B$1,DATA!$A$3:$F$301,3,FALSE)-VLOOKUP($A20,DATA!$A$3:$F$301,3,FALSE))^2),"")</f>
        <v>30.016662039607269</v>
      </c>
      <c r="C20" s="14">
        <f>_xlfn.IFNA(SQRT((VLOOKUP(C$1,DATA!$A$3:$F$301,2,FALSE)-VLOOKUP($A20,DATA!$A$3:$F$301,2,FALSE))^2+(VLOOKUP(C$1,DATA!$A$3:$F$301,3,FALSE)-VLOOKUP($A20,DATA!$A$3:$F$301,3,FALSE))^2),"")</f>
        <v>29.274562336608895</v>
      </c>
      <c r="D20" s="14">
        <f>_xlfn.IFNA(SQRT((VLOOKUP(D$1,DATA!$A$3:$F$301,2,FALSE)-VLOOKUP($A20,DATA!$A$3:$F$301,2,FALSE))^2+(VLOOKUP(D$1,DATA!$A$3:$F$301,3,FALSE)-VLOOKUP($A20,DATA!$A$3:$F$301,3,FALSE))^2),"")</f>
        <v>42.01190307520001</v>
      </c>
      <c r="E20" s="14">
        <f>_xlfn.IFNA(SQRT((VLOOKUP(E$1,DATA!$A$3:$F$301,2,FALSE)-VLOOKUP($A20,DATA!$A$3:$F$301,2,FALSE))^2+(VLOOKUP(E$1,DATA!$A$3:$F$301,3,FALSE)-VLOOKUP($A20,DATA!$A$3:$F$301,3,FALSE))^2),"")</f>
        <v>35.355339059327378</v>
      </c>
      <c r="F20" s="14">
        <f>_xlfn.IFNA(SQRT((VLOOKUP(F$1,DATA!$A$3:$F$301,2,FALSE)-VLOOKUP($A20,DATA!$A$3:$F$301,2,FALSE))^2+(VLOOKUP(F$1,DATA!$A$3:$F$301,3,FALSE)-VLOOKUP($A20,DATA!$A$3:$F$301,3,FALSE))^2),"")</f>
        <v>10</v>
      </c>
      <c r="G20" s="14">
        <f>_xlfn.IFNA(SQRT((VLOOKUP(G$1,DATA!$A$3:$F$301,2,FALSE)-VLOOKUP($A20,DATA!$A$3:$F$301,2,FALSE))^2+(VLOOKUP(G$1,DATA!$A$3:$F$301,3,FALSE)-VLOOKUP($A20,DATA!$A$3:$F$301,3,FALSE))^2),"")</f>
        <v>30.413812651491099</v>
      </c>
      <c r="H20" s="14">
        <f>_xlfn.IFNA(SQRT((VLOOKUP(H$1,DATA!$A$3:$F$301,2,FALSE)-VLOOKUP($A20,DATA!$A$3:$F$301,2,FALSE))^2+(VLOOKUP(H$1,DATA!$A$3:$F$301,3,FALSE)-VLOOKUP($A20,DATA!$A$3:$F$301,3,FALSE))^2),"")</f>
        <v>43.840620433565945</v>
      </c>
      <c r="I20" s="14">
        <f>_xlfn.IFNA(SQRT((VLOOKUP(I$1,DATA!$A$3:$F$301,2,FALSE)-VLOOKUP($A20,DATA!$A$3:$F$301,2,FALSE))^2+(VLOOKUP(I$1,DATA!$A$3:$F$301,3,FALSE)-VLOOKUP($A20,DATA!$A$3:$F$301,3,FALSE))^2),"")</f>
        <v>28.160255680657446</v>
      </c>
      <c r="J20" s="14">
        <f>_xlfn.IFNA(SQRT((VLOOKUP(J$1,DATA!$A$3:$F$301,2,FALSE)-VLOOKUP($A20,DATA!$A$3:$F$301,2,FALSE))^2+(VLOOKUP(J$1,DATA!$A$3:$F$301,3,FALSE)-VLOOKUP($A20,DATA!$A$3:$F$301,3,FALSE))^2),"")</f>
        <v>29.154759474226502</v>
      </c>
      <c r="K20" s="14">
        <f>_xlfn.IFNA(SQRT((VLOOKUP(K$1,DATA!$A$3:$F$301,2,FALSE)-VLOOKUP($A20,DATA!$A$3:$F$301,2,FALSE))^2+(VLOOKUP(K$1,DATA!$A$3:$F$301,3,FALSE)-VLOOKUP($A20,DATA!$A$3:$F$301,3,FALSE))^2),"")</f>
        <v>41.43669871020132</v>
      </c>
      <c r="L20" s="14">
        <f>_xlfn.IFNA(SQRT((VLOOKUP(L$1,DATA!$A$3:$F$301,2,FALSE)-VLOOKUP($A20,DATA!$A$3:$F$301,2,FALSE))^2+(VLOOKUP(L$1,DATA!$A$3:$F$301,3,FALSE)-VLOOKUP($A20,DATA!$A$3:$F$301,3,FALSE))^2),"")</f>
        <v>31.76476034853718</v>
      </c>
      <c r="M20" s="14">
        <f>_xlfn.IFNA(SQRT((VLOOKUP(M$1,DATA!$A$3:$F$301,2,FALSE)-VLOOKUP($A20,DATA!$A$3:$F$301,2,FALSE))^2+(VLOOKUP(M$1,DATA!$A$3:$F$301,3,FALSE)-VLOOKUP($A20,DATA!$A$3:$F$301,3,FALSE))^2),"")</f>
        <v>18.248287590894659</v>
      </c>
      <c r="N20" s="14">
        <f>_xlfn.IFNA(SQRT((VLOOKUP(N$1,DATA!$A$3:$F$301,2,FALSE)-VLOOKUP($A20,DATA!$A$3:$F$301,2,FALSE))^2+(VLOOKUP(N$1,DATA!$A$3:$F$301,3,FALSE)-VLOOKUP($A20,DATA!$A$3:$F$301,3,FALSE))^2),"")</f>
        <v>29.832867780352597</v>
      </c>
      <c r="O20" s="14">
        <f>_xlfn.IFNA(SQRT((VLOOKUP(O$1,DATA!$A$3:$F$301,2,FALSE)-VLOOKUP($A20,DATA!$A$3:$F$301,2,FALSE))^2+(VLOOKUP(O$1,DATA!$A$3:$F$301,3,FALSE)-VLOOKUP($A20,DATA!$A$3:$F$301,3,FALSE))^2),"")</f>
        <v>10.04987562112089</v>
      </c>
      <c r="P20" s="14">
        <f>_xlfn.IFNA(SQRT((VLOOKUP(P$1,DATA!$A$3:$F$301,2,FALSE)-VLOOKUP($A20,DATA!$A$3:$F$301,2,FALSE))^2+(VLOOKUP(P$1,DATA!$A$3:$F$301,3,FALSE)-VLOOKUP($A20,DATA!$A$3:$F$301,3,FALSE))^2),"")</f>
        <v>31</v>
      </c>
      <c r="Q20" s="14">
        <f>_xlfn.IFNA(SQRT((VLOOKUP(Q$1,DATA!$A$3:$F$301,2,FALSE)-VLOOKUP($A20,DATA!$A$3:$F$301,2,FALSE))^2+(VLOOKUP(Q$1,DATA!$A$3:$F$301,3,FALSE)-VLOOKUP($A20,DATA!$A$3:$F$301,3,FALSE))^2),"")</f>
        <v>31.89043743820395</v>
      </c>
      <c r="R20" s="14">
        <f>_xlfn.IFNA(SQRT((VLOOKUP(R$1,DATA!$A$3:$F$301,2,FALSE)-VLOOKUP($A20,DATA!$A$3:$F$301,2,FALSE))^2+(VLOOKUP(R$1,DATA!$A$3:$F$301,3,FALSE)-VLOOKUP($A20,DATA!$A$3:$F$301,3,FALSE))^2),"")</f>
        <v>48.332183894378289</v>
      </c>
      <c r="S20" s="14">
        <f>_xlfn.IFNA(SQRT((VLOOKUP(S$1,DATA!$A$3:$F$301,2,FALSE)-VLOOKUP($A20,DATA!$A$3:$F$301,2,FALSE))^2+(VLOOKUP(S$1,DATA!$A$3:$F$301,3,FALSE)-VLOOKUP($A20,DATA!$A$3:$F$301,3,FALSE))^2),"")</f>
        <v>24.083189157584592</v>
      </c>
      <c r="T20" s="14">
        <f>_xlfn.IFNA(SQRT((VLOOKUP(T$1,DATA!$A$3:$F$301,2,FALSE)-VLOOKUP($A20,DATA!$A$3:$F$301,2,FALSE))^2+(VLOOKUP(T$1,DATA!$A$3:$F$301,3,FALSE)-VLOOKUP($A20,DATA!$A$3:$F$301,3,FALSE))^2),"")</f>
        <v>0</v>
      </c>
      <c r="U20" s="14">
        <f>_xlfn.IFNA(SQRT((VLOOKUP(U$1,DATA!$A$3:$F$301,2,FALSE)-VLOOKUP($A20,DATA!$A$3:$F$301,2,FALSE))^2+(VLOOKUP(U$1,DATA!$A$3:$F$301,3,FALSE)-VLOOKUP($A20,DATA!$A$3:$F$301,3,FALSE))^2),"")</f>
        <v>41.785164831552358</v>
      </c>
      <c r="V20" s="14">
        <f>_xlfn.IFNA(SQRT((VLOOKUP(V$1,DATA!$A$3:$F$301,2,FALSE)-VLOOKUP($A20,DATA!$A$3:$F$301,2,FALSE))^2+(VLOOKUP(V$1,DATA!$A$3:$F$301,3,FALSE)-VLOOKUP($A20,DATA!$A$3:$F$301,3,FALSE))^2),"")</f>
        <v>37.643060449437421</v>
      </c>
      <c r="W20" s="14">
        <f>_xlfn.IFNA(SQRT((VLOOKUP(W$1,DATA!$A$3:$F$301,2,FALSE)-VLOOKUP($A20,DATA!$A$3:$F$301,2,FALSE))^2+(VLOOKUP(W$1,DATA!$A$3:$F$301,3,FALSE)-VLOOKUP($A20,DATA!$A$3:$F$301,3,FALSE))^2),"")</f>
        <v>45.607017003965517</v>
      </c>
      <c r="X20" s="14">
        <f>_xlfn.IFNA(SQRT((VLOOKUP(X$1,DATA!$A$3:$F$301,2,FALSE)-VLOOKUP($A20,DATA!$A$3:$F$301,2,FALSE))^2+(VLOOKUP(X$1,DATA!$A$3:$F$301,3,FALSE)-VLOOKUP($A20,DATA!$A$3:$F$301,3,FALSE))^2),"")</f>
        <v>50.24937810560445</v>
      </c>
      <c r="Y20" s="14">
        <f>_xlfn.IFNA(SQRT((VLOOKUP(Y$1,DATA!$A$3:$F$301,2,FALSE)-VLOOKUP($A20,DATA!$A$3:$F$301,2,FALSE))^2+(VLOOKUP(Y$1,DATA!$A$3:$F$301,3,FALSE)-VLOOKUP($A20,DATA!$A$3:$F$301,3,FALSE))^2),"")</f>
        <v>27.513632984395208</v>
      </c>
      <c r="Z20" s="14">
        <f>_xlfn.IFNA(SQRT((VLOOKUP(Z$1,DATA!$A$3:$F$301,2,FALSE)-VLOOKUP($A20,DATA!$A$3:$F$301,2,FALSE))^2+(VLOOKUP(Z$1,DATA!$A$3:$F$301,3,FALSE)-VLOOKUP($A20,DATA!$A$3:$F$301,3,FALSE))^2),"")</f>
        <v>48.466483264210538</v>
      </c>
      <c r="AA20" s="14">
        <f>_xlfn.IFNA(SQRT((VLOOKUP(AA$1,DATA!$A$3:$F$301,2,FALSE)-VLOOKUP($A20,DATA!$A$3:$F$301,2,FALSE))^2+(VLOOKUP(AA$1,DATA!$A$3:$F$301,3,FALSE)-VLOOKUP($A20,DATA!$A$3:$F$301,3,FALSE))^2),"")</f>
        <v>14.422205101855956</v>
      </c>
      <c r="AB20" s="14">
        <f>_xlfn.IFNA(SQRT((VLOOKUP(AB$1,DATA!$A$3:$F$301,2,FALSE)-VLOOKUP($A20,DATA!$A$3:$F$301,2,FALSE))^2+(VLOOKUP(AB$1,DATA!$A$3:$F$301,3,FALSE)-VLOOKUP($A20,DATA!$A$3:$F$301,3,FALSE))^2),"")</f>
        <v>44.011362169330773</v>
      </c>
      <c r="AC20" s="14">
        <f>_xlfn.IFNA(SQRT((VLOOKUP(AC$1,DATA!$A$3:$F$301,2,FALSE)-VLOOKUP($A20,DATA!$A$3:$F$301,2,FALSE))^2+(VLOOKUP(AC$1,DATA!$A$3:$F$301,3,FALSE)-VLOOKUP($A20,DATA!$A$3:$F$301,3,FALSE))^2),"")</f>
        <v>8.0622577482985491</v>
      </c>
      <c r="AD20" s="14">
        <f>_xlfn.IFNA(SQRT((VLOOKUP(AD$1,DATA!$A$3:$F$301,2,FALSE)-VLOOKUP($A20,DATA!$A$3:$F$301,2,FALSE))^2+(VLOOKUP(AD$1,DATA!$A$3:$F$301,3,FALSE)-VLOOKUP($A20,DATA!$A$3:$F$301,3,FALSE))^2),"")</f>
        <v>51.224993899462788</v>
      </c>
      <c r="AE20" s="14">
        <f>_xlfn.IFNA(SQRT((VLOOKUP(AE$1,DATA!$A$3:$F$301,2,FALSE)-VLOOKUP($A20,DATA!$A$3:$F$301,2,FALSE))^2+(VLOOKUP(AE$1,DATA!$A$3:$F$301,3,FALSE)-VLOOKUP($A20,DATA!$A$3:$F$301,3,FALSE))^2),"")</f>
        <v>17.4928556845359</v>
      </c>
      <c r="AF20" s="14">
        <f>_xlfn.IFNA(SQRT((VLOOKUP(AF$1,DATA!$A$3:$F$301,2,FALSE)-VLOOKUP($A20,DATA!$A$3:$F$301,2,FALSE))^2+(VLOOKUP(AF$1,DATA!$A$3:$F$301,3,FALSE)-VLOOKUP($A20,DATA!$A$3:$F$301,3,FALSE))^2),"")</f>
        <v>44.294469180700204</v>
      </c>
      <c r="AG20" s="14">
        <f>_xlfn.IFNA(SQRT((VLOOKUP(AG$1,DATA!$A$3:$F$301,2,FALSE)-VLOOKUP($A20,DATA!$A$3:$F$301,2,FALSE))^2+(VLOOKUP(AG$1,DATA!$A$3:$F$301,3,FALSE)-VLOOKUP($A20,DATA!$A$3:$F$301,3,FALSE))^2),"")</f>
        <v>10.04987562112089</v>
      </c>
      <c r="AH20" s="14">
        <f>_xlfn.IFNA(SQRT((VLOOKUP(AH$1,DATA!$A$3:$F$301,2,FALSE)-VLOOKUP($A20,DATA!$A$3:$F$301,2,FALSE))^2+(VLOOKUP(AH$1,DATA!$A$3:$F$301,3,FALSE)-VLOOKUP($A20,DATA!$A$3:$F$301,3,FALSE))^2),"")</f>
        <v>25.238858928247925</v>
      </c>
      <c r="AI20" s="14">
        <f>_xlfn.IFNA(SQRT((VLOOKUP(AI$1,DATA!$A$3:$F$301,2,FALSE)-VLOOKUP($A20,DATA!$A$3:$F$301,2,FALSE))^2+(VLOOKUP(AI$1,DATA!$A$3:$F$301,3,FALSE)-VLOOKUP($A20,DATA!$A$3:$F$301,3,FALSE))^2),"")</f>
        <v>47.169905660283021</v>
      </c>
      <c r="AJ20" s="14">
        <f>_xlfn.IFNA(SQRT((VLOOKUP(AJ$1,DATA!$A$3:$F$301,2,FALSE)-VLOOKUP($A20,DATA!$A$3:$F$301,2,FALSE))^2+(VLOOKUP(AJ$1,DATA!$A$3:$F$301,3,FALSE)-VLOOKUP($A20,DATA!$A$3:$F$301,3,FALSE))^2),"")</f>
        <v>39.204591567825318</v>
      </c>
      <c r="AK20" s="14">
        <f>_xlfn.IFNA(SQRT((VLOOKUP(AK$1,DATA!$A$3:$F$301,2,FALSE)-VLOOKUP($A20,DATA!$A$3:$F$301,2,FALSE))^2+(VLOOKUP(AK$1,DATA!$A$3:$F$301,3,FALSE)-VLOOKUP($A20,DATA!$A$3:$F$301,3,FALSE))^2),"")</f>
        <v>17</v>
      </c>
      <c r="AL20" s="14">
        <f>_xlfn.IFNA(SQRT((VLOOKUP(AL$1,DATA!$A$3:$F$301,2,FALSE)-VLOOKUP($A20,DATA!$A$3:$F$301,2,FALSE))^2+(VLOOKUP(AL$1,DATA!$A$3:$F$301,3,FALSE)-VLOOKUP($A20,DATA!$A$3:$F$301,3,FALSE))^2),"")</f>
        <v>23.086792761230392</v>
      </c>
      <c r="AM20" s="14">
        <f>_xlfn.IFNA(SQRT((VLOOKUP(AM$1,DATA!$A$3:$F$301,2,FALSE)-VLOOKUP($A20,DATA!$A$3:$F$301,2,FALSE))^2+(VLOOKUP(AM$1,DATA!$A$3:$F$301,3,FALSE)-VLOOKUP($A20,DATA!$A$3:$F$301,3,FALSE))^2),"")</f>
        <v>10.295630140987001</v>
      </c>
      <c r="AN20" s="14">
        <f>_xlfn.IFNA(SQRT((VLOOKUP(AN$1,DATA!$A$3:$F$301,2,FALSE)-VLOOKUP($A20,DATA!$A$3:$F$301,2,FALSE))^2+(VLOOKUP(AN$1,DATA!$A$3:$F$301,3,FALSE)-VLOOKUP($A20,DATA!$A$3:$F$301,3,FALSE))^2),"")</f>
        <v>52.009614495783374</v>
      </c>
      <c r="AO20" s="14">
        <f>_xlfn.IFNA(SQRT((VLOOKUP(AO$1,DATA!$A$3:$F$301,2,FALSE)-VLOOKUP($A20,DATA!$A$3:$F$301,2,FALSE))^2+(VLOOKUP(AO$1,DATA!$A$3:$F$301,3,FALSE)-VLOOKUP($A20,DATA!$A$3:$F$301,3,FALSE))^2),"")</f>
        <v>17.888543819998318</v>
      </c>
      <c r="AP20" s="14" t="str">
        <f>_xlfn.IFNA(SQRT((VLOOKUP(AP$1,DATA!$A$3:$F$301,2,FALSE)-VLOOKUP($A20,DATA!$A$3:$F$301,2,FALSE))^2+(VLOOKUP(AP$1,DATA!$A$3:$F$301,3,FALSE)-VLOOKUP($A20,DATA!$A$3:$F$301,3,FALSE))^2),"")</f>
        <v/>
      </c>
      <c r="AQ20" s="14" t="str">
        <f>_xlfn.IFNA(SQRT((VLOOKUP(AQ$1,DATA!$A$3:$F$301,2,FALSE)-VLOOKUP($A20,DATA!$A$3:$F$301,2,FALSE))^2+(VLOOKUP(AQ$1,DATA!$A$3:$F$301,3,FALSE)-VLOOKUP($A20,DATA!$A$3:$F$301,3,FALSE))^2),"")</f>
        <v/>
      </c>
      <c r="AR20" s="14" t="str">
        <f>_xlfn.IFNA(SQRT((VLOOKUP(AR$1,DATA!$A$3:$F$301,2,FALSE)-VLOOKUP($A20,DATA!$A$3:$F$301,2,FALSE))^2+(VLOOKUP(AR$1,DATA!$A$3:$F$301,3,FALSE)-VLOOKUP($A20,DATA!$A$3:$F$301,3,FALSE))^2),"")</f>
        <v/>
      </c>
      <c r="AS20" s="14" t="str">
        <f>_xlfn.IFNA(SQRT((VLOOKUP(AS$1,DATA!$A$3:$F$301,2,FALSE)-VLOOKUP($A20,DATA!$A$3:$F$301,2,FALSE))^2+(VLOOKUP(AS$1,DATA!$A$3:$F$301,3,FALSE)-VLOOKUP($A20,DATA!$A$3:$F$301,3,FALSE))^2),"")</f>
        <v/>
      </c>
      <c r="AT20" s="14" t="str">
        <f>_xlfn.IFNA(SQRT((VLOOKUP(AT$1,DATA!$A$3:$F$301,2,FALSE)-VLOOKUP($A20,DATA!$A$3:$F$301,2,FALSE))^2+(VLOOKUP(AT$1,DATA!$A$3:$F$301,3,FALSE)-VLOOKUP($A20,DATA!$A$3:$F$301,3,FALSE))^2),"")</f>
        <v/>
      </c>
      <c r="AU20" s="14" t="str">
        <f>_xlfn.IFNA(SQRT((VLOOKUP(AU$1,DATA!$A$3:$F$301,2,FALSE)-VLOOKUP($A20,DATA!$A$3:$F$301,2,FALSE))^2+(VLOOKUP(AU$1,DATA!$A$3:$F$301,3,FALSE)-VLOOKUP($A20,DATA!$A$3:$F$301,3,FALSE))^2),"")</f>
        <v/>
      </c>
      <c r="AV20" s="14" t="str">
        <f>_xlfn.IFNA(SQRT((VLOOKUP(AV$1,DATA!$A$3:$F$301,2,FALSE)-VLOOKUP($A20,DATA!$A$3:$F$301,2,FALSE))^2+(VLOOKUP(AV$1,DATA!$A$3:$F$301,3,FALSE)-VLOOKUP($A20,DATA!$A$3:$F$301,3,FALSE))^2),"")</f>
        <v/>
      </c>
      <c r="AW20" s="14" t="str">
        <f>_xlfn.IFNA(SQRT((VLOOKUP(AW$1,DATA!$A$3:$F$301,2,FALSE)-VLOOKUP($A20,DATA!$A$3:$F$301,2,FALSE))^2+(VLOOKUP(AW$1,DATA!$A$3:$F$301,3,FALSE)-VLOOKUP($A20,DATA!$A$3:$F$301,3,FALSE))^2),"")</f>
        <v/>
      </c>
      <c r="AX20" s="14" t="str">
        <f>_xlfn.IFNA(SQRT((VLOOKUP(AX$1,DATA!$A$3:$F$301,2,FALSE)-VLOOKUP($A20,DATA!$A$3:$F$301,2,FALSE))^2+(VLOOKUP(AX$1,DATA!$A$3:$F$301,3,FALSE)-VLOOKUP($A20,DATA!$A$3:$F$301,3,FALSE))^2),"")</f>
        <v/>
      </c>
      <c r="AY20" s="14" t="str">
        <f>_xlfn.IFNA(SQRT((VLOOKUP(AY$1,DATA!$A$3:$F$301,2,FALSE)-VLOOKUP($A20,DATA!$A$3:$F$301,2,FALSE))^2+(VLOOKUP(AY$1,DATA!$A$3:$F$301,3,FALSE)-VLOOKUP($A20,DATA!$A$3:$F$301,3,FALSE))^2),"")</f>
        <v/>
      </c>
      <c r="AZ20" s="14" t="str">
        <f>_xlfn.IFNA(SQRT((VLOOKUP(AZ$1,DATA!$A$3:$F$301,2,FALSE)-VLOOKUP($A20,DATA!$A$3:$F$301,2,FALSE))^2+(VLOOKUP(AZ$1,DATA!$A$3:$F$301,3,FALSE)-VLOOKUP($A20,DATA!$A$3:$F$301,3,FALSE))^2),"")</f>
        <v/>
      </c>
      <c r="BA20" s="14" t="str">
        <f>_xlfn.IFNA(SQRT((VLOOKUP(BA$1,DATA!$A$3:$F$301,2,FALSE)-VLOOKUP($A20,DATA!$A$3:$F$301,2,FALSE))^2+(VLOOKUP(BA$1,DATA!$A$3:$F$301,3,FALSE)-VLOOKUP($A20,DATA!$A$3:$F$301,3,FALSE))^2),"")</f>
        <v/>
      </c>
      <c r="BB20" s="14" t="str">
        <f>_xlfn.IFNA(SQRT((VLOOKUP(BB$1,DATA!$A$3:$F$301,2,FALSE)-VLOOKUP($A20,DATA!$A$3:$F$301,2,FALSE))^2+(VLOOKUP(BB$1,DATA!$A$3:$F$301,3,FALSE)-VLOOKUP($A20,DATA!$A$3:$F$301,3,FALSE))^2),"")</f>
        <v/>
      </c>
      <c r="BC20" s="14" t="str">
        <f>_xlfn.IFNA(SQRT((VLOOKUP(BC$1,DATA!$A$3:$F$301,2,FALSE)-VLOOKUP($A20,DATA!$A$3:$F$301,2,FALSE))^2+(VLOOKUP(BC$1,DATA!$A$3:$F$301,3,FALSE)-VLOOKUP($A20,DATA!$A$3:$F$301,3,FALSE))^2),"")</f>
        <v/>
      </c>
      <c r="BD20" s="14" t="str">
        <f>_xlfn.IFNA(SQRT((VLOOKUP(BD$1,DATA!$A$3:$F$301,2,FALSE)-VLOOKUP($A20,DATA!$A$3:$F$301,2,FALSE))^2+(VLOOKUP(BD$1,DATA!$A$3:$F$301,3,FALSE)-VLOOKUP($A20,DATA!$A$3:$F$301,3,FALSE))^2),"")</f>
        <v/>
      </c>
      <c r="BE20" s="14" t="str">
        <f>_xlfn.IFNA(SQRT((VLOOKUP(BE$1,DATA!$A$3:$F$301,2,FALSE)-VLOOKUP($A20,DATA!$A$3:$F$301,2,FALSE))^2+(VLOOKUP(BE$1,DATA!$A$3:$F$301,3,FALSE)-VLOOKUP($A20,DATA!$A$3:$F$301,3,FALSE))^2),"")</f>
        <v/>
      </c>
      <c r="BF20" s="14" t="str">
        <f>_xlfn.IFNA(SQRT((VLOOKUP(BF$1,DATA!$A$3:$F$301,2,FALSE)-VLOOKUP($A20,DATA!$A$3:$F$301,2,FALSE))^2+(VLOOKUP(BF$1,DATA!$A$3:$F$301,3,FALSE)-VLOOKUP($A20,DATA!$A$3:$F$301,3,FALSE))^2),"")</f>
        <v/>
      </c>
      <c r="BG20" s="14" t="str">
        <f>_xlfn.IFNA(SQRT((VLOOKUP(BG$1,DATA!$A$3:$F$301,2,FALSE)-VLOOKUP($A20,DATA!$A$3:$F$301,2,FALSE))^2+(VLOOKUP(BG$1,DATA!$A$3:$F$301,3,FALSE)-VLOOKUP($A20,DATA!$A$3:$F$301,3,FALSE))^2),"")</f>
        <v/>
      </c>
      <c r="BH20" s="14" t="str">
        <f>_xlfn.IFNA(SQRT((VLOOKUP(BH$1,DATA!$A$3:$F$301,2,FALSE)-VLOOKUP($A20,DATA!$A$3:$F$301,2,FALSE))^2+(VLOOKUP(BH$1,DATA!$A$3:$F$301,3,FALSE)-VLOOKUP($A20,DATA!$A$3:$F$301,3,FALSE))^2),"")</f>
        <v/>
      </c>
      <c r="BI20" s="14" t="str">
        <f>_xlfn.IFNA(SQRT((VLOOKUP(BI$1,DATA!$A$3:$F$301,2,FALSE)-VLOOKUP($A20,DATA!$A$3:$F$301,2,FALSE))^2+(VLOOKUP(BI$1,DATA!$A$3:$F$301,3,FALSE)-VLOOKUP($A20,DATA!$A$3:$F$301,3,FALSE))^2),"")</f>
        <v/>
      </c>
      <c r="BJ20" s="14" t="str">
        <f>_xlfn.IFNA(SQRT((VLOOKUP(BJ$1,DATA!$A$3:$F$301,2,FALSE)-VLOOKUP($A20,DATA!$A$3:$F$301,2,FALSE))^2+(VLOOKUP(BJ$1,DATA!$A$3:$F$301,3,FALSE)-VLOOKUP($A20,DATA!$A$3:$F$301,3,FALSE))^2),"")</f>
        <v/>
      </c>
      <c r="BK20" s="14" t="str">
        <f>_xlfn.IFNA(SQRT((VLOOKUP(BK$1,DATA!$A$3:$F$301,2,FALSE)-VLOOKUP($A20,DATA!$A$3:$F$301,2,FALSE))^2+(VLOOKUP(BK$1,DATA!$A$3:$F$301,3,FALSE)-VLOOKUP($A20,DATA!$A$3:$F$301,3,FALSE))^2),"")</f>
        <v/>
      </c>
      <c r="BL20" s="14" t="str">
        <f>_xlfn.IFNA(SQRT((VLOOKUP(BL$1,DATA!$A$3:$F$301,2,FALSE)-VLOOKUP($A20,DATA!$A$3:$F$301,2,FALSE))^2+(VLOOKUP(BL$1,DATA!$A$3:$F$301,3,FALSE)-VLOOKUP($A20,DATA!$A$3:$F$301,3,FALSE))^2),"")</f>
        <v/>
      </c>
      <c r="BM20" s="14" t="str">
        <f>_xlfn.IFNA(SQRT((VLOOKUP(BM$1,DATA!$A$3:$F$301,2,FALSE)-VLOOKUP($A20,DATA!$A$3:$F$301,2,FALSE))^2+(VLOOKUP(BM$1,DATA!$A$3:$F$301,3,FALSE)-VLOOKUP($A20,DATA!$A$3:$F$301,3,FALSE))^2),"")</f>
        <v/>
      </c>
      <c r="BN20" s="14" t="str">
        <f>_xlfn.IFNA(SQRT((VLOOKUP(BN$1,DATA!$A$3:$F$301,2,FALSE)-VLOOKUP($A20,DATA!$A$3:$F$301,2,FALSE))^2+(VLOOKUP(BN$1,DATA!$A$3:$F$301,3,FALSE)-VLOOKUP($A20,DATA!$A$3:$F$301,3,FALSE))^2),"")</f>
        <v/>
      </c>
      <c r="BO20" s="14" t="str">
        <f>_xlfn.IFNA(SQRT((VLOOKUP(BO$1,DATA!$A$3:$F$301,2,FALSE)-VLOOKUP($A20,DATA!$A$3:$F$301,2,FALSE))^2+(VLOOKUP(BO$1,DATA!$A$3:$F$301,3,FALSE)-VLOOKUP($A20,DATA!$A$3:$F$301,3,FALSE))^2),"")</f>
        <v/>
      </c>
      <c r="BP20" s="14" t="str">
        <f>_xlfn.IFNA(SQRT((VLOOKUP(BP$1,DATA!$A$3:$F$301,2,FALSE)-VLOOKUP($A20,DATA!$A$3:$F$301,2,FALSE))^2+(VLOOKUP(BP$1,DATA!$A$3:$F$301,3,FALSE)-VLOOKUP($A20,DATA!$A$3:$F$301,3,FALSE))^2),"")</f>
        <v/>
      </c>
      <c r="BQ20" s="14" t="str">
        <f>_xlfn.IFNA(SQRT((VLOOKUP(BQ$1,DATA!$A$3:$F$301,2,FALSE)-VLOOKUP($A20,DATA!$A$3:$F$301,2,FALSE))^2+(VLOOKUP(BQ$1,DATA!$A$3:$F$301,3,FALSE)-VLOOKUP($A20,DATA!$A$3:$F$301,3,FALSE))^2),"")</f>
        <v/>
      </c>
      <c r="BR20" s="14" t="str">
        <f>_xlfn.IFNA(SQRT((VLOOKUP(BR$1,DATA!$A$3:$F$301,2,FALSE)-VLOOKUP($A20,DATA!$A$3:$F$301,2,FALSE))^2+(VLOOKUP(BR$1,DATA!$A$3:$F$301,3,FALSE)-VLOOKUP($A20,DATA!$A$3:$F$301,3,FALSE))^2),"")</f>
        <v/>
      </c>
      <c r="BS20" s="14" t="str">
        <f>_xlfn.IFNA(SQRT((VLOOKUP(BS$1,DATA!$A$3:$F$301,2,FALSE)-VLOOKUP($A20,DATA!$A$3:$F$301,2,FALSE))^2+(VLOOKUP(BS$1,DATA!$A$3:$F$301,3,FALSE)-VLOOKUP($A20,DATA!$A$3:$F$301,3,FALSE))^2),"")</f>
        <v/>
      </c>
      <c r="BT20" s="14" t="str">
        <f>_xlfn.IFNA(SQRT((VLOOKUP(BT$1,DATA!$A$3:$F$301,2,FALSE)-VLOOKUP($A20,DATA!$A$3:$F$301,2,FALSE))^2+(VLOOKUP(BT$1,DATA!$A$3:$F$301,3,FALSE)-VLOOKUP($A20,DATA!$A$3:$F$301,3,FALSE))^2),"")</f>
        <v/>
      </c>
      <c r="BU20" s="14" t="str">
        <f>_xlfn.IFNA(SQRT((VLOOKUP(BU$1,DATA!$A$3:$F$301,2,FALSE)-VLOOKUP($A20,DATA!$A$3:$F$301,2,FALSE))^2+(VLOOKUP(BU$1,DATA!$A$3:$F$301,3,FALSE)-VLOOKUP($A20,DATA!$A$3:$F$301,3,FALSE))^2),"")</f>
        <v/>
      </c>
      <c r="BV20" s="14" t="str">
        <f>_xlfn.IFNA(SQRT((VLOOKUP(BV$1,DATA!$A$3:$F$301,2,FALSE)-VLOOKUP($A20,DATA!$A$3:$F$301,2,FALSE))^2+(VLOOKUP(BV$1,DATA!$A$3:$F$301,3,FALSE)-VLOOKUP($A20,DATA!$A$3:$F$301,3,FALSE))^2),"")</f>
        <v/>
      </c>
      <c r="BW20" s="14" t="str">
        <f>_xlfn.IFNA(SQRT((VLOOKUP(BW$1,DATA!$A$3:$F$301,2,FALSE)-VLOOKUP($A20,DATA!$A$3:$F$301,2,FALSE))^2+(VLOOKUP(BW$1,DATA!$A$3:$F$301,3,FALSE)-VLOOKUP($A20,DATA!$A$3:$F$301,3,FALSE))^2),"")</f>
        <v/>
      </c>
      <c r="BX20" s="14" t="str">
        <f>_xlfn.IFNA(SQRT((VLOOKUP(BX$1,DATA!$A$3:$F$301,2,FALSE)-VLOOKUP($A20,DATA!$A$3:$F$301,2,FALSE))^2+(VLOOKUP(BX$1,DATA!$A$3:$F$301,3,FALSE)-VLOOKUP($A20,DATA!$A$3:$F$301,3,FALSE))^2),"")</f>
        <v/>
      </c>
      <c r="BY20" s="14" t="str">
        <f>_xlfn.IFNA(SQRT((VLOOKUP(BY$1,DATA!$A$3:$F$301,2,FALSE)-VLOOKUP($A20,DATA!$A$3:$F$301,2,FALSE))^2+(VLOOKUP(BY$1,DATA!$A$3:$F$301,3,FALSE)-VLOOKUP($A20,DATA!$A$3:$F$301,3,FALSE))^2),"")</f>
        <v/>
      </c>
      <c r="BZ20" s="14" t="str">
        <f>_xlfn.IFNA(SQRT((VLOOKUP(BZ$1,DATA!$A$3:$F$301,2,FALSE)-VLOOKUP($A20,DATA!$A$3:$F$301,2,FALSE))^2+(VLOOKUP(BZ$1,DATA!$A$3:$F$301,3,FALSE)-VLOOKUP($A20,DATA!$A$3:$F$301,3,FALSE))^2),"")</f>
        <v/>
      </c>
      <c r="CA20" s="14" t="str">
        <f>_xlfn.IFNA(SQRT((VLOOKUP(CA$1,DATA!$A$3:$F$301,2,FALSE)-VLOOKUP($A20,DATA!$A$3:$F$301,2,FALSE))^2+(VLOOKUP(CA$1,DATA!$A$3:$F$301,3,FALSE)-VLOOKUP($A20,DATA!$A$3:$F$301,3,FALSE))^2),"")</f>
        <v/>
      </c>
      <c r="CB20" s="14" t="str">
        <f>_xlfn.IFNA(SQRT((VLOOKUP(CB$1,DATA!$A$3:$F$301,2,FALSE)-VLOOKUP($A20,DATA!$A$3:$F$301,2,FALSE))^2+(VLOOKUP(CB$1,DATA!$A$3:$F$301,3,FALSE)-VLOOKUP($A20,DATA!$A$3:$F$301,3,FALSE))^2),"")</f>
        <v/>
      </c>
      <c r="CC20" s="14" t="str">
        <f>_xlfn.IFNA(SQRT((VLOOKUP(CC$1,DATA!$A$3:$F$301,2,FALSE)-VLOOKUP($A20,DATA!$A$3:$F$301,2,FALSE))^2+(VLOOKUP(CC$1,DATA!$A$3:$F$301,3,FALSE)-VLOOKUP($A20,DATA!$A$3:$F$301,3,FALSE))^2),"")</f>
        <v/>
      </c>
      <c r="CD20" s="14" t="str">
        <f>_xlfn.IFNA(SQRT((VLOOKUP(CD$1,DATA!$A$3:$F$301,2,FALSE)-VLOOKUP($A20,DATA!$A$3:$F$301,2,FALSE))^2+(VLOOKUP(CD$1,DATA!$A$3:$F$301,3,FALSE)-VLOOKUP($A20,DATA!$A$3:$F$301,3,FALSE))^2),"")</f>
        <v/>
      </c>
      <c r="CE20" s="14" t="str">
        <f>_xlfn.IFNA(SQRT((VLOOKUP(CE$1,DATA!$A$3:$F$301,2,FALSE)-VLOOKUP($A20,DATA!$A$3:$F$301,2,FALSE))^2+(VLOOKUP(CE$1,DATA!$A$3:$F$301,3,FALSE)-VLOOKUP($A20,DATA!$A$3:$F$301,3,FALSE))^2),"")</f>
        <v/>
      </c>
      <c r="CF20" s="14" t="str">
        <f>_xlfn.IFNA(SQRT((VLOOKUP(CF$1,DATA!$A$3:$F$301,2,FALSE)-VLOOKUP($A20,DATA!$A$3:$F$301,2,FALSE))^2+(VLOOKUP(CF$1,DATA!$A$3:$F$301,3,FALSE)-VLOOKUP($A20,DATA!$A$3:$F$301,3,FALSE))^2),"")</f>
        <v/>
      </c>
      <c r="CG20" s="14" t="str">
        <f>_xlfn.IFNA(SQRT((VLOOKUP(CG$1,DATA!$A$3:$F$301,2,FALSE)-VLOOKUP($A20,DATA!$A$3:$F$301,2,FALSE))^2+(VLOOKUP(CG$1,DATA!$A$3:$F$301,3,FALSE)-VLOOKUP($A20,DATA!$A$3:$F$301,3,FALSE))^2),"")</f>
        <v/>
      </c>
      <c r="CH20" s="14" t="str">
        <f>_xlfn.IFNA(SQRT((VLOOKUP(CH$1,DATA!$A$3:$F$301,2,FALSE)-VLOOKUP($A20,DATA!$A$3:$F$301,2,FALSE))^2+(VLOOKUP(CH$1,DATA!$A$3:$F$301,3,FALSE)-VLOOKUP($A20,DATA!$A$3:$F$301,3,FALSE))^2),"")</f>
        <v/>
      </c>
      <c r="CI20" s="14" t="str">
        <f>_xlfn.IFNA(SQRT((VLOOKUP(CI$1,DATA!$A$3:$F$301,2,FALSE)-VLOOKUP($A20,DATA!$A$3:$F$301,2,FALSE))^2+(VLOOKUP(CI$1,DATA!$A$3:$F$301,3,FALSE)-VLOOKUP($A20,DATA!$A$3:$F$301,3,FALSE))^2),"")</f>
        <v/>
      </c>
      <c r="CJ20" s="14" t="str">
        <f>_xlfn.IFNA(SQRT((VLOOKUP(CJ$1,DATA!$A$3:$F$301,2,FALSE)-VLOOKUP($A20,DATA!$A$3:$F$301,2,FALSE))^2+(VLOOKUP(CJ$1,DATA!$A$3:$F$301,3,FALSE)-VLOOKUP($A20,DATA!$A$3:$F$301,3,FALSE))^2),"")</f>
        <v/>
      </c>
      <c r="CK20" s="14" t="str">
        <f>_xlfn.IFNA(SQRT((VLOOKUP(CK$1,DATA!$A$3:$F$301,2,FALSE)-VLOOKUP($A20,DATA!$A$3:$F$301,2,FALSE))^2+(VLOOKUP(CK$1,DATA!$A$3:$F$301,3,FALSE)-VLOOKUP($A20,DATA!$A$3:$F$301,3,FALSE))^2),"")</f>
        <v/>
      </c>
      <c r="CL20" s="14" t="str">
        <f>_xlfn.IFNA(SQRT((VLOOKUP(CL$1,DATA!$A$3:$F$301,2,FALSE)-VLOOKUP($A20,DATA!$A$3:$F$301,2,FALSE))^2+(VLOOKUP(CL$1,DATA!$A$3:$F$301,3,FALSE)-VLOOKUP($A20,DATA!$A$3:$F$301,3,FALSE))^2),"")</f>
        <v/>
      </c>
      <c r="CM20" s="14" t="str">
        <f>_xlfn.IFNA(SQRT((VLOOKUP(CM$1,DATA!$A$3:$F$301,2,FALSE)-VLOOKUP($A20,DATA!$A$3:$F$301,2,FALSE))^2+(VLOOKUP(CM$1,DATA!$A$3:$F$301,3,FALSE)-VLOOKUP($A20,DATA!$A$3:$F$301,3,FALSE))^2),"")</f>
        <v/>
      </c>
      <c r="CN20" s="14" t="str">
        <f>_xlfn.IFNA(SQRT((VLOOKUP(CN$1,DATA!$A$3:$F$301,2,FALSE)-VLOOKUP($A20,DATA!$A$3:$F$301,2,FALSE))^2+(VLOOKUP(CN$1,DATA!$A$3:$F$301,3,FALSE)-VLOOKUP($A20,DATA!$A$3:$F$301,3,FALSE))^2),"")</f>
        <v/>
      </c>
      <c r="CO20" s="14" t="str">
        <f>_xlfn.IFNA(SQRT((VLOOKUP(CO$1,DATA!$A$3:$F$301,2,FALSE)-VLOOKUP($A20,DATA!$A$3:$F$301,2,FALSE))^2+(VLOOKUP(CO$1,DATA!$A$3:$F$301,3,FALSE)-VLOOKUP($A20,DATA!$A$3:$F$301,3,FALSE))^2),"")</f>
        <v/>
      </c>
      <c r="CP20" s="14" t="str">
        <f>_xlfn.IFNA(SQRT((VLOOKUP(CP$1,DATA!$A$3:$F$301,2,FALSE)-VLOOKUP($A20,DATA!$A$3:$F$301,2,FALSE))^2+(VLOOKUP(CP$1,DATA!$A$3:$F$301,3,FALSE)-VLOOKUP($A20,DATA!$A$3:$F$301,3,FALSE))^2),"")</f>
        <v/>
      </c>
      <c r="CQ20" s="14" t="str">
        <f>_xlfn.IFNA(SQRT((VLOOKUP(CQ$1,DATA!$A$3:$F$301,2,FALSE)-VLOOKUP($A20,DATA!$A$3:$F$301,2,FALSE))^2+(VLOOKUP(CQ$1,DATA!$A$3:$F$301,3,FALSE)-VLOOKUP($A20,DATA!$A$3:$F$301,3,FALSE))^2),"")</f>
        <v/>
      </c>
      <c r="CR20" s="14" t="str">
        <f>_xlfn.IFNA(SQRT((VLOOKUP(CR$1,DATA!$A$3:$F$301,2,FALSE)-VLOOKUP($A20,DATA!$A$3:$F$301,2,FALSE))^2+(VLOOKUP(CR$1,DATA!$A$3:$F$301,3,FALSE)-VLOOKUP($A20,DATA!$A$3:$F$301,3,FALSE))^2),"")</f>
        <v/>
      </c>
      <c r="CS20" s="14" t="str">
        <f>_xlfn.IFNA(SQRT((VLOOKUP(CS$1,DATA!$A$3:$F$301,2,FALSE)-VLOOKUP($A20,DATA!$A$3:$F$301,2,FALSE))^2+(VLOOKUP(CS$1,DATA!$A$3:$F$301,3,FALSE)-VLOOKUP($A20,DATA!$A$3:$F$301,3,FALSE))^2),"")</f>
        <v/>
      </c>
      <c r="CT20" s="14" t="str">
        <f>_xlfn.IFNA(SQRT((VLOOKUP(CT$1,DATA!$A$3:$F$301,2,FALSE)-VLOOKUP($A20,DATA!$A$3:$F$301,2,FALSE))^2+(VLOOKUP(CT$1,DATA!$A$3:$F$301,3,FALSE)-VLOOKUP($A20,DATA!$A$3:$F$301,3,FALSE))^2),"")</f>
        <v/>
      </c>
      <c r="CU20" s="14" t="str">
        <f>_xlfn.IFNA(SQRT((VLOOKUP(CU$1,DATA!$A$3:$F$301,2,FALSE)-VLOOKUP($A20,DATA!$A$3:$F$301,2,FALSE))^2+(VLOOKUP(CU$1,DATA!$A$3:$F$301,3,FALSE)-VLOOKUP($A20,DATA!$A$3:$F$301,3,FALSE))^2),"")</f>
        <v/>
      </c>
      <c r="CV20" s="14" t="str">
        <f>_xlfn.IFNA(SQRT((VLOOKUP(CV$1,DATA!$A$3:$F$301,2,FALSE)-VLOOKUP($A20,DATA!$A$3:$F$301,2,FALSE))^2+(VLOOKUP(CV$1,DATA!$A$3:$F$301,3,FALSE)-VLOOKUP($A20,DATA!$A$3:$F$301,3,FALSE))^2),"")</f>
        <v/>
      </c>
      <c r="CW20" s="14" t="str">
        <f>_xlfn.IFNA(SQRT((VLOOKUP(CW$1,DATA!$A$3:$F$301,2,FALSE)-VLOOKUP($A20,DATA!$A$3:$F$301,2,FALSE))^2+(VLOOKUP(CW$1,DATA!$A$3:$F$301,3,FALSE)-VLOOKUP($A20,DATA!$A$3:$F$301,3,FALSE))^2),"")</f>
        <v/>
      </c>
      <c r="CX20" s="14" t="str">
        <f>_xlfn.IFNA(SQRT((VLOOKUP(CX$1,DATA!$A$3:$F$301,2,FALSE)-VLOOKUP($A20,DATA!$A$3:$F$301,2,FALSE))^2+(VLOOKUP(CX$1,DATA!$A$3:$F$301,3,FALSE)-VLOOKUP($A20,DATA!$A$3:$F$301,3,FALSE))^2),"")</f>
        <v/>
      </c>
    </row>
    <row r="21" spans="1:102">
      <c r="A21" s="13">
        <v>20</v>
      </c>
      <c r="B21" s="14">
        <f>_xlfn.IFNA(SQRT((VLOOKUP(B$1,DATA!$A$3:$F$301,2,FALSE)-VLOOKUP($A21,DATA!$A$3:$F$301,2,FALSE))^2+(VLOOKUP(B$1,DATA!$A$3:$F$301,3,FALSE)-VLOOKUP($A21,DATA!$A$3:$F$301,3,FALSE))^2),"")</f>
        <v>16.643316977093239</v>
      </c>
      <c r="C21" s="14">
        <f>_xlfn.IFNA(SQRT((VLOOKUP(C$1,DATA!$A$3:$F$301,2,FALSE)-VLOOKUP($A21,DATA!$A$3:$F$301,2,FALSE))^2+(VLOOKUP(C$1,DATA!$A$3:$F$301,3,FALSE)-VLOOKUP($A21,DATA!$A$3:$F$301,3,FALSE))^2),"")</f>
        <v>21.470910553583888</v>
      </c>
      <c r="D21" s="14">
        <f>_xlfn.IFNA(SQRT((VLOOKUP(D$1,DATA!$A$3:$F$301,2,FALSE)-VLOOKUP($A21,DATA!$A$3:$F$301,2,FALSE))^2+(VLOOKUP(D$1,DATA!$A$3:$F$301,3,FALSE)-VLOOKUP($A21,DATA!$A$3:$F$301,3,FALSE))^2),"")</f>
        <v>14.317821063276353</v>
      </c>
      <c r="E21" s="14">
        <f>_xlfn.IFNA(SQRT((VLOOKUP(E$1,DATA!$A$3:$F$301,2,FALSE)-VLOOKUP($A21,DATA!$A$3:$F$301,2,FALSE))^2+(VLOOKUP(E$1,DATA!$A$3:$F$301,3,FALSE)-VLOOKUP($A21,DATA!$A$3:$F$301,3,FALSE))^2),"")</f>
        <v>10.770329614269007</v>
      </c>
      <c r="F21" s="14">
        <f>_xlfn.IFNA(SQRT((VLOOKUP(F$1,DATA!$A$3:$F$301,2,FALSE)-VLOOKUP($A21,DATA!$A$3:$F$301,2,FALSE))^2+(VLOOKUP(F$1,DATA!$A$3:$F$301,3,FALSE)-VLOOKUP($A21,DATA!$A$3:$F$301,3,FALSE))^2),"")</f>
        <v>40.224370722237531</v>
      </c>
      <c r="G21" s="14">
        <f>_xlfn.IFNA(SQRT((VLOOKUP(G$1,DATA!$A$3:$F$301,2,FALSE)-VLOOKUP($A21,DATA!$A$3:$F$301,2,FALSE))^2+(VLOOKUP(G$1,DATA!$A$3:$F$301,3,FALSE)-VLOOKUP($A21,DATA!$A$3:$F$301,3,FALSE))^2),"")</f>
        <v>19.313207915827967</v>
      </c>
      <c r="H21" s="14">
        <f>_xlfn.IFNA(SQRT((VLOOKUP(H$1,DATA!$A$3:$F$301,2,FALSE)-VLOOKUP($A21,DATA!$A$3:$F$301,2,FALSE))^2+(VLOOKUP(H$1,DATA!$A$3:$F$301,3,FALSE)-VLOOKUP($A21,DATA!$A$3:$F$301,3,FALSE))^2),"")</f>
        <v>17.888543819998318</v>
      </c>
      <c r="I21" s="14">
        <f>_xlfn.IFNA(SQRT((VLOOKUP(I$1,DATA!$A$3:$F$301,2,FALSE)-VLOOKUP($A21,DATA!$A$3:$F$301,2,FALSE))^2+(VLOOKUP(I$1,DATA!$A$3:$F$301,3,FALSE)-VLOOKUP($A21,DATA!$A$3:$F$301,3,FALSE))^2),"")</f>
        <v>33.241540277189323</v>
      </c>
      <c r="J21" s="14">
        <f>_xlfn.IFNA(SQRT((VLOOKUP(J$1,DATA!$A$3:$F$301,2,FALSE)-VLOOKUP($A21,DATA!$A$3:$F$301,2,FALSE))^2+(VLOOKUP(J$1,DATA!$A$3:$F$301,3,FALSE)-VLOOKUP($A21,DATA!$A$3:$F$301,3,FALSE))^2),"")</f>
        <v>14</v>
      </c>
      <c r="K21" s="14">
        <f>_xlfn.IFNA(SQRT((VLOOKUP(K$1,DATA!$A$3:$F$301,2,FALSE)-VLOOKUP($A21,DATA!$A$3:$F$301,2,FALSE))^2+(VLOOKUP(K$1,DATA!$A$3:$F$301,3,FALSE)-VLOOKUP($A21,DATA!$A$3:$F$301,3,FALSE))^2),"")</f>
        <v>21.095023109728988</v>
      </c>
      <c r="L21" s="14">
        <f>_xlfn.IFNA(SQRT((VLOOKUP(L$1,DATA!$A$3:$F$301,2,FALSE)-VLOOKUP($A21,DATA!$A$3:$F$301,2,FALSE))^2+(VLOOKUP(L$1,DATA!$A$3:$F$301,3,FALSE)-VLOOKUP($A21,DATA!$A$3:$F$301,3,FALSE))^2),"")</f>
        <v>27.294688127912362</v>
      </c>
      <c r="M21" s="14">
        <f>_xlfn.IFNA(SQRT((VLOOKUP(M$1,DATA!$A$3:$F$301,2,FALSE)-VLOOKUP($A21,DATA!$A$3:$F$301,2,FALSE))^2+(VLOOKUP(M$1,DATA!$A$3:$F$301,3,FALSE)-VLOOKUP($A21,DATA!$A$3:$F$301,3,FALSE))^2),"")</f>
        <v>24.186773244895647</v>
      </c>
      <c r="N21" s="14">
        <f>_xlfn.IFNA(SQRT((VLOOKUP(N$1,DATA!$A$3:$F$301,2,FALSE)-VLOOKUP($A21,DATA!$A$3:$F$301,2,FALSE))^2+(VLOOKUP(N$1,DATA!$A$3:$F$301,3,FALSE)-VLOOKUP($A21,DATA!$A$3:$F$301,3,FALSE))^2),"")</f>
        <v>12.806248474865697</v>
      </c>
      <c r="O21" s="14">
        <f>_xlfn.IFNA(SQRT((VLOOKUP(O$1,DATA!$A$3:$F$301,2,FALSE)-VLOOKUP($A21,DATA!$A$3:$F$301,2,FALSE))^2+(VLOOKUP(O$1,DATA!$A$3:$F$301,3,FALSE)-VLOOKUP($A21,DATA!$A$3:$F$301,3,FALSE))^2),"")</f>
        <v>47.169905660283021</v>
      </c>
      <c r="P21" s="14">
        <f>_xlfn.IFNA(SQRT((VLOOKUP(P$1,DATA!$A$3:$F$301,2,FALSE)-VLOOKUP($A21,DATA!$A$3:$F$301,2,FALSE))^2+(VLOOKUP(P$1,DATA!$A$3:$F$301,3,FALSE)-VLOOKUP($A21,DATA!$A$3:$F$301,3,FALSE))^2),"")</f>
        <v>42.154477816715982</v>
      </c>
      <c r="Q21" s="14">
        <f>_xlfn.IFNA(SQRT((VLOOKUP(Q$1,DATA!$A$3:$F$301,2,FALSE)-VLOOKUP($A21,DATA!$A$3:$F$301,2,FALSE))^2+(VLOOKUP(Q$1,DATA!$A$3:$F$301,3,FALSE)-VLOOKUP($A21,DATA!$A$3:$F$301,3,FALSE))^2),"")</f>
        <v>20.124611797498108</v>
      </c>
      <c r="R21" s="14">
        <f>_xlfn.IFNA(SQRT((VLOOKUP(R$1,DATA!$A$3:$F$301,2,FALSE)-VLOOKUP($A21,DATA!$A$3:$F$301,2,FALSE))^2+(VLOOKUP(R$1,DATA!$A$3:$F$301,3,FALSE)-VLOOKUP($A21,DATA!$A$3:$F$301,3,FALSE))^2),"")</f>
        <v>7.0710678118654755</v>
      </c>
      <c r="S21" s="14">
        <f>_xlfn.IFNA(SQRT((VLOOKUP(S$1,DATA!$A$3:$F$301,2,FALSE)-VLOOKUP($A21,DATA!$A$3:$F$301,2,FALSE))^2+(VLOOKUP(S$1,DATA!$A$3:$F$301,3,FALSE)-VLOOKUP($A21,DATA!$A$3:$F$301,3,FALSE))^2),"")</f>
        <v>23.194827009486403</v>
      </c>
      <c r="T21" s="14">
        <f>_xlfn.IFNA(SQRT((VLOOKUP(T$1,DATA!$A$3:$F$301,2,FALSE)-VLOOKUP($A21,DATA!$A$3:$F$301,2,FALSE))^2+(VLOOKUP(T$1,DATA!$A$3:$F$301,3,FALSE)-VLOOKUP($A21,DATA!$A$3:$F$301,3,FALSE))^2),"")</f>
        <v>41.785164831552358</v>
      </c>
      <c r="U21" s="14">
        <f>_xlfn.IFNA(SQRT((VLOOKUP(U$1,DATA!$A$3:$F$301,2,FALSE)-VLOOKUP($A21,DATA!$A$3:$F$301,2,FALSE))^2+(VLOOKUP(U$1,DATA!$A$3:$F$301,3,FALSE)-VLOOKUP($A21,DATA!$A$3:$F$301,3,FALSE))^2),"")</f>
        <v>0</v>
      </c>
      <c r="V21" s="14">
        <f>_xlfn.IFNA(SQRT((VLOOKUP(V$1,DATA!$A$3:$F$301,2,FALSE)-VLOOKUP($A21,DATA!$A$3:$F$301,2,FALSE))^2+(VLOOKUP(V$1,DATA!$A$3:$F$301,3,FALSE)-VLOOKUP($A21,DATA!$A$3:$F$301,3,FALSE))^2),"")</f>
        <v>13.45362404707371</v>
      </c>
      <c r="W21" s="14">
        <f>_xlfn.IFNA(SQRT((VLOOKUP(W$1,DATA!$A$3:$F$301,2,FALSE)-VLOOKUP($A21,DATA!$A$3:$F$301,2,FALSE))^2+(VLOOKUP(W$1,DATA!$A$3:$F$301,3,FALSE)-VLOOKUP($A21,DATA!$A$3:$F$301,3,FALSE))^2),"")</f>
        <v>13.341664064126334</v>
      </c>
      <c r="X21" s="14">
        <f>_xlfn.IFNA(SQRT((VLOOKUP(X$1,DATA!$A$3:$F$301,2,FALSE)-VLOOKUP($A21,DATA!$A$3:$F$301,2,FALSE))^2+(VLOOKUP(X$1,DATA!$A$3:$F$301,3,FALSE)-VLOOKUP($A21,DATA!$A$3:$F$301,3,FALSE))^2),"")</f>
        <v>19.104973174542799</v>
      </c>
      <c r="Y21" s="14">
        <f>_xlfn.IFNA(SQRT((VLOOKUP(Y$1,DATA!$A$3:$F$301,2,FALSE)-VLOOKUP($A21,DATA!$A$3:$F$301,2,FALSE))^2+(VLOOKUP(Y$1,DATA!$A$3:$F$301,3,FALSE)-VLOOKUP($A21,DATA!$A$3:$F$301,3,FALSE))^2),"")</f>
        <v>31.953090617340916</v>
      </c>
      <c r="Z21" s="14">
        <f>_xlfn.IFNA(SQRT((VLOOKUP(Z$1,DATA!$A$3:$F$301,2,FALSE)-VLOOKUP($A21,DATA!$A$3:$F$301,2,FALSE))^2+(VLOOKUP(Z$1,DATA!$A$3:$F$301,3,FALSE)-VLOOKUP($A21,DATA!$A$3:$F$301,3,FALSE))^2),"")</f>
        <v>6.7082039324993694</v>
      </c>
      <c r="AA21" s="14">
        <f>_xlfn.IFNA(SQRT((VLOOKUP(AA$1,DATA!$A$3:$F$301,2,FALSE)-VLOOKUP($A21,DATA!$A$3:$F$301,2,FALSE))^2+(VLOOKUP(AA$1,DATA!$A$3:$F$301,3,FALSE)-VLOOKUP($A21,DATA!$A$3:$F$301,3,FALSE))^2),"")</f>
        <v>31.144823004794873</v>
      </c>
      <c r="AB21" s="14">
        <f>_xlfn.IFNA(SQRT((VLOOKUP(AB$1,DATA!$A$3:$F$301,2,FALSE)-VLOOKUP($A21,DATA!$A$3:$F$301,2,FALSE))^2+(VLOOKUP(AB$1,DATA!$A$3:$F$301,3,FALSE)-VLOOKUP($A21,DATA!$A$3:$F$301,3,FALSE))^2),"")</f>
        <v>16.763054614240211</v>
      </c>
      <c r="AC21" s="14">
        <f>_xlfn.IFNA(SQRT((VLOOKUP(AC$1,DATA!$A$3:$F$301,2,FALSE)-VLOOKUP($A21,DATA!$A$3:$F$301,2,FALSE))^2+(VLOOKUP(AC$1,DATA!$A$3:$F$301,3,FALSE)-VLOOKUP($A21,DATA!$A$3:$F$301,3,FALSE))^2),"")</f>
        <v>34.014702703389901</v>
      </c>
      <c r="AD21" s="14">
        <f>_xlfn.IFNA(SQRT((VLOOKUP(AD$1,DATA!$A$3:$F$301,2,FALSE)-VLOOKUP($A21,DATA!$A$3:$F$301,2,FALSE))^2+(VLOOKUP(AD$1,DATA!$A$3:$F$301,3,FALSE)-VLOOKUP($A21,DATA!$A$3:$F$301,3,FALSE))^2),"")</f>
        <v>17.029386365926403</v>
      </c>
      <c r="AE21" s="14">
        <f>_xlfn.IFNA(SQRT((VLOOKUP(AE$1,DATA!$A$3:$F$301,2,FALSE)-VLOOKUP($A21,DATA!$A$3:$F$301,2,FALSE))^2+(VLOOKUP(AE$1,DATA!$A$3:$F$301,3,FALSE)-VLOOKUP($A21,DATA!$A$3:$F$301,3,FALSE))^2),"")</f>
        <v>42.426406871192853</v>
      </c>
      <c r="AF21" s="14">
        <f>_xlfn.IFNA(SQRT((VLOOKUP(AF$1,DATA!$A$3:$F$301,2,FALSE)-VLOOKUP($A21,DATA!$A$3:$F$301,2,FALSE))^2+(VLOOKUP(AF$1,DATA!$A$3:$F$301,3,FALSE)-VLOOKUP($A21,DATA!$A$3:$F$301,3,FALSE))^2),"")</f>
        <v>6</v>
      </c>
      <c r="AG21" s="14">
        <f>_xlfn.IFNA(SQRT((VLOOKUP(AG$1,DATA!$A$3:$F$301,2,FALSE)-VLOOKUP($A21,DATA!$A$3:$F$301,2,FALSE))^2+(VLOOKUP(AG$1,DATA!$A$3:$F$301,3,FALSE)-VLOOKUP($A21,DATA!$A$3:$F$301,3,FALSE))^2),"")</f>
        <v>32.202484376209235</v>
      </c>
      <c r="AH21" s="14">
        <f>_xlfn.IFNA(SQRT((VLOOKUP(AH$1,DATA!$A$3:$F$301,2,FALSE)-VLOOKUP($A21,DATA!$A$3:$F$301,2,FALSE))^2+(VLOOKUP(AH$1,DATA!$A$3:$F$301,3,FALSE)-VLOOKUP($A21,DATA!$A$3:$F$301,3,FALSE))^2),"")</f>
        <v>18.027756377319946</v>
      </c>
      <c r="AI21" s="14">
        <f>_xlfn.IFNA(SQRT((VLOOKUP(AI$1,DATA!$A$3:$F$301,2,FALSE)-VLOOKUP($A21,DATA!$A$3:$F$301,2,FALSE))^2+(VLOOKUP(AI$1,DATA!$A$3:$F$301,3,FALSE)-VLOOKUP($A21,DATA!$A$3:$F$301,3,FALSE))^2),"")</f>
        <v>5.3851648071345037</v>
      </c>
      <c r="AJ21" s="14">
        <f>_xlfn.IFNA(SQRT((VLOOKUP(AJ$1,DATA!$A$3:$F$301,2,FALSE)-VLOOKUP($A21,DATA!$A$3:$F$301,2,FALSE))^2+(VLOOKUP(AJ$1,DATA!$A$3:$F$301,3,FALSE)-VLOOKUP($A21,DATA!$A$3:$F$301,3,FALSE))^2),"")</f>
        <v>21.931712199461309</v>
      </c>
      <c r="AK21" s="14">
        <f>_xlfn.IFNA(SQRT((VLOOKUP(AK$1,DATA!$A$3:$F$301,2,FALSE)-VLOOKUP($A21,DATA!$A$3:$F$301,2,FALSE))^2+(VLOOKUP(AK$1,DATA!$A$3:$F$301,3,FALSE)-VLOOKUP($A21,DATA!$A$3:$F$301,3,FALSE))^2),"")</f>
        <v>25</v>
      </c>
      <c r="AL21" s="14">
        <f>_xlfn.IFNA(SQRT((VLOOKUP(AL$1,DATA!$A$3:$F$301,2,FALSE)-VLOOKUP($A21,DATA!$A$3:$F$301,2,FALSE))^2+(VLOOKUP(AL$1,DATA!$A$3:$F$301,3,FALSE)-VLOOKUP($A21,DATA!$A$3:$F$301,3,FALSE))^2),"")</f>
        <v>41.773197148410844</v>
      </c>
      <c r="AM21" s="14">
        <f>_xlfn.IFNA(SQRT((VLOOKUP(AM$1,DATA!$A$3:$F$301,2,FALSE)-VLOOKUP($A21,DATA!$A$3:$F$301,2,FALSE))^2+(VLOOKUP(AM$1,DATA!$A$3:$F$301,3,FALSE)-VLOOKUP($A21,DATA!$A$3:$F$301,3,FALSE))^2),"")</f>
        <v>34.525353003264136</v>
      </c>
      <c r="AN21" s="14">
        <f>_xlfn.IFNA(SQRT((VLOOKUP(AN$1,DATA!$A$3:$F$301,2,FALSE)-VLOOKUP($A21,DATA!$A$3:$F$301,2,FALSE))^2+(VLOOKUP(AN$1,DATA!$A$3:$F$301,3,FALSE)-VLOOKUP($A21,DATA!$A$3:$F$301,3,FALSE))^2),"")</f>
        <v>17.11724276862369</v>
      </c>
      <c r="AO21" s="14">
        <f>_xlfn.IFNA(SQRT((VLOOKUP(AO$1,DATA!$A$3:$F$301,2,FALSE)-VLOOKUP($A21,DATA!$A$3:$F$301,2,FALSE))^2+(VLOOKUP(AO$1,DATA!$A$3:$F$301,3,FALSE)-VLOOKUP($A21,DATA!$A$3:$F$301,3,FALSE))^2),"")</f>
        <v>24.041630560342615</v>
      </c>
      <c r="AP21" s="14" t="str">
        <f>_xlfn.IFNA(SQRT((VLOOKUP(AP$1,DATA!$A$3:$F$301,2,FALSE)-VLOOKUP($A21,DATA!$A$3:$F$301,2,FALSE))^2+(VLOOKUP(AP$1,DATA!$A$3:$F$301,3,FALSE)-VLOOKUP($A21,DATA!$A$3:$F$301,3,FALSE))^2),"")</f>
        <v/>
      </c>
      <c r="AQ21" s="14" t="str">
        <f>_xlfn.IFNA(SQRT((VLOOKUP(AQ$1,DATA!$A$3:$F$301,2,FALSE)-VLOOKUP($A21,DATA!$A$3:$F$301,2,FALSE))^2+(VLOOKUP(AQ$1,DATA!$A$3:$F$301,3,FALSE)-VLOOKUP($A21,DATA!$A$3:$F$301,3,FALSE))^2),"")</f>
        <v/>
      </c>
      <c r="AR21" s="14" t="str">
        <f>_xlfn.IFNA(SQRT((VLOOKUP(AR$1,DATA!$A$3:$F$301,2,FALSE)-VLOOKUP($A21,DATA!$A$3:$F$301,2,FALSE))^2+(VLOOKUP(AR$1,DATA!$A$3:$F$301,3,FALSE)-VLOOKUP($A21,DATA!$A$3:$F$301,3,FALSE))^2),"")</f>
        <v/>
      </c>
      <c r="AS21" s="14" t="str">
        <f>_xlfn.IFNA(SQRT((VLOOKUP(AS$1,DATA!$A$3:$F$301,2,FALSE)-VLOOKUP($A21,DATA!$A$3:$F$301,2,FALSE))^2+(VLOOKUP(AS$1,DATA!$A$3:$F$301,3,FALSE)-VLOOKUP($A21,DATA!$A$3:$F$301,3,FALSE))^2),"")</f>
        <v/>
      </c>
      <c r="AT21" s="14" t="str">
        <f>_xlfn.IFNA(SQRT((VLOOKUP(AT$1,DATA!$A$3:$F$301,2,FALSE)-VLOOKUP($A21,DATA!$A$3:$F$301,2,FALSE))^2+(VLOOKUP(AT$1,DATA!$A$3:$F$301,3,FALSE)-VLOOKUP($A21,DATA!$A$3:$F$301,3,FALSE))^2),"")</f>
        <v/>
      </c>
      <c r="AU21" s="14" t="str">
        <f>_xlfn.IFNA(SQRT((VLOOKUP(AU$1,DATA!$A$3:$F$301,2,FALSE)-VLOOKUP($A21,DATA!$A$3:$F$301,2,FALSE))^2+(VLOOKUP(AU$1,DATA!$A$3:$F$301,3,FALSE)-VLOOKUP($A21,DATA!$A$3:$F$301,3,FALSE))^2),"")</f>
        <v/>
      </c>
      <c r="AV21" s="14" t="str">
        <f>_xlfn.IFNA(SQRT((VLOOKUP(AV$1,DATA!$A$3:$F$301,2,FALSE)-VLOOKUP($A21,DATA!$A$3:$F$301,2,FALSE))^2+(VLOOKUP(AV$1,DATA!$A$3:$F$301,3,FALSE)-VLOOKUP($A21,DATA!$A$3:$F$301,3,FALSE))^2),"")</f>
        <v/>
      </c>
      <c r="AW21" s="14" t="str">
        <f>_xlfn.IFNA(SQRT((VLOOKUP(AW$1,DATA!$A$3:$F$301,2,FALSE)-VLOOKUP($A21,DATA!$A$3:$F$301,2,FALSE))^2+(VLOOKUP(AW$1,DATA!$A$3:$F$301,3,FALSE)-VLOOKUP($A21,DATA!$A$3:$F$301,3,FALSE))^2),"")</f>
        <v/>
      </c>
      <c r="AX21" s="14" t="str">
        <f>_xlfn.IFNA(SQRT((VLOOKUP(AX$1,DATA!$A$3:$F$301,2,FALSE)-VLOOKUP($A21,DATA!$A$3:$F$301,2,FALSE))^2+(VLOOKUP(AX$1,DATA!$A$3:$F$301,3,FALSE)-VLOOKUP($A21,DATA!$A$3:$F$301,3,FALSE))^2),"")</f>
        <v/>
      </c>
      <c r="AY21" s="14" t="str">
        <f>_xlfn.IFNA(SQRT((VLOOKUP(AY$1,DATA!$A$3:$F$301,2,FALSE)-VLOOKUP($A21,DATA!$A$3:$F$301,2,FALSE))^2+(VLOOKUP(AY$1,DATA!$A$3:$F$301,3,FALSE)-VLOOKUP($A21,DATA!$A$3:$F$301,3,FALSE))^2),"")</f>
        <v/>
      </c>
      <c r="AZ21" s="14" t="str">
        <f>_xlfn.IFNA(SQRT((VLOOKUP(AZ$1,DATA!$A$3:$F$301,2,FALSE)-VLOOKUP($A21,DATA!$A$3:$F$301,2,FALSE))^2+(VLOOKUP(AZ$1,DATA!$A$3:$F$301,3,FALSE)-VLOOKUP($A21,DATA!$A$3:$F$301,3,FALSE))^2),"")</f>
        <v/>
      </c>
      <c r="BA21" s="14" t="str">
        <f>_xlfn.IFNA(SQRT((VLOOKUP(BA$1,DATA!$A$3:$F$301,2,FALSE)-VLOOKUP($A21,DATA!$A$3:$F$301,2,FALSE))^2+(VLOOKUP(BA$1,DATA!$A$3:$F$301,3,FALSE)-VLOOKUP($A21,DATA!$A$3:$F$301,3,FALSE))^2),"")</f>
        <v/>
      </c>
      <c r="BB21" s="14" t="str">
        <f>_xlfn.IFNA(SQRT((VLOOKUP(BB$1,DATA!$A$3:$F$301,2,FALSE)-VLOOKUP($A21,DATA!$A$3:$F$301,2,FALSE))^2+(VLOOKUP(BB$1,DATA!$A$3:$F$301,3,FALSE)-VLOOKUP($A21,DATA!$A$3:$F$301,3,FALSE))^2),"")</f>
        <v/>
      </c>
      <c r="BC21" s="14" t="str">
        <f>_xlfn.IFNA(SQRT((VLOOKUP(BC$1,DATA!$A$3:$F$301,2,FALSE)-VLOOKUP($A21,DATA!$A$3:$F$301,2,FALSE))^2+(VLOOKUP(BC$1,DATA!$A$3:$F$301,3,FALSE)-VLOOKUP($A21,DATA!$A$3:$F$301,3,FALSE))^2),"")</f>
        <v/>
      </c>
      <c r="BD21" s="14" t="str">
        <f>_xlfn.IFNA(SQRT((VLOOKUP(BD$1,DATA!$A$3:$F$301,2,FALSE)-VLOOKUP($A21,DATA!$A$3:$F$301,2,FALSE))^2+(VLOOKUP(BD$1,DATA!$A$3:$F$301,3,FALSE)-VLOOKUP($A21,DATA!$A$3:$F$301,3,FALSE))^2),"")</f>
        <v/>
      </c>
      <c r="BE21" s="14" t="str">
        <f>_xlfn.IFNA(SQRT((VLOOKUP(BE$1,DATA!$A$3:$F$301,2,FALSE)-VLOOKUP($A21,DATA!$A$3:$F$301,2,FALSE))^2+(VLOOKUP(BE$1,DATA!$A$3:$F$301,3,FALSE)-VLOOKUP($A21,DATA!$A$3:$F$301,3,FALSE))^2),"")</f>
        <v/>
      </c>
      <c r="BF21" s="14" t="str">
        <f>_xlfn.IFNA(SQRT((VLOOKUP(BF$1,DATA!$A$3:$F$301,2,FALSE)-VLOOKUP($A21,DATA!$A$3:$F$301,2,FALSE))^2+(VLOOKUP(BF$1,DATA!$A$3:$F$301,3,FALSE)-VLOOKUP($A21,DATA!$A$3:$F$301,3,FALSE))^2),"")</f>
        <v/>
      </c>
      <c r="BG21" s="14" t="str">
        <f>_xlfn.IFNA(SQRT((VLOOKUP(BG$1,DATA!$A$3:$F$301,2,FALSE)-VLOOKUP($A21,DATA!$A$3:$F$301,2,FALSE))^2+(VLOOKUP(BG$1,DATA!$A$3:$F$301,3,FALSE)-VLOOKUP($A21,DATA!$A$3:$F$301,3,FALSE))^2),"")</f>
        <v/>
      </c>
      <c r="BH21" s="14" t="str">
        <f>_xlfn.IFNA(SQRT((VLOOKUP(BH$1,DATA!$A$3:$F$301,2,FALSE)-VLOOKUP($A21,DATA!$A$3:$F$301,2,FALSE))^2+(VLOOKUP(BH$1,DATA!$A$3:$F$301,3,FALSE)-VLOOKUP($A21,DATA!$A$3:$F$301,3,FALSE))^2),"")</f>
        <v/>
      </c>
      <c r="BI21" s="14" t="str">
        <f>_xlfn.IFNA(SQRT((VLOOKUP(BI$1,DATA!$A$3:$F$301,2,FALSE)-VLOOKUP($A21,DATA!$A$3:$F$301,2,FALSE))^2+(VLOOKUP(BI$1,DATA!$A$3:$F$301,3,FALSE)-VLOOKUP($A21,DATA!$A$3:$F$301,3,FALSE))^2),"")</f>
        <v/>
      </c>
      <c r="BJ21" s="14" t="str">
        <f>_xlfn.IFNA(SQRT((VLOOKUP(BJ$1,DATA!$A$3:$F$301,2,FALSE)-VLOOKUP($A21,DATA!$A$3:$F$301,2,FALSE))^2+(VLOOKUP(BJ$1,DATA!$A$3:$F$301,3,FALSE)-VLOOKUP($A21,DATA!$A$3:$F$301,3,FALSE))^2),"")</f>
        <v/>
      </c>
      <c r="BK21" s="14" t="str">
        <f>_xlfn.IFNA(SQRT((VLOOKUP(BK$1,DATA!$A$3:$F$301,2,FALSE)-VLOOKUP($A21,DATA!$A$3:$F$301,2,FALSE))^2+(VLOOKUP(BK$1,DATA!$A$3:$F$301,3,FALSE)-VLOOKUP($A21,DATA!$A$3:$F$301,3,FALSE))^2),"")</f>
        <v/>
      </c>
      <c r="BL21" s="14" t="str">
        <f>_xlfn.IFNA(SQRT((VLOOKUP(BL$1,DATA!$A$3:$F$301,2,FALSE)-VLOOKUP($A21,DATA!$A$3:$F$301,2,FALSE))^2+(VLOOKUP(BL$1,DATA!$A$3:$F$301,3,FALSE)-VLOOKUP($A21,DATA!$A$3:$F$301,3,FALSE))^2),"")</f>
        <v/>
      </c>
      <c r="BM21" s="14" t="str">
        <f>_xlfn.IFNA(SQRT((VLOOKUP(BM$1,DATA!$A$3:$F$301,2,FALSE)-VLOOKUP($A21,DATA!$A$3:$F$301,2,FALSE))^2+(VLOOKUP(BM$1,DATA!$A$3:$F$301,3,FALSE)-VLOOKUP($A21,DATA!$A$3:$F$301,3,FALSE))^2),"")</f>
        <v/>
      </c>
      <c r="BN21" s="14" t="str">
        <f>_xlfn.IFNA(SQRT((VLOOKUP(BN$1,DATA!$A$3:$F$301,2,FALSE)-VLOOKUP($A21,DATA!$A$3:$F$301,2,FALSE))^2+(VLOOKUP(BN$1,DATA!$A$3:$F$301,3,FALSE)-VLOOKUP($A21,DATA!$A$3:$F$301,3,FALSE))^2),"")</f>
        <v/>
      </c>
      <c r="BO21" s="14" t="str">
        <f>_xlfn.IFNA(SQRT((VLOOKUP(BO$1,DATA!$A$3:$F$301,2,FALSE)-VLOOKUP($A21,DATA!$A$3:$F$301,2,FALSE))^2+(VLOOKUP(BO$1,DATA!$A$3:$F$301,3,FALSE)-VLOOKUP($A21,DATA!$A$3:$F$301,3,FALSE))^2),"")</f>
        <v/>
      </c>
      <c r="BP21" s="14" t="str">
        <f>_xlfn.IFNA(SQRT((VLOOKUP(BP$1,DATA!$A$3:$F$301,2,FALSE)-VLOOKUP($A21,DATA!$A$3:$F$301,2,FALSE))^2+(VLOOKUP(BP$1,DATA!$A$3:$F$301,3,FALSE)-VLOOKUP($A21,DATA!$A$3:$F$301,3,FALSE))^2),"")</f>
        <v/>
      </c>
      <c r="BQ21" s="14" t="str">
        <f>_xlfn.IFNA(SQRT((VLOOKUP(BQ$1,DATA!$A$3:$F$301,2,FALSE)-VLOOKUP($A21,DATA!$A$3:$F$301,2,FALSE))^2+(VLOOKUP(BQ$1,DATA!$A$3:$F$301,3,FALSE)-VLOOKUP($A21,DATA!$A$3:$F$301,3,FALSE))^2),"")</f>
        <v/>
      </c>
      <c r="BR21" s="14" t="str">
        <f>_xlfn.IFNA(SQRT((VLOOKUP(BR$1,DATA!$A$3:$F$301,2,FALSE)-VLOOKUP($A21,DATA!$A$3:$F$301,2,FALSE))^2+(VLOOKUP(BR$1,DATA!$A$3:$F$301,3,FALSE)-VLOOKUP($A21,DATA!$A$3:$F$301,3,FALSE))^2),"")</f>
        <v/>
      </c>
      <c r="BS21" s="14" t="str">
        <f>_xlfn.IFNA(SQRT((VLOOKUP(BS$1,DATA!$A$3:$F$301,2,FALSE)-VLOOKUP($A21,DATA!$A$3:$F$301,2,FALSE))^2+(VLOOKUP(BS$1,DATA!$A$3:$F$301,3,FALSE)-VLOOKUP($A21,DATA!$A$3:$F$301,3,FALSE))^2),"")</f>
        <v/>
      </c>
      <c r="BT21" s="14" t="str">
        <f>_xlfn.IFNA(SQRT((VLOOKUP(BT$1,DATA!$A$3:$F$301,2,FALSE)-VLOOKUP($A21,DATA!$A$3:$F$301,2,FALSE))^2+(VLOOKUP(BT$1,DATA!$A$3:$F$301,3,FALSE)-VLOOKUP($A21,DATA!$A$3:$F$301,3,FALSE))^2),"")</f>
        <v/>
      </c>
      <c r="BU21" s="14" t="str">
        <f>_xlfn.IFNA(SQRT((VLOOKUP(BU$1,DATA!$A$3:$F$301,2,FALSE)-VLOOKUP($A21,DATA!$A$3:$F$301,2,FALSE))^2+(VLOOKUP(BU$1,DATA!$A$3:$F$301,3,FALSE)-VLOOKUP($A21,DATA!$A$3:$F$301,3,FALSE))^2),"")</f>
        <v/>
      </c>
      <c r="BV21" s="14" t="str">
        <f>_xlfn.IFNA(SQRT((VLOOKUP(BV$1,DATA!$A$3:$F$301,2,FALSE)-VLOOKUP($A21,DATA!$A$3:$F$301,2,FALSE))^2+(VLOOKUP(BV$1,DATA!$A$3:$F$301,3,FALSE)-VLOOKUP($A21,DATA!$A$3:$F$301,3,FALSE))^2),"")</f>
        <v/>
      </c>
      <c r="BW21" s="14" t="str">
        <f>_xlfn.IFNA(SQRT((VLOOKUP(BW$1,DATA!$A$3:$F$301,2,FALSE)-VLOOKUP($A21,DATA!$A$3:$F$301,2,FALSE))^2+(VLOOKUP(BW$1,DATA!$A$3:$F$301,3,FALSE)-VLOOKUP($A21,DATA!$A$3:$F$301,3,FALSE))^2),"")</f>
        <v/>
      </c>
      <c r="BX21" s="14" t="str">
        <f>_xlfn.IFNA(SQRT((VLOOKUP(BX$1,DATA!$A$3:$F$301,2,FALSE)-VLOOKUP($A21,DATA!$A$3:$F$301,2,FALSE))^2+(VLOOKUP(BX$1,DATA!$A$3:$F$301,3,FALSE)-VLOOKUP($A21,DATA!$A$3:$F$301,3,FALSE))^2),"")</f>
        <v/>
      </c>
      <c r="BY21" s="14" t="str">
        <f>_xlfn.IFNA(SQRT((VLOOKUP(BY$1,DATA!$A$3:$F$301,2,FALSE)-VLOOKUP($A21,DATA!$A$3:$F$301,2,FALSE))^2+(VLOOKUP(BY$1,DATA!$A$3:$F$301,3,FALSE)-VLOOKUP($A21,DATA!$A$3:$F$301,3,FALSE))^2),"")</f>
        <v/>
      </c>
      <c r="BZ21" s="14" t="str">
        <f>_xlfn.IFNA(SQRT((VLOOKUP(BZ$1,DATA!$A$3:$F$301,2,FALSE)-VLOOKUP($A21,DATA!$A$3:$F$301,2,FALSE))^2+(VLOOKUP(BZ$1,DATA!$A$3:$F$301,3,FALSE)-VLOOKUP($A21,DATA!$A$3:$F$301,3,FALSE))^2),"")</f>
        <v/>
      </c>
      <c r="CA21" s="14" t="str">
        <f>_xlfn.IFNA(SQRT((VLOOKUP(CA$1,DATA!$A$3:$F$301,2,FALSE)-VLOOKUP($A21,DATA!$A$3:$F$301,2,FALSE))^2+(VLOOKUP(CA$1,DATA!$A$3:$F$301,3,FALSE)-VLOOKUP($A21,DATA!$A$3:$F$301,3,FALSE))^2),"")</f>
        <v/>
      </c>
      <c r="CB21" s="14" t="str">
        <f>_xlfn.IFNA(SQRT((VLOOKUP(CB$1,DATA!$A$3:$F$301,2,FALSE)-VLOOKUP($A21,DATA!$A$3:$F$301,2,FALSE))^2+(VLOOKUP(CB$1,DATA!$A$3:$F$301,3,FALSE)-VLOOKUP($A21,DATA!$A$3:$F$301,3,FALSE))^2),"")</f>
        <v/>
      </c>
      <c r="CC21" s="14" t="str">
        <f>_xlfn.IFNA(SQRT((VLOOKUP(CC$1,DATA!$A$3:$F$301,2,FALSE)-VLOOKUP($A21,DATA!$A$3:$F$301,2,FALSE))^2+(VLOOKUP(CC$1,DATA!$A$3:$F$301,3,FALSE)-VLOOKUP($A21,DATA!$A$3:$F$301,3,FALSE))^2),"")</f>
        <v/>
      </c>
      <c r="CD21" s="14" t="str">
        <f>_xlfn.IFNA(SQRT((VLOOKUP(CD$1,DATA!$A$3:$F$301,2,FALSE)-VLOOKUP($A21,DATA!$A$3:$F$301,2,FALSE))^2+(VLOOKUP(CD$1,DATA!$A$3:$F$301,3,FALSE)-VLOOKUP($A21,DATA!$A$3:$F$301,3,FALSE))^2),"")</f>
        <v/>
      </c>
      <c r="CE21" s="14" t="str">
        <f>_xlfn.IFNA(SQRT((VLOOKUP(CE$1,DATA!$A$3:$F$301,2,FALSE)-VLOOKUP($A21,DATA!$A$3:$F$301,2,FALSE))^2+(VLOOKUP(CE$1,DATA!$A$3:$F$301,3,FALSE)-VLOOKUP($A21,DATA!$A$3:$F$301,3,FALSE))^2),"")</f>
        <v/>
      </c>
      <c r="CF21" s="14" t="str">
        <f>_xlfn.IFNA(SQRT((VLOOKUP(CF$1,DATA!$A$3:$F$301,2,FALSE)-VLOOKUP($A21,DATA!$A$3:$F$301,2,FALSE))^2+(VLOOKUP(CF$1,DATA!$A$3:$F$301,3,FALSE)-VLOOKUP($A21,DATA!$A$3:$F$301,3,FALSE))^2),"")</f>
        <v/>
      </c>
      <c r="CG21" s="14" t="str">
        <f>_xlfn.IFNA(SQRT((VLOOKUP(CG$1,DATA!$A$3:$F$301,2,FALSE)-VLOOKUP($A21,DATA!$A$3:$F$301,2,FALSE))^2+(VLOOKUP(CG$1,DATA!$A$3:$F$301,3,FALSE)-VLOOKUP($A21,DATA!$A$3:$F$301,3,FALSE))^2),"")</f>
        <v/>
      </c>
      <c r="CH21" s="14" t="str">
        <f>_xlfn.IFNA(SQRT((VLOOKUP(CH$1,DATA!$A$3:$F$301,2,FALSE)-VLOOKUP($A21,DATA!$A$3:$F$301,2,FALSE))^2+(VLOOKUP(CH$1,DATA!$A$3:$F$301,3,FALSE)-VLOOKUP($A21,DATA!$A$3:$F$301,3,FALSE))^2),"")</f>
        <v/>
      </c>
      <c r="CI21" s="14" t="str">
        <f>_xlfn.IFNA(SQRT((VLOOKUP(CI$1,DATA!$A$3:$F$301,2,FALSE)-VLOOKUP($A21,DATA!$A$3:$F$301,2,FALSE))^2+(VLOOKUP(CI$1,DATA!$A$3:$F$301,3,FALSE)-VLOOKUP($A21,DATA!$A$3:$F$301,3,FALSE))^2),"")</f>
        <v/>
      </c>
      <c r="CJ21" s="14" t="str">
        <f>_xlfn.IFNA(SQRT((VLOOKUP(CJ$1,DATA!$A$3:$F$301,2,FALSE)-VLOOKUP($A21,DATA!$A$3:$F$301,2,FALSE))^2+(VLOOKUP(CJ$1,DATA!$A$3:$F$301,3,FALSE)-VLOOKUP($A21,DATA!$A$3:$F$301,3,FALSE))^2),"")</f>
        <v/>
      </c>
      <c r="CK21" s="14" t="str">
        <f>_xlfn.IFNA(SQRT((VLOOKUP(CK$1,DATA!$A$3:$F$301,2,FALSE)-VLOOKUP($A21,DATA!$A$3:$F$301,2,FALSE))^2+(VLOOKUP(CK$1,DATA!$A$3:$F$301,3,FALSE)-VLOOKUP($A21,DATA!$A$3:$F$301,3,FALSE))^2),"")</f>
        <v/>
      </c>
      <c r="CL21" s="14" t="str">
        <f>_xlfn.IFNA(SQRT((VLOOKUP(CL$1,DATA!$A$3:$F$301,2,FALSE)-VLOOKUP($A21,DATA!$A$3:$F$301,2,FALSE))^2+(VLOOKUP(CL$1,DATA!$A$3:$F$301,3,FALSE)-VLOOKUP($A21,DATA!$A$3:$F$301,3,FALSE))^2),"")</f>
        <v/>
      </c>
      <c r="CM21" s="14" t="str">
        <f>_xlfn.IFNA(SQRT((VLOOKUP(CM$1,DATA!$A$3:$F$301,2,FALSE)-VLOOKUP($A21,DATA!$A$3:$F$301,2,FALSE))^2+(VLOOKUP(CM$1,DATA!$A$3:$F$301,3,FALSE)-VLOOKUP($A21,DATA!$A$3:$F$301,3,FALSE))^2),"")</f>
        <v/>
      </c>
      <c r="CN21" s="14" t="str">
        <f>_xlfn.IFNA(SQRT((VLOOKUP(CN$1,DATA!$A$3:$F$301,2,FALSE)-VLOOKUP($A21,DATA!$A$3:$F$301,2,FALSE))^2+(VLOOKUP(CN$1,DATA!$A$3:$F$301,3,FALSE)-VLOOKUP($A21,DATA!$A$3:$F$301,3,FALSE))^2),"")</f>
        <v/>
      </c>
      <c r="CO21" s="14" t="str">
        <f>_xlfn.IFNA(SQRT((VLOOKUP(CO$1,DATA!$A$3:$F$301,2,FALSE)-VLOOKUP($A21,DATA!$A$3:$F$301,2,FALSE))^2+(VLOOKUP(CO$1,DATA!$A$3:$F$301,3,FALSE)-VLOOKUP($A21,DATA!$A$3:$F$301,3,FALSE))^2),"")</f>
        <v/>
      </c>
      <c r="CP21" s="14" t="str">
        <f>_xlfn.IFNA(SQRT((VLOOKUP(CP$1,DATA!$A$3:$F$301,2,FALSE)-VLOOKUP($A21,DATA!$A$3:$F$301,2,FALSE))^2+(VLOOKUP(CP$1,DATA!$A$3:$F$301,3,FALSE)-VLOOKUP($A21,DATA!$A$3:$F$301,3,FALSE))^2),"")</f>
        <v/>
      </c>
      <c r="CQ21" s="14" t="str">
        <f>_xlfn.IFNA(SQRT((VLOOKUP(CQ$1,DATA!$A$3:$F$301,2,FALSE)-VLOOKUP($A21,DATA!$A$3:$F$301,2,FALSE))^2+(VLOOKUP(CQ$1,DATA!$A$3:$F$301,3,FALSE)-VLOOKUP($A21,DATA!$A$3:$F$301,3,FALSE))^2),"")</f>
        <v/>
      </c>
      <c r="CR21" s="14" t="str">
        <f>_xlfn.IFNA(SQRT((VLOOKUP(CR$1,DATA!$A$3:$F$301,2,FALSE)-VLOOKUP($A21,DATA!$A$3:$F$301,2,FALSE))^2+(VLOOKUP(CR$1,DATA!$A$3:$F$301,3,FALSE)-VLOOKUP($A21,DATA!$A$3:$F$301,3,FALSE))^2),"")</f>
        <v/>
      </c>
      <c r="CS21" s="14" t="str">
        <f>_xlfn.IFNA(SQRT((VLOOKUP(CS$1,DATA!$A$3:$F$301,2,FALSE)-VLOOKUP($A21,DATA!$A$3:$F$301,2,FALSE))^2+(VLOOKUP(CS$1,DATA!$A$3:$F$301,3,FALSE)-VLOOKUP($A21,DATA!$A$3:$F$301,3,FALSE))^2),"")</f>
        <v/>
      </c>
      <c r="CT21" s="14" t="str">
        <f>_xlfn.IFNA(SQRT((VLOOKUP(CT$1,DATA!$A$3:$F$301,2,FALSE)-VLOOKUP($A21,DATA!$A$3:$F$301,2,FALSE))^2+(VLOOKUP(CT$1,DATA!$A$3:$F$301,3,FALSE)-VLOOKUP($A21,DATA!$A$3:$F$301,3,FALSE))^2),"")</f>
        <v/>
      </c>
      <c r="CU21" s="14" t="str">
        <f>_xlfn.IFNA(SQRT((VLOOKUP(CU$1,DATA!$A$3:$F$301,2,FALSE)-VLOOKUP($A21,DATA!$A$3:$F$301,2,FALSE))^2+(VLOOKUP(CU$1,DATA!$A$3:$F$301,3,FALSE)-VLOOKUP($A21,DATA!$A$3:$F$301,3,FALSE))^2),"")</f>
        <v/>
      </c>
      <c r="CV21" s="14" t="str">
        <f>_xlfn.IFNA(SQRT((VLOOKUP(CV$1,DATA!$A$3:$F$301,2,FALSE)-VLOOKUP($A21,DATA!$A$3:$F$301,2,FALSE))^2+(VLOOKUP(CV$1,DATA!$A$3:$F$301,3,FALSE)-VLOOKUP($A21,DATA!$A$3:$F$301,3,FALSE))^2),"")</f>
        <v/>
      </c>
      <c r="CW21" s="14" t="str">
        <f>_xlfn.IFNA(SQRT((VLOOKUP(CW$1,DATA!$A$3:$F$301,2,FALSE)-VLOOKUP($A21,DATA!$A$3:$F$301,2,FALSE))^2+(VLOOKUP(CW$1,DATA!$A$3:$F$301,3,FALSE)-VLOOKUP($A21,DATA!$A$3:$F$301,3,FALSE))^2),"")</f>
        <v/>
      </c>
      <c r="CX21" s="14" t="str">
        <f>_xlfn.IFNA(SQRT((VLOOKUP(CX$1,DATA!$A$3:$F$301,2,FALSE)-VLOOKUP($A21,DATA!$A$3:$F$301,2,FALSE))^2+(VLOOKUP(CX$1,DATA!$A$3:$F$301,3,FALSE)-VLOOKUP($A21,DATA!$A$3:$F$301,3,FALSE))^2),"")</f>
        <v/>
      </c>
    </row>
    <row r="22" spans="1:102">
      <c r="A22" s="13">
        <v>21</v>
      </c>
      <c r="B22" s="14">
        <f>_xlfn.IFNA(SQRT((VLOOKUP(B$1,DATA!$A$3:$F$301,2,FALSE)-VLOOKUP($A22,DATA!$A$3:$F$301,2,FALSE))^2+(VLOOKUP(B$1,DATA!$A$3:$F$301,3,FALSE)-VLOOKUP($A22,DATA!$A$3:$F$301,3,FALSE))^2),"")</f>
        <v>23.021728866442675</v>
      </c>
      <c r="C22" s="14">
        <f>_xlfn.IFNA(SQRT((VLOOKUP(C$1,DATA!$A$3:$F$301,2,FALSE)-VLOOKUP($A22,DATA!$A$3:$F$301,2,FALSE))^2+(VLOOKUP(C$1,DATA!$A$3:$F$301,3,FALSE)-VLOOKUP($A22,DATA!$A$3:$F$301,3,FALSE))^2),"")</f>
        <v>28</v>
      </c>
      <c r="D22" s="14">
        <f>_xlfn.IFNA(SQRT((VLOOKUP(D$1,DATA!$A$3:$F$301,2,FALSE)-VLOOKUP($A22,DATA!$A$3:$F$301,2,FALSE))^2+(VLOOKUP(D$1,DATA!$A$3:$F$301,3,FALSE)-VLOOKUP($A22,DATA!$A$3:$F$301,3,FALSE))^2),"")</f>
        <v>26.419689627245813</v>
      </c>
      <c r="E22" s="14">
        <f>_xlfn.IFNA(SQRT((VLOOKUP(E$1,DATA!$A$3:$F$301,2,FALSE)-VLOOKUP($A22,DATA!$A$3:$F$301,2,FALSE))^2+(VLOOKUP(E$1,DATA!$A$3:$F$301,3,FALSE)-VLOOKUP($A22,DATA!$A$3:$F$301,3,FALSE))^2),"")</f>
        <v>19.924858845171276</v>
      </c>
      <c r="F22" s="14">
        <f>_xlfn.IFNA(SQRT((VLOOKUP(F$1,DATA!$A$3:$F$301,2,FALSE)-VLOOKUP($A22,DATA!$A$3:$F$301,2,FALSE))^2+(VLOOKUP(F$1,DATA!$A$3:$F$301,3,FALSE)-VLOOKUP($A22,DATA!$A$3:$F$301,3,FALSE))^2),"")</f>
        <v>39.408120990476064</v>
      </c>
      <c r="G22" s="14">
        <f>_xlfn.IFNA(SQRT((VLOOKUP(G$1,DATA!$A$3:$F$301,2,FALSE)-VLOOKUP($A22,DATA!$A$3:$F$301,2,FALSE))^2+(VLOOKUP(G$1,DATA!$A$3:$F$301,3,FALSE)-VLOOKUP($A22,DATA!$A$3:$F$301,3,FALSE))^2),"")</f>
        <v>8.2462112512353212</v>
      </c>
      <c r="H22" s="14">
        <f>_xlfn.IFNA(SQRT((VLOOKUP(H$1,DATA!$A$3:$F$301,2,FALSE)-VLOOKUP($A22,DATA!$A$3:$F$301,2,FALSE))^2+(VLOOKUP(H$1,DATA!$A$3:$F$301,3,FALSE)-VLOOKUP($A22,DATA!$A$3:$F$301,3,FALSE))^2),"")</f>
        <v>7.2801098892805181</v>
      </c>
      <c r="I22" s="14">
        <f>_xlfn.IFNA(SQRT((VLOOKUP(I$1,DATA!$A$3:$F$301,2,FALSE)-VLOOKUP($A22,DATA!$A$3:$F$301,2,FALSE))^2+(VLOOKUP(I$1,DATA!$A$3:$F$301,3,FALSE)-VLOOKUP($A22,DATA!$A$3:$F$301,3,FALSE))^2),"")</f>
        <v>21.213203435596427</v>
      </c>
      <c r="J22" s="14">
        <f>_xlfn.IFNA(SQRT((VLOOKUP(J$1,DATA!$A$3:$F$301,2,FALSE)-VLOOKUP($A22,DATA!$A$3:$F$301,2,FALSE))^2+(VLOOKUP(J$1,DATA!$A$3:$F$301,3,FALSE)-VLOOKUP($A22,DATA!$A$3:$F$301,3,FALSE))^2),"")</f>
        <v>9.8488578017961039</v>
      </c>
      <c r="K22" s="14">
        <f>_xlfn.IFNA(SQRT((VLOOKUP(K$1,DATA!$A$3:$F$301,2,FALSE)-VLOOKUP($A22,DATA!$A$3:$F$301,2,FALSE))^2+(VLOOKUP(K$1,DATA!$A$3:$F$301,3,FALSE)-VLOOKUP($A22,DATA!$A$3:$F$301,3,FALSE))^2),"")</f>
        <v>32.310988842807021</v>
      </c>
      <c r="L22" s="14">
        <f>_xlfn.IFNA(SQRT((VLOOKUP(L$1,DATA!$A$3:$F$301,2,FALSE)-VLOOKUP($A22,DATA!$A$3:$F$301,2,FALSE))^2+(VLOOKUP(L$1,DATA!$A$3:$F$301,3,FALSE)-VLOOKUP($A22,DATA!$A$3:$F$301,3,FALSE))^2),"")</f>
        <v>14.560219778561036</v>
      </c>
      <c r="M22" s="14">
        <f>_xlfn.IFNA(SQRT((VLOOKUP(M$1,DATA!$A$3:$F$301,2,FALSE)-VLOOKUP($A22,DATA!$A$3:$F$301,2,FALSE))^2+(VLOOKUP(M$1,DATA!$A$3:$F$301,3,FALSE)-VLOOKUP($A22,DATA!$A$3:$F$301,3,FALSE))^2),"")</f>
        <v>23.706539182259394</v>
      </c>
      <c r="N22" s="14">
        <f>_xlfn.IFNA(SQRT((VLOOKUP(N$1,DATA!$A$3:$F$301,2,FALSE)-VLOOKUP($A22,DATA!$A$3:$F$301,2,FALSE))^2+(VLOOKUP(N$1,DATA!$A$3:$F$301,3,FALSE)-VLOOKUP($A22,DATA!$A$3:$F$301,3,FALSE))^2),"")</f>
        <v>17</v>
      </c>
      <c r="O22" s="14">
        <f>_xlfn.IFNA(SQRT((VLOOKUP(O$1,DATA!$A$3:$F$301,2,FALSE)-VLOOKUP($A22,DATA!$A$3:$F$301,2,FALSE))^2+(VLOOKUP(O$1,DATA!$A$3:$F$301,3,FALSE)-VLOOKUP($A22,DATA!$A$3:$F$301,3,FALSE))^2),"")</f>
        <v>45.343136195018538</v>
      </c>
      <c r="P22" s="14">
        <f>_xlfn.IFNA(SQRT((VLOOKUP(P$1,DATA!$A$3:$F$301,2,FALSE)-VLOOKUP($A22,DATA!$A$3:$F$301,2,FALSE))^2+(VLOOKUP(P$1,DATA!$A$3:$F$301,3,FALSE)-VLOOKUP($A22,DATA!$A$3:$F$301,3,FALSE))^2),"")</f>
        <v>29.832867780352597</v>
      </c>
      <c r="Q22" s="14">
        <f>_xlfn.IFNA(SQRT((VLOOKUP(Q$1,DATA!$A$3:$F$301,2,FALSE)-VLOOKUP($A22,DATA!$A$3:$F$301,2,FALSE))^2+(VLOOKUP(Q$1,DATA!$A$3:$F$301,3,FALSE)-VLOOKUP($A22,DATA!$A$3:$F$301,3,FALSE))^2),"")</f>
        <v>8</v>
      </c>
      <c r="R22" s="14">
        <f>_xlfn.IFNA(SQRT((VLOOKUP(R$1,DATA!$A$3:$F$301,2,FALSE)-VLOOKUP($A22,DATA!$A$3:$F$301,2,FALSE))^2+(VLOOKUP(R$1,DATA!$A$3:$F$301,3,FALSE)-VLOOKUP($A22,DATA!$A$3:$F$301,3,FALSE))^2),"")</f>
        <v>15.524174696260024</v>
      </c>
      <c r="S22" s="14">
        <f>_xlfn.IFNA(SQRT((VLOOKUP(S$1,DATA!$A$3:$F$301,2,FALSE)-VLOOKUP($A22,DATA!$A$3:$F$301,2,FALSE))^2+(VLOOKUP(S$1,DATA!$A$3:$F$301,3,FALSE)-VLOOKUP($A22,DATA!$A$3:$F$301,3,FALSE))^2),"")</f>
        <v>14.317821063276353</v>
      </c>
      <c r="T22" s="14">
        <f>_xlfn.IFNA(SQRT((VLOOKUP(T$1,DATA!$A$3:$F$301,2,FALSE)-VLOOKUP($A22,DATA!$A$3:$F$301,2,FALSE))^2+(VLOOKUP(T$1,DATA!$A$3:$F$301,3,FALSE)-VLOOKUP($A22,DATA!$A$3:$F$301,3,FALSE))^2),"")</f>
        <v>37.643060449437421</v>
      </c>
      <c r="U22" s="14">
        <f>_xlfn.IFNA(SQRT((VLOOKUP(U$1,DATA!$A$3:$F$301,2,FALSE)-VLOOKUP($A22,DATA!$A$3:$F$301,2,FALSE))^2+(VLOOKUP(U$1,DATA!$A$3:$F$301,3,FALSE)-VLOOKUP($A22,DATA!$A$3:$F$301,3,FALSE))^2),"")</f>
        <v>13.45362404707371</v>
      </c>
      <c r="V22" s="14">
        <f>_xlfn.IFNA(SQRT((VLOOKUP(V$1,DATA!$A$3:$F$301,2,FALSE)-VLOOKUP($A22,DATA!$A$3:$F$301,2,FALSE))^2+(VLOOKUP(V$1,DATA!$A$3:$F$301,3,FALSE)-VLOOKUP($A22,DATA!$A$3:$F$301,3,FALSE))^2),"")</f>
        <v>0</v>
      </c>
      <c r="W22" s="14">
        <f>_xlfn.IFNA(SQRT((VLOOKUP(W$1,DATA!$A$3:$F$301,2,FALSE)-VLOOKUP($A22,DATA!$A$3:$F$301,2,FALSE))^2+(VLOOKUP(W$1,DATA!$A$3:$F$301,3,FALSE)-VLOOKUP($A22,DATA!$A$3:$F$301,3,FALSE))^2),"")</f>
        <v>8.0622577482985491</v>
      </c>
      <c r="X22" s="14">
        <f>_xlfn.IFNA(SQRT((VLOOKUP(X$1,DATA!$A$3:$F$301,2,FALSE)-VLOOKUP($A22,DATA!$A$3:$F$301,2,FALSE))^2+(VLOOKUP(X$1,DATA!$A$3:$F$301,3,FALSE)-VLOOKUP($A22,DATA!$A$3:$F$301,3,FALSE))^2),"")</f>
        <v>12.806248474865697</v>
      </c>
      <c r="Y22" s="14">
        <f>_xlfn.IFNA(SQRT((VLOOKUP(Y$1,DATA!$A$3:$F$301,2,FALSE)-VLOOKUP($A22,DATA!$A$3:$F$301,2,FALSE))^2+(VLOOKUP(Y$1,DATA!$A$3:$F$301,3,FALSE)-VLOOKUP($A22,DATA!$A$3:$F$301,3,FALSE))^2),"")</f>
        <v>20.09975124224178</v>
      </c>
      <c r="Z22" s="14">
        <f>_xlfn.IFNA(SQRT((VLOOKUP(Z$1,DATA!$A$3:$F$301,2,FALSE)-VLOOKUP($A22,DATA!$A$3:$F$301,2,FALSE))^2+(VLOOKUP(Z$1,DATA!$A$3:$F$301,3,FALSE)-VLOOKUP($A22,DATA!$A$3:$F$301,3,FALSE))^2),"")</f>
        <v>17.088007490635061</v>
      </c>
      <c r="AA22" s="14">
        <f>_xlfn.IFNA(SQRT((VLOOKUP(AA$1,DATA!$A$3:$F$301,2,FALSE)-VLOOKUP($A22,DATA!$A$3:$F$301,2,FALSE))^2+(VLOOKUP(AA$1,DATA!$A$3:$F$301,3,FALSE)-VLOOKUP($A22,DATA!$A$3:$F$301,3,FALSE))^2),"")</f>
        <v>24.186773244895647</v>
      </c>
      <c r="AB22" s="14">
        <f>_xlfn.IFNA(SQRT((VLOOKUP(AB$1,DATA!$A$3:$F$301,2,FALSE)-VLOOKUP($A22,DATA!$A$3:$F$301,2,FALSE))^2+(VLOOKUP(AB$1,DATA!$A$3:$F$301,3,FALSE)-VLOOKUP($A22,DATA!$A$3:$F$301,3,FALSE))^2),"")</f>
        <v>29.154759474226502</v>
      </c>
      <c r="AC22" s="14">
        <f>_xlfn.IFNA(SQRT((VLOOKUP(AC$1,DATA!$A$3:$F$301,2,FALSE)-VLOOKUP($A22,DATA!$A$3:$F$301,2,FALSE))^2+(VLOOKUP(AC$1,DATA!$A$3:$F$301,3,FALSE)-VLOOKUP($A22,DATA!$A$3:$F$301,3,FALSE))^2),"")</f>
        <v>31.144823004794873</v>
      </c>
      <c r="AD22" s="14">
        <f>_xlfn.IFNA(SQRT((VLOOKUP(AD$1,DATA!$A$3:$F$301,2,FALSE)-VLOOKUP($A22,DATA!$A$3:$F$301,2,FALSE))^2+(VLOOKUP(AD$1,DATA!$A$3:$F$301,3,FALSE)-VLOOKUP($A22,DATA!$A$3:$F$301,3,FALSE))^2),"")</f>
        <v>13.601470508735444</v>
      </c>
      <c r="AE22" s="14">
        <f>_xlfn.IFNA(SQRT((VLOOKUP(AE$1,DATA!$A$3:$F$301,2,FALSE)-VLOOKUP($A22,DATA!$A$3:$F$301,2,FALSE))^2+(VLOOKUP(AE$1,DATA!$A$3:$F$301,3,FALSE)-VLOOKUP($A22,DATA!$A$3:$F$301,3,FALSE))^2),"")</f>
        <v>43.829214001622255</v>
      </c>
      <c r="AF22" s="14">
        <f>_xlfn.IFNA(SQRT((VLOOKUP(AF$1,DATA!$A$3:$F$301,2,FALSE)-VLOOKUP($A22,DATA!$A$3:$F$301,2,FALSE))^2+(VLOOKUP(AF$1,DATA!$A$3:$F$301,3,FALSE)-VLOOKUP($A22,DATA!$A$3:$F$301,3,FALSE))^2),"")</f>
        <v>10.440306508910551</v>
      </c>
      <c r="AG22" s="14">
        <f>_xlfn.IFNA(SQRT((VLOOKUP(AG$1,DATA!$A$3:$F$301,2,FALSE)-VLOOKUP($A22,DATA!$A$3:$F$301,2,FALSE))^2+(VLOOKUP(AG$1,DATA!$A$3:$F$301,3,FALSE)-VLOOKUP($A22,DATA!$A$3:$F$301,3,FALSE))^2),"")</f>
        <v>29.832867780352597</v>
      </c>
      <c r="AH22" s="14">
        <f>_xlfn.IFNA(SQRT((VLOOKUP(AH$1,DATA!$A$3:$F$301,2,FALSE)-VLOOKUP($A22,DATA!$A$3:$F$301,2,FALSE))^2+(VLOOKUP(AH$1,DATA!$A$3:$F$301,3,FALSE)-VLOOKUP($A22,DATA!$A$3:$F$301,3,FALSE))^2),"")</f>
        <v>12.806248474865697</v>
      </c>
      <c r="AI22" s="14">
        <f>_xlfn.IFNA(SQRT((VLOOKUP(AI$1,DATA!$A$3:$F$301,2,FALSE)-VLOOKUP($A22,DATA!$A$3:$F$301,2,FALSE))^2+(VLOOKUP(AI$1,DATA!$A$3:$F$301,3,FALSE)-VLOOKUP($A22,DATA!$A$3:$F$301,3,FALSE))^2),"")</f>
        <v>16.552945357246848</v>
      </c>
      <c r="AJ22" s="14">
        <f>_xlfn.IFNA(SQRT((VLOOKUP(AJ$1,DATA!$A$3:$F$301,2,FALSE)-VLOOKUP($A22,DATA!$A$3:$F$301,2,FALSE))^2+(VLOOKUP(AJ$1,DATA!$A$3:$F$301,3,FALSE)-VLOOKUP($A22,DATA!$A$3:$F$301,3,FALSE))^2),"")</f>
        <v>8.6023252670426267</v>
      </c>
      <c r="AK22" s="14">
        <f>_xlfn.IFNA(SQRT((VLOOKUP(AK$1,DATA!$A$3:$F$301,2,FALSE)-VLOOKUP($A22,DATA!$A$3:$F$301,2,FALSE))^2+(VLOOKUP(AK$1,DATA!$A$3:$F$301,3,FALSE)-VLOOKUP($A22,DATA!$A$3:$F$301,3,FALSE))^2),"")</f>
        <v>21.2602916254693</v>
      </c>
      <c r="AL22" s="14">
        <f>_xlfn.IFNA(SQRT((VLOOKUP(AL$1,DATA!$A$3:$F$301,2,FALSE)-VLOOKUP($A22,DATA!$A$3:$F$301,2,FALSE))^2+(VLOOKUP(AL$1,DATA!$A$3:$F$301,3,FALSE)-VLOOKUP($A22,DATA!$A$3:$F$301,3,FALSE))^2),"")</f>
        <v>31.016124838541646</v>
      </c>
      <c r="AM22" s="14">
        <f>_xlfn.IFNA(SQRT((VLOOKUP(AM$1,DATA!$A$3:$F$301,2,FALSE)-VLOOKUP($A22,DATA!$A$3:$F$301,2,FALSE))^2+(VLOOKUP(AM$1,DATA!$A$3:$F$301,3,FALSE)-VLOOKUP($A22,DATA!$A$3:$F$301,3,FALSE))^2),"")</f>
        <v>28.301943396169811</v>
      </c>
      <c r="AN22" s="14">
        <f>_xlfn.IFNA(SQRT((VLOOKUP(AN$1,DATA!$A$3:$F$301,2,FALSE)-VLOOKUP($A22,DATA!$A$3:$F$301,2,FALSE))^2+(VLOOKUP(AN$1,DATA!$A$3:$F$301,3,FALSE)-VLOOKUP($A22,DATA!$A$3:$F$301,3,FALSE))^2),"")</f>
        <v>14.422205101855956</v>
      </c>
      <c r="AO22" s="14">
        <f>_xlfn.IFNA(SQRT((VLOOKUP(AO$1,DATA!$A$3:$F$301,2,FALSE)-VLOOKUP($A22,DATA!$A$3:$F$301,2,FALSE))^2+(VLOOKUP(AO$1,DATA!$A$3:$F$301,3,FALSE)-VLOOKUP($A22,DATA!$A$3:$F$301,3,FALSE))^2),"")</f>
        <v>20.615528128088304</v>
      </c>
      <c r="AP22" s="14" t="str">
        <f>_xlfn.IFNA(SQRT((VLOOKUP(AP$1,DATA!$A$3:$F$301,2,FALSE)-VLOOKUP($A22,DATA!$A$3:$F$301,2,FALSE))^2+(VLOOKUP(AP$1,DATA!$A$3:$F$301,3,FALSE)-VLOOKUP($A22,DATA!$A$3:$F$301,3,FALSE))^2),"")</f>
        <v/>
      </c>
      <c r="AQ22" s="14" t="str">
        <f>_xlfn.IFNA(SQRT((VLOOKUP(AQ$1,DATA!$A$3:$F$301,2,FALSE)-VLOOKUP($A22,DATA!$A$3:$F$301,2,FALSE))^2+(VLOOKUP(AQ$1,DATA!$A$3:$F$301,3,FALSE)-VLOOKUP($A22,DATA!$A$3:$F$301,3,FALSE))^2),"")</f>
        <v/>
      </c>
      <c r="AR22" s="14" t="str">
        <f>_xlfn.IFNA(SQRT((VLOOKUP(AR$1,DATA!$A$3:$F$301,2,FALSE)-VLOOKUP($A22,DATA!$A$3:$F$301,2,FALSE))^2+(VLOOKUP(AR$1,DATA!$A$3:$F$301,3,FALSE)-VLOOKUP($A22,DATA!$A$3:$F$301,3,FALSE))^2),"")</f>
        <v/>
      </c>
      <c r="AS22" s="14" t="str">
        <f>_xlfn.IFNA(SQRT((VLOOKUP(AS$1,DATA!$A$3:$F$301,2,FALSE)-VLOOKUP($A22,DATA!$A$3:$F$301,2,FALSE))^2+(VLOOKUP(AS$1,DATA!$A$3:$F$301,3,FALSE)-VLOOKUP($A22,DATA!$A$3:$F$301,3,FALSE))^2),"")</f>
        <v/>
      </c>
      <c r="AT22" s="14" t="str">
        <f>_xlfn.IFNA(SQRT((VLOOKUP(AT$1,DATA!$A$3:$F$301,2,FALSE)-VLOOKUP($A22,DATA!$A$3:$F$301,2,FALSE))^2+(VLOOKUP(AT$1,DATA!$A$3:$F$301,3,FALSE)-VLOOKUP($A22,DATA!$A$3:$F$301,3,FALSE))^2),"")</f>
        <v/>
      </c>
      <c r="AU22" s="14" t="str">
        <f>_xlfn.IFNA(SQRT((VLOOKUP(AU$1,DATA!$A$3:$F$301,2,FALSE)-VLOOKUP($A22,DATA!$A$3:$F$301,2,FALSE))^2+(VLOOKUP(AU$1,DATA!$A$3:$F$301,3,FALSE)-VLOOKUP($A22,DATA!$A$3:$F$301,3,FALSE))^2),"")</f>
        <v/>
      </c>
      <c r="AV22" s="14" t="str">
        <f>_xlfn.IFNA(SQRT((VLOOKUP(AV$1,DATA!$A$3:$F$301,2,FALSE)-VLOOKUP($A22,DATA!$A$3:$F$301,2,FALSE))^2+(VLOOKUP(AV$1,DATA!$A$3:$F$301,3,FALSE)-VLOOKUP($A22,DATA!$A$3:$F$301,3,FALSE))^2),"")</f>
        <v/>
      </c>
      <c r="AW22" s="14" t="str">
        <f>_xlfn.IFNA(SQRT((VLOOKUP(AW$1,DATA!$A$3:$F$301,2,FALSE)-VLOOKUP($A22,DATA!$A$3:$F$301,2,FALSE))^2+(VLOOKUP(AW$1,DATA!$A$3:$F$301,3,FALSE)-VLOOKUP($A22,DATA!$A$3:$F$301,3,FALSE))^2),"")</f>
        <v/>
      </c>
      <c r="AX22" s="14" t="str">
        <f>_xlfn.IFNA(SQRT((VLOOKUP(AX$1,DATA!$A$3:$F$301,2,FALSE)-VLOOKUP($A22,DATA!$A$3:$F$301,2,FALSE))^2+(VLOOKUP(AX$1,DATA!$A$3:$F$301,3,FALSE)-VLOOKUP($A22,DATA!$A$3:$F$301,3,FALSE))^2),"")</f>
        <v/>
      </c>
      <c r="AY22" s="14" t="str">
        <f>_xlfn.IFNA(SQRT((VLOOKUP(AY$1,DATA!$A$3:$F$301,2,FALSE)-VLOOKUP($A22,DATA!$A$3:$F$301,2,FALSE))^2+(VLOOKUP(AY$1,DATA!$A$3:$F$301,3,FALSE)-VLOOKUP($A22,DATA!$A$3:$F$301,3,FALSE))^2),"")</f>
        <v/>
      </c>
      <c r="AZ22" s="14" t="str">
        <f>_xlfn.IFNA(SQRT((VLOOKUP(AZ$1,DATA!$A$3:$F$301,2,FALSE)-VLOOKUP($A22,DATA!$A$3:$F$301,2,FALSE))^2+(VLOOKUP(AZ$1,DATA!$A$3:$F$301,3,FALSE)-VLOOKUP($A22,DATA!$A$3:$F$301,3,FALSE))^2),"")</f>
        <v/>
      </c>
      <c r="BA22" s="14" t="str">
        <f>_xlfn.IFNA(SQRT((VLOOKUP(BA$1,DATA!$A$3:$F$301,2,FALSE)-VLOOKUP($A22,DATA!$A$3:$F$301,2,FALSE))^2+(VLOOKUP(BA$1,DATA!$A$3:$F$301,3,FALSE)-VLOOKUP($A22,DATA!$A$3:$F$301,3,FALSE))^2),"")</f>
        <v/>
      </c>
      <c r="BB22" s="14" t="str">
        <f>_xlfn.IFNA(SQRT((VLOOKUP(BB$1,DATA!$A$3:$F$301,2,FALSE)-VLOOKUP($A22,DATA!$A$3:$F$301,2,FALSE))^2+(VLOOKUP(BB$1,DATA!$A$3:$F$301,3,FALSE)-VLOOKUP($A22,DATA!$A$3:$F$301,3,FALSE))^2),"")</f>
        <v/>
      </c>
      <c r="BC22" s="14" t="str">
        <f>_xlfn.IFNA(SQRT((VLOOKUP(BC$1,DATA!$A$3:$F$301,2,FALSE)-VLOOKUP($A22,DATA!$A$3:$F$301,2,FALSE))^2+(VLOOKUP(BC$1,DATA!$A$3:$F$301,3,FALSE)-VLOOKUP($A22,DATA!$A$3:$F$301,3,FALSE))^2),"")</f>
        <v/>
      </c>
      <c r="BD22" s="14" t="str">
        <f>_xlfn.IFNA(SQRT((VLOOKUP(BD$1,DATA!$A$3:$F$301,2,FALSE)-VLOOKUP($A22,DATA!$A$3:$F$301,2,FALSE))^2+(VLOOKUP(BD$1,DATA!$A$3:$F$301,3,FALSE)-VLOOKUP($A22,DATA!$A$3:$F$301,3,FALSE))^2),"")</f>
        <v/>
      </c>
      <c r="BE22" s="14" t="str">
        <f>_xlfn.IFNA(SQRT((VLOOKUP(BE$1,DATA!$A$3:$F$301,2,FALSE)-VLOOKUP($A22,DATA!$A$3:$F$301,2,FALSE))^2+(VLOOKUP(BE$1,DATA!$A$3:$F$301,3,FALSE)-VLOOKUP($A22,DATA!$A$3:$F$301,3,FALSE))^2),"")</f>
        <v/>
      </c>
      <c r="BF22" s="14" t="str">
        <f>_xlfn.IFNA(SQRT((VLOOKUP(BF$1,DATA!$A$3:$F$301,2,FALSE)-VLOOKUP($A22,DATA!$A$3:$F$301,2,FALSE))^2+(VLOOKUP(BF$1,DATA!$A$3:$F$301,3,FALSE)-VLOOKUP($A22,DATA!$A$3:$F$301,3,FALSE))^2),"")</f>
        <v/>
      </c>
      <c r="BG22" s="14" t="str">
        <f>_xlfn.IFNA(SQRT((VLOOKUP(BG$1,DATA!$A$3:$F$301,2,FALSE)-VLOOKUP($A22,DATA!$A$3:$F$301,2,FALSE))^2+(VLOOKUP(BG$1,DATA!$A$3:$F$301,3,FALSE)-VLOOKUP($A22,DATA!$A$3:$F$301,3,FALSE))^2),"")</f>
        <v/>
      </c>
      <c r="BH22" s="14" t="str">
        <f>_xlfn.IFNA(SQRT((VLOOKUP(BH$1,DATA!$A$3:$F$301,2,FALSE)-VLOOKUP($A22,DATA!$A$3:$F$301,2,FALSE))^2+(VLOOKUP(BH$1,DATA!$A$3:$F$301,3,FALSE)-VLOOKUP($A22,DATA!$A$3:$F$301,3,FALSE))^2),"")</f>
        <v/>
      </c>
      <c r="BI22" s="14" t="str">
        <f>_xlfn.IFNA(SQRT((VLOOKUP(BI$1,DATA!$A$3:$F$301,2,FALSE)-VLOOKUP($A22,DATA!$A$3:$F$301,2,FALSE))^2+(VLOOKUP(BI$1,DATA!$A$3:$F$301,3,FALSE)-VLOOKUP($A22,DATA!$A$3:$F$301,3,FALSE))^2),"")</f>
        <v/>
      </c>
      <c r="BJ22" s="14" t="str">
        <f>_xlfn.IFNA(SQRT((VLOOKUP(BJ$1,DATA!$A$3:$F$301,2,FALSE)-VLOOKUP($A22,DATA!$A$3:$F$301,2,FALSE))^2+(VLOOKUP(BJ$1,DATA!$A$3:$F$301,3,FALSE)-VLOOKUP($A22,DATA!$A$3:$F$301,3,FALSE))^2),"")</f>
        <v/>
      </c>
      <c r="BK22" s="14" t="str">
        <f>_xlfn.IFNA(SQRT((VLOOKUP(BK$1,DATA!$A$3:$F$301,2,FALSE)-VLOOKUP($A22,DATA!$A$3:$F$301,2,FALSE))^2+(VLOOKUP(BK$1,DATA!$A$3:$F$301,3,FALSE)-VLOOKUP($A22,DATA!$A$3:$F$301,3,FALSE))^2),"")</f>
        <v/>
      </c>
      <c r="BL22" s="14" t="str">
        <f>_xlfn.IFNA(SQRT((VLOOKUP(BL$1,DATA!$A$3:$F$301,2,FALSE)-VLOOKUP($A22,DATA!$A$3:$F$301,2,FALSE))^2+(VLOOKUP(BL$1,DATA!$A$3:$F$301,3,FALSE)-VLOOKUP($A22,DATA!$A$3:$F$301,3,FALSE))^2),"")</f>
        <v/>
      </c>
      <c r="BM22" s="14" t="str">
        <f>_xlfn.IFNA(SQRT((VLOOKUP(BM$1,DATA!$A$3:$F$301,2,FALSE)-VLOOKUP($A22,DATA!$A$3:$F$301,2,FALSE))^2+(VLOOKUP(BM$1,DATA!$A$3:$F$301,3,FALSE)-VLOOKUP($A22,DATA!$A$3:$F$301,3,FALSE))^2),"")</f>
        <v/>
      </c>
      <c r="BN22" s="14" t="str">
        <f>_xlfn.IFNA(SQRT((VLOOKUP(BN$1,DATA!$A$3:$F$301,2,FALSE)-VLOOKUP($A22,DATA!$A$3:$F$301,2,FALSE))^2+(VLOOKUP(BN$1,DATA!$A$3:$F$301,3,FALSE)-VLOOKUP($A22,DATA!$A$3:$F$301,3,FALSE))^2),"")</f>
        <v/>
      </c>
      <c r="BO22" s="14" t="str">
        <f>_xlfn.IFNA(SQRT((VLOOKUP(BO$1,DATA!$A$3:$F$301,2,FALSE)-VLOOKUP($A22,DATA!$A$3:$F$301,2,FALSE))^2+(VLOOKUP(BO$1,DATA!$A$3:$F$301,3,FALSE)-VLOOKUP($A22,DATA!$A$3:$F$301,3,FALSE))^2),"")</f>
        <v/>
      </c>
      <c r="BP22" s="14" t="str">
        <f>_xlfn.IFNA(SQRT((VLOOKUP(BP$1,DATA!$A$3:$F$301,2,FALSE)-VLOOKUP($A22,DATA!$A$3:$F$301,2,FALSE))^2+(VLOOKUP(BP$1,DATA!$A$3:$F$301,3,FALSE)-VLOOKUP($A22,DATA!$A$3:$F$301,3,FALSE))^2),"")</f>
        <v/>
      </c>
      <c r="BQ22" s="14" t="str">
        <f>_xlfn.IFNA(SQRT((VLOOKUP(BQ$1,DATA!$A$3:$F$301,2,FALSE)-VLOOKUP($A22,DATA!$A$3:$F$301,2,FALSE))^2+(VLOOKUP(BQ$1,DATA!$A$3:$F$301,3,FALSE)-VLOOKUP($A22,DATA!$A$3:$F$301,3,FALSE))^2),"")</f>
        <v/>
      </c>
      <c r="BR22" s="14" t="str">
        <f>_xlfn.IFNA(SQRT((VLOOKUP(BR$1,DATA!$A$3:$F$301,2,FALSE)-VLOOKUP($A22,DATA!$A$3:$F$301,2,FALSE))^2+(VLOOKUP(BR$1,DATA!$A$3:$F$301,3,FALSE)-VLOOKUP($A22,DATA!$A$3:$F$301,3,FALSE))^2),"")</f>
        <v/>
      </c>
      <c r="BS22" s="14" t="str">
        <f>_xlfn.IFNA(SQRT((VLOOKUP(BS$1,DATA!$A$3:$F$301,2,FALSE)-VLOOKUP($A22,DATA!$A$3:$F$301,2,FALSE))^2+(VLOOKUP(BS$1,DATA!$A$3:$F$301,3,FALSE)-VLOOKUP($A22,DATA!$A$3:$F$301,3,FALSE))^2),"")</f>
        <v/>
      </c>
      <c r="BT22" s="14" t="str">
        <f>_xlfn.IFNA(SQRT((VLOOKUP(BT$1,DATA!$A$3:$F$301,2,FALSE)-VLOOKUP($A22,DATA!$A$3:$F$301,2,FALSE))^2+(VLOOKUP(BT$1,DATA!$A$3:$F$301,3,FALSE)-VLOOKUP($A22,DATA!$A$3:$F$301,3,FALSE))^2),"")</f>
        <v/>
      </c>
      <c r="BU22" s="14" t="str">
        <f>_xlfn.IFNA(SQRT((VLOOKUP(BU$1,DATA!$A$3:$F$301,2,FALSE)-VLOOKUP($A22,DATA!$A$3:$F$301,2,FALSE))^2+(VLOOKUP(BU$1,DATA!$A$3:$F$301,3,FALSE)-VLOOKUP($A22,DATA!$A$3:$F$301,3,FALSE))^2),"")</f>
        <v/>
      </c>
      <c r="BV22" s="14" t="str">
        <f>_xlfn.IFNA(SQRT((VLOOKUP(BV$1,DATA!$A$3:$F$301,2,FALSE)-VLOOKUP($A22,DATA!$A$3:$F$301,2,FALSE))^2+(VLOOKUP(BV$1,DATA!$A$3:$F$301,3,FALSE)-VLOOKUP($A22,DATA!$A$3:$F$301,3,FALSE))^2),"")</f>
        <v/>
      </c>
      <c r="BW22" s="14" t="str">
        <f>_xlfn.IFNA(SQRT((VLOOKUP(BW$1,DATA!$A$3:$F$301,2,FALSE)-VLOOKUP($A22,DATA!$A$3:$F$301,2,FALSE))^2+(VLOOKUP(BW$1,DATA!$A$3:$F$301,3,FALSE)-VLOOKUP($A22,DATA!$A$3:$F$301,3,FALSE))^2),"")</f>
        <v/>
      </c>
      <c r="BX22" s="14" t="str">
        <f>_xlfn.IFNA(SQRT((VLOOKUP(BX$1,DATA!$A$3:$F$301,2,FALSE)-VLOOKUP($A22,DATA!$A$3:$F$301,2,FALSE))^2+(VLOOKUP(BX$1,DATA!$A$3:$F$301,3,FALSE)-VLOOKUP($A22,DATA!$A$3:$F$301,3,FALSE))^2),"")</f>
        <v/>
      </c>
      <c r="BY22" s="14" t="str">
        <f>_xlfn.IFNA(SQRT((VLOOKUP(BY$1,DATA!$A$3:$F$301,2,FALSE)-VLOOKUP($A22,DATA!$A$3:$F$301,2,FALSE))^2+(VLOOKUP(BY$1,DATA!$A$3:$F$301,3,FALSE)-VLOOKUP($A22,DATA!$A$3:$F$301,3,FALSE))^2),"")</f>
        <v/>
      </c>
      <c r="BZ22" s="14" t="str">
        <f>_xlfn.IFNA(SQRT((VLOOKUP(BZ$1,DATA!$A$3:$F$301,2,FALSE)-VLOOKUP($A22,DATA!$A$3:$F$301,2,FALSE))^2+(VLOOKUP(BZ$1,DATA!$A$3:$F$301,3,FALSE)-VLOOKUP($A22,DATA!$A$3:$F$301,3,FALSE))^2),"")</f>
        <v/>
      </c>
      <c r="CA22" s="14" t="str">
        <f>_xlfn.IFNA(SQRT((VLOOKUP(CA$1,DATA!$A$3:$F$301,2,FALSE)-VLOOKUP($A22,DATA!$A$3:$F$301,2,FALSE))^2+(VLOOKUP(CA$1,DATA!$A$3:$F$301,3,FALSE)-VLOOKUP($A22,DATA!$A$3:$F$301,3,FALSE))^2),"")</f>
        <v/>
      </c>
      <c r="CB22" s="14" t="str">
        <f>_xlfn.IFNA(SQRT((VLOOKUP(CB$1,DATA!$A$3:$F$301,2,FALSE)-VLOOKUP($A22,DATA!$A$3:$F$301,2,FALSE))^2+(VLOOKUP(CB$1,DATA!$A$3:$F$301,3,FALSE)-VLOOKUP($A22,DATA!$A$3:$F$301,3,FALSE))^2),"")</f>
        <v/>
      </c>
      <c r="CC22" s="14" t="str">
        <f>_xlfn.IFNA(SQRT((VLOOKUP(CC$1,DATA!$A$3:$F$301,2,FALSE)-VLOOKUP($A22,DATA!$A$3:$F$301,2,FALSE))^2+(VLOOKUP(CC$1,DATA!$A$3:$F$301,3,FALSE)-VLOOKUP($A22,DATA!$A$3:$F$301,3,FALSE))^2),"")</f>
        <v/>
      </c>
      <c r="CD22" s="14" t="str">
        <f>_xlfn.IFNA(SQRT((VLOOKUP(CD$1,DATA!$A$3:$F$301,2,FALSE)-VLOOKUP($A22,DATA!$A$3:$F$301,2,FALSE))^2+(VLOOKUP(CD$1,DATA!$A$3:$F$301,3,FALSE)-VLOOKUP($A22,DATA!$A$3:$F$301,3,FALSE))^2),"")</f>
        <v/>
      </c>
      <c r="CE22" s="14" t="str">
        <f>_xlfn.IFNA(SQRT((VLOOKUP(CE$1,DATA!$A$3:$F$301,2,FALSE)-VLOOKUP($A22,DATA!$A$3:$F$301,2,FALSE))^2+(VLOOKUP(CE$1,DATA!$A$3:$F$301,3,FALSE)-VLOOKUP($A22,DATA!$A$3:$F$301,3,FALSE))^2),"")</f>
        <v/>
      </c>
      <c r="CF22" s="14" t="str">
        <f>_xlfn.IFNA(SQRT((VLOOKUP(CF$1,DATA!$A$3:$F$301,2,FALSE)-VLOOKUP($A22,DATA!$A$3:$F$301,2,FALSE))^2+(VLOOKUP(CF$1,DATA!$A$3:$F$301,3,FALSE)-VLOOKUP($A22,DATA!$A$3:$F$301,3,FALSE))^2),"")</f>
        <v/>
      </c>
      <c r="CG22" s="14" t="str">
        <f>_xlfn.IFNA(SQRT((VLOOKUP(CG$1,DATA!$A$3:$F$301,2,FALSE)-VLOOKUP($A22,DATA!$A$3:$F$301,2,FALSE))^2+(VLOOKUP(CG$1,DATA!$A$3:$F$301,3,FALSE)-VLOOKUP($A22,DATA!$A$3:$F$301,3,FALSE))^2),"")</f>
        <v/>
      </c>
      <c r="CH22" s="14" t="str">
        <f>_xlfn.IFNA(SQRT((VLOOKUP(CH$1,DATA!$A$3:$F$301,2,FALSE)-VLOOKUP($A22,DATA!$A$3:$F$301,2,FALSE))^2+(VLOOKUP(CH$1,DATA!$A$3:$F$301,3,FALSE)-VLOOKUP($A22,DATA!$A$3:$F$301,3,FALSE))^2),"")</f>
        <v/>
      </c>
      <c r="CI22" s="14" t="str">
        <f>_xlfn.IFNA(SQRT((VLOOKUP(CI$1,DATA!$A$3:$F$301,2,FALSE)-VLOOKUP($A22,DATA!$A$3:$F$301,2,FALSE))^2+(VLOOKUP(CI$1,DATA!$A$3:$F$301,3,FALSE)-VLOOKUP($A22,DATA!$A$3:$F$301,3,FALSE))^2),"")</f>
        <v/>
      </c>
      <c r="CJ22" s="14" t="str">
        <f>_xlfn.IFNA(SQRT((VLOOKUP(CJ$1,DATA!$A$3:$F$301,2,FALSE)-VLOOKUP($A22,DATA!$A$3:$F$301,2,FALSE))^2+(VLOOKUP(CJ$1,DATA!$A$3:$F$301,3,FALSE)-VLOOKUP($A22,DATA!$A$3:$F$301,3,FALSE))^2),"")</f>
        <v/>
      </c>
      <c r="CK22" s="14" t="str">
        <f>_xlfn.IFNA(SQRT((VLOOKUP(CK$1,DATA!$A$3:$F$301,2,FALSE)-VLOOKUP($A22,DATA!$A$3:$F$301,2,FALSE))^2+(VLOOKUP(CK$1,DATA!$A$3:$F$301,3,FALSE)-VLOOKUP($A22,DATA!$A$3:$F$301,3,FALSE))^2),"")</f>
        <v/>
      </c>
      <c r="CL22" s="14" t="str">
        <f>_xlfn.IFNA(SQRT((VLOOKUP(CL$1,DATA!$A$3:$F$301,2,FALSE)-VLOOKUP($A22,DATA!$A$3:$F$301,2,FALSE))^2+(VLOOKUP(CL$1,DATA!$A$3:$F$301,3,FALSE)-VLOOKUP($A22,DATA!$A$3:$F$301,3,FALSE))^2),"")</f>
        <v/>
      </c>
      <c r="CM22" s="14" t="str">
        <f>_xlfn.IFNA(SQRT((VLOOKUP(CM$1,DATA!$A$3:$F$301,2,FALSE)-VLOOKUP($A22,DATA!$A$3:$F$301,2,FALSE))^2+(VLOOKUP(CM$1,DATA!$A$3:$F$301,3,FALSE)-VLOOKUP($A22,DATA!$A$3:$F$301,3,FALSE))^2),"")</f>
        <v/>
      </c>
      <c r="CN22" s="14" t="str">
        <f>_xlfn.IFNA(SQRT((VLOOKUP(CN$1,DATA!$A$3:$F$301,2,FALSE)-VLOOKUP($A22,DATA!$A$3:$F$301,2,FALSE))^2+(VLOOKUP(CN$1,DATA!$A$3:$F$301,3,FALSE)-VLOOKUP($A22,DATA!$A$3:$F$301,3,FALSE))^2),"")</f>
        <v/>
      </c>
      <c r="CO22" s="14" t="str">
        <f>_xlfn.IFNA(SQRT((VLOOKUP(CO$1,DATA!$A$3:$F$301,2,FALSE)-VLOOKUP($A22,DATA!$A$3:$F$301,2,FALSE))^2+(VLOOKUP(CO$1,DATA!$A$3:$F$301,3,FALSE)-VLOOKUP($A22,DATA!$A$3:$F$301,3,FALSE))^2),"")</f>
        <v/>
      </c>
      <c r="CP22" s="14" t="str">
        <f>_xlfn.IFNA(SQRT((VLOOKUP(CP$1,DATA!$A$3:$F$301,2,FALSE)-VLOOKUP($A22,DATA!$A$3:$F$301,2,FALSE))^2+(VLOOKUP(CP$1,DATA!$A$3:$F$301,3,FALSE)-VLOOKUP($A22,DATA!$A$3:$F$301,3,FALSE))^2),"")</f>
        <v/>
      </c>
      <c r="CQ22" s="14" t="str">
        <f>_xlfn.IFNA(SQRT((VLOOKUP(CQ$1,DATA!$A$3:$F$301,2,FALSE)-VLOOKUP($A22,DATA!$A$3:$F$301,2,FALSE))^2+(VLOOKUP(CQ$1,DATA!$A$3:$F$301,3,FALSE)-VLOOKUP($A22,DATA!$A$3:$F$301,3,FALSE))^2),"")</f>
        <v/>
      </c>
      <c r="CR22" s="14" t="str">
        <f>_xlfn.IFNA(SQRT((VLOOKUP(CR$1,DATA!$A$3:$F$301,2,FALSE)-VLOOKUP($A22,DATA!$A$3:$F$301,2,FALSE))^2+(VLOOKUP(CR$1,DATA!$A$3:$F$301,3,FALSE)-VLOOKUP($A22,DATA!$A$3:$F$301,3,FALSE))^2),"")</f>
        <v/>
      </c>
      <c r="CS22" s="14" t="str">
        <f>_xlfn.IFNA(SQRT((VLOOKUP(CS$1,DATA!$A$3:$F$301,2,FALSE)-VLOOKUP($A22,DATA!$A$3:$F$301,2,FALSE))^2+(VLOOKUP(CS$1,DATA!$A$3:$F$301,3,FALSE)-VLOOKUP($A22,DATA!$A$3:$F$301,3,FALSE))^2),"")</f>
        <v/>
      </c>
      <c r="CT22" s="14" t="str">
        <f>_xlfn.IFNA(SQRT((VLOOKUP(CT$1,DATA!$A$3:$F$301,2,FALSE)-VLOOKUP($A22,DATA!$A$3:$F$301,2,FALSE))^2+(VLOOKUP(CT$1,DATA!$A$3:$F$301,3,FALSE)-VLOOKUP($A22,DATA!$A$3:$F$301,3,FALSE))^2),"")</f>
        <v/>
      </c>
      <c r="CU22" s="14" t="str">
        <f>_xlfn.IFNA(SQRT((VLOOKUP(CU$1,DATA!$A$3:$F$301,2,FALSE)-VLOOKUP($A22,DATA!$A$3:$F$301,2,FALSE))^2+(VLOOKUP(CU$1,DATA!$A$3:$F$301,3,FALSE)-VLOOKUP($A22,DATA!$A$3:$F$301,3,FALSE))^2),"")</f>
        <v/>
      </c>
      <c r="CV22" s="14" t="str">
        <f>_xlfn.IFNA(SQRT((VLOOKUP(CV$1,DATA!$A$3:$F$301,2,FALSE)-VLOOKUP($A22,DATA!$A$3:$F$301,2,FALSE))^2+(VLOOKUP(CV$1,DATA!$A$3:$F$301,3,FALSE)-VLOOKUP($A22,DATA!$A$3:$F$301,3,FALSE))^2),"")</f>
        <v/>
      </c>
      <c r="CW22" s="14" t="str">
        <f>_xlfn.IFNA(SQRT((VLOOKUP(CW$1,DATA!$A$3:$F$301,2,FALSE)-VLOOKUP($A22,DATA!$A$3:$F$301,2,FALSE))^2+(VLOOKUP(CW$1,DATA!$A$3:$F$301,3,FALSE)-VLOOKUP($A22,DATA!$A$3:$F$301,3,FALSE))^2),"")</f>
        <v/>
      </c>
      <c r="CX22" s="14" t="str">
        <f>_xlfn.IFNA(SQRT((VLOOKUP(CX$1,DATA!$A$3:$F$301,2,FALSE)-VLOOKUP($A22,DATA!$A$3:$F$301,2,FALSE))^2+(VLOOKUP(CX$1,DATA!$A$3:$F$301,3,FALSE)-VLOOKUP($A22,DATA!$A$3:$F$301,3,FALSE))^2),"")</f>
        <v/>
      </c>
    </row>
    <row r="23" spans="1:102">
      <c r="A23" s="13">
        <v>22</v>
      </c>
      <c r="B23" s="14">
        <f>_xlfn.IFNA(SQRT((VLOOKUP(B$1,DATA!$A$3:$F$301,2,FALSE)-VLOOKUP($A23,DATA!$A$3:$F$301,2,FALSE))^2+(VLOOKUP(B$1,DATA!$A$3:$F$301,3,FALSE)-VLOOKUP($A23,DATA!$A$3:$F$301,3,FALSE))^2),"")</f>
        <v>27.658633371878661</v>
      </c>
      <c r="C23" s="14">
        <f>_xlfn.IFNA(SQRT((VLOOKUP(C$1,DATA!$A$3:$F$301,2,FALSE)-VLOOKUP($A23,DATA!$A$3:$F$301,2,FALSE))^2+(VLOOKUP(C$1,DATA!$A$3:$F$301,3,FALSE)-VLOOKUP($A23,DATA!$A$3:$F$301,3,FALSE))^2),"")</f>
        <v>32.756678708318397</v>
      </c>
      <c r="D23" s="14">
        <f>_xlfn.IFNA(SQRT((VLOOKUP(D$1,DATA!$A$3:$F$301,2,FALSE)-VLOOKUP($A23,DATA!$A$3:$F$301,2,FALSE))^2+(VLOOKUP(D$1,DATA!$A$3:$F$301,3,FALSE)-VLOOKUP($A23,DATA!$A$3:$F$301,3,FALSE))^2),"")</f>
        <v>27.658633371878661</v>
      </c>
      <c r="E23" s="14">
        <f>_xlfn.IFNA(SQRT((VLOOKUP(E$1,DATA!$A$3:$F$301,2,FALSE)-VLOOKUP($A23,DATA!$A$3:$F$301,2,FALSE))^2+(VLOOKUP(E$1,DATA!$A$3:$F$301,3,FALSE)-VLOOKUP($A23,DATA!$A$3:$F$301,3,FALSE))^2),"")</f>
        <v>23.021728866442675</v>
      </c>
      <c r="F23" s="14">
        <f>_xlfn.IFNA(SQRT((VLOOKUP(F$1,DATA!$A$3:$F$301,2,FALSE)-VLOOKUP($A23,DATA!$A$3:$F$301,2,FALSE))^2+(VLOOKUP(F$1,DATA!$A$3:$F$301,3,FALSE)-VLOOKUP($A23,DATA!$A$3:$F$301,3,FALSE))^2),"")</f>
        <v>46.861498055439924</v>
      </c>
      <c r="G23" s="14">
        <f>_xlfn.IFNA(SQRT((VLOOKUP(G$1,DATA!$A$3:$F$301,2,FALSE)-VLOOKUP($A23,DATA!$A$3:$F$301,2,FALSE))^2+(VLOOKUP(G$1,DATA!$A$3:$F$301,3,FALSE)-VLOOKUP($A23,DATA!$A$3:$F$301,3,FALSE))^2),"")</f>
        <v>16.15549442140351</v>
      </c>
      <c r="H23" s="14">
        <f>_xlfn.IFNA(SQRT((VLOOKUP(H$1,DATA!$A$3:$F$301,2,FALSE)-VLOOKUP($A23,DATA!$A$3:$F$301,2,FALSE))^2+(VLOOKUP(H$1,DATA!$A$3:$F$301,3,FALSE)-VLOOKUP($A23,DATA!$A$3:$F$301,3,FALSE))^2),"")</f>
        <v>5.8309518948453007</v>
      </c>
      <c r="I23" s="14">
        <f>_xlfn.IFNA(SQRT((VLOOKUP(I$1,DATA!$A$3:$F$301,2,FALSE)-VLOOKUP($A23,DATA!$A$3:$F$301,2,FALSE))^2+(VLOOKUP(I$1,DATA!$A$3:$F$301,3,FALSE)-VLOOKUP($A23,DATA!$A$3:$F$301,3,FALSE))^2),"")</f>
        <v>28.0178514522438</v>
      </c>
      <c r="J23" s="14">
        <f>_xlfn.IFNA(SQRT((VLOOKUP(J$1,DATA!$A$3:$F$301,2,FALSE)-VLOOKUP($A23,DATA!$A$3:$F$301,2,FALSE))^2+(VLOOKUP(J$1,DATA!$A$3:$F$301,3,FALSE)-VLOOKUP($A23,DATA!$A$3:$F$301,3,FALSE))^2),"")</f>
        <v>17.029386365926403</v>
      </c>
      <c r="K23" s="14">
        <f>_xlfn.IFNA(SQRT((VLOOKUP(K$1,DATA!$A$3:$F$301,2,FALSE)-VLOOKUP($A23,DATA!$A$3:$F$301,2,FALSE))^2+(VLOOKUP(K$1,DATA!$A$3:$F$301,3,FALSE)-VLOOKUP($A23,DATA!$A$3:$F$301,3,FALSE))^2),"")</f>
        <v>34.365680554879162</v>
      </c>
      <c r="L23" s="14">
        <f>_xlfn.IFNA(SQRT((VLOOKUP(L$1,DATA!$A$3:$F$301,2,FALSE)-VLOOKUP($A23,DATA!$A$3:$F$301,2,FALSE))^2+(VLOOKUP(L$1,DATA!$A$3:$F$301,3,FALSE)-VLOOKUP($A23,DATA!$A$3:$F$301,3,FALSE))^2),"")</f>
        <v>21</v>
      </c>
      <c r="M23" s="14">
        <f>_xlfn.IFNA(SQRT((VLOOKUP(M$1,DATA!$A$3:$F$301,2,FALSE)-VLOOKUP($A23,DATA!$A$3:$F$301,2,FALSE))^2+(VLOOKUP(M$1,DATA!$A$3:$F$301,3,FALSE)-VLOOKUP($A23,DATA!$A$3:$F$301,3,FALSE))^2),"")</f>
        <v>30.805843601498726</v>
      </c>
      <c r="N23" s="14">
        <f>_xlfn.IFNA(SQRT((VLOOKUP(N$1,DATA!$A$3:$F$301,2,FALSE)-VLOOKUP($A23,DATA!$A$3:$F$301,2,FALSE))^2+(VLOOKUP(N$1,DATA!$A$3:$F$301,3,FALSE)-VLOOKUP($A23,DATA!$A$3:$F$301,3,FALSE))^2),"")</f>
        <v>22.135943621178654</v>
      </c>
      <c r="O23" s="14">
        <f>_xlfn.IFNA(SQRT((VLOOKUP(O$1,DATA!$A$3:$F$301,2,FALSE)-VLOOKUP($A23,DATA!$A$3:$F$301,2,FALSE))^2+(VLOOKUP(O$1,DATA!$A$3:$F$301,3,FALSE)-VLOOKUP($A23,DATA!$A$3:$F$301,3,FALSE))^2),"")</f>
        <v>53.037722424704477</v>
      </c>
      <c r="P23" s="14">
        <f>_xlfn.IFNA(SQRT((VLOOKUP(P$1,DATA!$A$3:$F$301,2,FALSE)-VLOOKUP($A23,DATA!$A$3:$F$301,2,FALSE))^2+(VLOOKUP(P$1,DATA!$A$3:$F$301,3,FALSE)-VLOOKUP($A23,DATA!$A$3:$F$301,3,FALSE))^2),"")</f>
        <v>36.124783736376884</v>
      </c>
      <c r="Q23" s="14">
        <f>_xlfn.IFNA(SQRT((VLOOKUP(Q$1,DATA!$A$3:$F$301,2,FALSE)-VLOOKUP($A23,DATA!$A$3:$F$301,2,FALSE))^2+(VLOOKUP(Q$1,DATA!$A$3:$F$301,3,FALSE)-VLOOKUP($A23,DATA!$A$3:$F$301,3,FALSE))^2),"")</f>
        <v>15.524174696260024</v>
      </c>
      <c r="R23" s="14">
        <f>_xlfn.IFNA(SQRT((VLOOKUP(R$1,DATA!$A$3:$F$301,2,FALSE)-VLOOKUP($A23,DATA!$A$3:$F$301,2,FALSE))^2+(VLOOKUP(R$1,DATA!$A$3:$F$301,3,FALSE)-VLOOKUP($A23,DATA!$A$3:$F$301,3,FALSE))^2),"")</f>
        <v>11.313708498984761</v>
      </c>
      <c r="S23" s="14">
        <f>_xlfn.IFNA(SQRT((VLOOKUP(S$1,DATA!$A$3:$F$301,2,FALSE)-VLOOKUP($A23,DATA!$A$3:$F$301,2,FALSE))^2+(VLOOKUP(S$1,DATA!$A$3:$F$301,3,FALSE)-VLOOKUP($A23,DATA!$A$3:$F$301,3,FALSE))^2),"")</f>
        <v>22.360679774997898</v>
      </c>
      <c r="T23" s="14">
        <f>_xlfn.IFNA(SQRT((VLOOKUP(T$1,DATA!$A$3:$F$301,2,FALSE)-VLOOKUP($A23,DATA!$A$3:$F$301,2,FALSE))^2+(VLOOKUP(T$1,DATA!$A$3:$F$301,3,FALSE)-VLOOKUP($A23,DATA!$A$3:$F$301,3,FALSE))^2),"")</f>
        <v>45.607017003965517</v>
      </c>
      <c r="U23" s="14">
        <f>_xlfn.IFNA(SQRT((VLOOKUP(U$1,DATA!$A$3:$F$301,2,FALSE)-VLOOKUP($A23,DATA!$A$3:$F$301,2,FALSE))^2+(VLOOKUP(U$1,DATA!$A$3:$F$301,3,FALSE)-VLOOKUP($A23,DATA!$A$3:$F$301,3,FALSE))^2),"")</f>
        <v>13.341664064126334</v>
      </c>
      <c r="V23" s="14">
        <f>_xlfn.IFNA(SQRT((VLOOKUP(V$1,DATA!$A$3:$F$301,2,FALSE)-VLOOKUP($A23,DATA!$A$3:$F$301,2,FALSE))^2+(VLOOKUP(V$1,DATA!$A$3:$F$301,3,FALSE)-VLOOKUP($A23,DATA!$A$3:$F$301,3,FALSE))^2),"")</f>
        <v>8.0622577482985491</v>
      </c>
      <c r="W23" s="14">
        <f>_xlfn.IFNA(SQRT((VLOOKUP(W$1,DATA!$A$3:$F$301,2,FALSE)-VLOOKUP($A23,DATA!$A$3:$F$301,2,FALSE))^2+(VLOOKUP(W$1,DATA!$A$3:$F$301,3,FALSE)-VLOOKUP($A23,DATA!$A$3:$F$301,3,FALSE))^2),"")</f>
        <v>0</v>
      </c>
      <c r="X23" s="14">
        <f>_xlfn.IFNA(SQRT((VLOOKUP(X$1,DATA!$A$3:$F$301,2,FALSE)-VLOOKUP($A23,DATA!$A$3:$F$301,2,FALSE))^2+(VLOOKUP(X$1,DATA!$A$3:$F$301,3,FALSE)-VLOOKUP($A23,DATA!$A$3:$F$301,3,FALSE))^2),"")</f>
        <v>6.0827625302982193</v>
      </c>
      <c r="Y23" s="14">
        <f>_xlfn.IFNA(SQRT((VLOOKUP(Y$1,DATA!$A$3:$F$301,2,FALSE)-VLOOKUP($A23,DATA!$A$3:$F$301,2,FALSE))^2+(VLOOKUP(Y$1,DATA!$A$3:$F$301,3,FALSE)-VLOOKUP($A23,DATA!$A$3:$F$301,3,FALSE))^2),"")</f>
        <v>27.073972741361768</v>
      </c>
      <c r="Z23" s="14">
        <f>_xlfn.IFNA(SQRT((VLOOKUP(Z$1,DATA!$A$3:$F$301,2,FALSE)-VLOOKUP($A23,DATA!$A$3:$F$301,2,FALSE))^2+(VLOOKUP(Z$1,DATA!$A$3:$F$301,3,FALSE)-VLOOKUP($A23,DATA!$A$3:$F$301,3,FALSE))^2),"")</f>
        <v>13.45362404707371</v>
      </c>
      <c r="AA23" s="14">
        <f>_xlfn.IFNA(SQRT((VLOOKUP(AA$1,DATA!$A$3:$F$301,2,FALSE)-VLOOKUP($A23,DATA!$A$3:$F$301,2,FALSE))^2+(VLOOKUP(AA$1,DATA!$A$3:$F$301,3,FALSE)-VLOOKUP($A23,DATA!$A$3:$F$301,3,FALSE))^2),"")</f>
        <v>32.249030993194197</v>
      </c>
      <c r="AB23" s="14">
        <f>_xlfn.IFNA(SQRT((VLOOKUP(AB$1,DATA!$A$3:$F$301,2,FALSE)-VLOOKUP($A23,DATA!$A$3:$F$301,2,FALSE))^2+(VLOOKUP(AB$1,DATA!$A$3:$F$301,3,FALSE)-VLOOKUP($A23,DATA!$A$3:$F$301,3,FALSE))^2),"")</f>
        <v>30.083217912982647</v>
      </c>
      <c r="AC23" s="14">
        <f>_xlfn.IFNA(SQRT((VLOOKUP(AC$1,DATA!$A$3:$F$301,2,FALSE)-VLOOKUP($A23,DATA!$A$3:$F$301,2,FALSE))^2+(VLOOKUP(AC$1,DATA!$A$3:$F$301,3,FALSE)-VLOOKUP($A23,DATA!$A$3:$F$301,3,FALSE))^2),"")</f>
        <v>38.897300677553446</v>
      </c>
      <c r="AD23" s="14">
        <f>_xlfn.IFNA(SQRT((VLOOKUP(AD$1,DATA!$A$3:$F$301,2,FALSE)-VLOOKUP($A23,DATA!$A$3:$F$301,2,FALSE))^2+(VLOOKUP(AD$1,DATA!$A$3:$F$301,3,FALSE)-VLOOKUP($A23,DATA!$A$3:$F$301,3,FALSE))^2),"")</f>
        <v>5.6568542494923806</v>
      </c>
      <c r="AE23" s="14">
        <f>_xlfn.IFNA(SQRT((VLOOKUP(AE$1,DATA!$A$3:$F$301,2,FALSE)-VLOOKUP($A23,DATA!$A$3:$F$301,2,FALSE))^2+(VLOOKUP(AE$1,DATA!$A$3:$F$301,3,FALSE)-VLOOKUP($A23,DATA!$A$3:$F$301,3,FALSE))^2),"")</f>
        <v>50.774009099144415</v>
      </c>
      <c r="AF23" s="14">
        <f>_xlfn.IFNA(SQRT((VLOOKUP(AF$1,DATA!$A$3:$F$301,2,FALSE)-VLOOKUP($A23,DATA!$A$3:$F$301,2,FALSE))^2+(VLOOKUP(AF$1,DATA!$A$3:$F$301,3,FALSE)-VLOOKUP($A23,DATA!$A$3:$F$301,3,FALSE))^2),"")</f>
        <v>7.6157731058639087</v>
      </c>
      <c r="AG23" s="14">
        <f>_xlfn.IFNA(SQRT((VLOOKUP(AG$1,DATA!$A$3:$F$301,2,FALSE)-VLOOKUP($A23,DATA!$A$3:$F$301,2,FALSE))^2+(VLOOKUP(AG$1,DATA!$A$3:$F$301,3,FALSE)-VLOOKUP($A23,DATA!$A$3:$F$301,3,FALSE))^2),"")</f>
        <v>37.483329627982627</v>
      </c>
      <c r="AH23" s="14">
        <f>_xlfn.IFNA(SQRT((VLOOKUP(AH$1,DATA!$A$3:$F$301,2,FALSE)-VLOOKUP($A23,DATA!$A$3:$F$301,2,FALSE))^2+(VLOOKUP(AH$1,DATA!$A$3:$F$301,3,FALSE)-VLOOKUP($A23,DATA!$A$3:$F$301,3,FALSE))^2),"")</f>
        <v>20.518284528683193</v>
      </c>
      <c r="AI23" s="14">
        <f>_xlfn.IFNA(SQRT((VLOOKUP(AI$1,DATA!$A$3:$F$301,2,FALSE)-VLOOKUP($A23,DATA!$A$3:$F$301,2,FALSE))^2+(VLOOKUP(AI$1,DATA!$A$3:$F$301,3,FALSE)-VLOOKUP($A23,DATA!$A$3:$F$301,3,FALSE))^2),"")</f>
        <v>13.601470508735444</v>
      </c>
      <c r="AJ23" s="14">
        <f>_xlfn.IFNA(SQRT((VLOOKUP(AJ$1,DATA!$A$3:$F$301,2,FALSE)-VLOOKUP($A23,DATA!$A$3:$F$301,2,FALSE))^2+(VLOOKUP(AJ$1,DATA!$A$3:$F$301,3,FALSE)-VLOOKUP($A23,DATA!$A$3:$F$301,3,FALSE))^2),"")</f>
        <v>12.369316876852981</v>
      </c>
      <c r="AK23" s="14">
        <f>_xlfn.IFNA(SQRT((VLOOKUP(AK$1,DATA!$A$3:$F$301,2,FALSE)-VLOOKUP($A23,DATA!$A$3:$F$301,2,FALSE))^2+(VLOOKUP(AK$1,DATA!$A$3:$F$301,3,FALSE)-VLOOKUP($A23,DATA!$A$3:$F$301,3,FALSE))^2),"")</f>
        <v>29</v>
      </c>
      <c r="AL23" s="14">
        <f>_xlfn.IFNA(SQRT((VLOOKUP(AL$1,DATA!$A$3:$F$301,2,FALSE)-VLOOKUP($A23,DATA!$A$3:$F$301,2,FALSE))^2+(VLOOKUP(AL$1,DATA!$A$3:$F$301,3,FALSE)-VLOOKUP($A23,DATA!$A$3:$F$301,3,FALSE))^2),"")</f>
        <v>38.327535793473601</v>
      </c>
      <c r="AM23" s="14">
        <f>_xlfn.IFNA(SQRT((VLOOKUP(AM$1,DATA!$A$3:$F$301,2,FALSE)-VLOOKUP($A23,DATA!$A$3:$F$301,2,FALSE))^2+(VLOOKUP(AM$1,DATA!$A$3:$F$301,3,FALSE)-VLOOKUP($A23,DATA!$A$3:$F$301,3,FALSE))^2),"")</f>
        <v>36.359317925395686</v>
      </c>
      <c r="AN23" s="14">
        <f>_xlfn.IFNA(SQRT((VLOOKUP(AN$1,DATA!$A$3:$F$301,2,FALSE)-VLOOKUP($A23,DATA!$A$3:$F$301,2,FALSE))^2+(VLOOKUP(AN$1,DATA!$A$3:$F$301,3,FALSE)-VLOOKUP($A23,DATA!$A$3:$F$301,3,FALSE))^2),"")</f>
        <v>6.4031242374328485</v>
      </c>
      <c r="AO23" s="14">
        <f>_xlfn.IFNA(SQRT((VLOOKUP(AO$1,DATA!$A$3:$F$301,2,FALSE)-VLOOKUP($A23,DATA!$A$3:$F$301,2,FALSE))^2+(VLOOKUP(AO$1,DATA!$A$3:$F$301,3,FALSE)-VLOOKUP($A23,DATA!$A$3:$F$301,3,FALSE))^2),"")</f>
        <v>28.284271247461902</v>
      </c>
      <c r="AP23" s="14" t="str">
        <f>_xlfn.IFNA(SQRT((VLOOKUP(AP$1,DATA!$A$3:$F$301,2,FALSE)-VLOOKUP($A23,DATA!$A$3:$F$301,2,FALSE))^2+(VLOOKUP(AP$1,DATA!$A$3:$F$301,3,FALSE)-VLOOKUP($A23,DATA!$A$3:$F$301,3,FALSE))^2),"")</f>
        <v/>
      </c>
      <c r="AQ23" s="14" t="str">
        <f>_xlfn.IFNA(SQRT((VLOOKUP(AQ$1,DATA!$A$3:$F$301,2,FALSE)-VLOOKUP($A23,DATA!$A$3:$F$301,2,FALSE))^2+(VLOOKUP(AQ$1,DATA!$A$3:$F$301,3,FALSE)-VLOOKUP($A23,DATA!$A$3:$F$301,3,FALSE))^2),"")</f>
        <v/>
      </c>
      <c r="AR23" s="14" t="str">
        <f>_xlfn.IFNA(SQRT((VLOOKUP(AR$1,DATA!$A$3:$F$301,2,FALSE)-VLOOKUP($A23,DATA!$A$3:$F$301,2,FALSE))^2+(VLOOKUP(AR$1,DATA!$A$3:$F$301,3,FALSE)-VLOOKUP($A23,DATA!$A$3:$F$301,3,FALSE))^2),"")</f>
        <v/>
      </c>
      <c r="AS23" s="14" t="str">
        <f>_xlfn.IFNA(SQRT((VLOOKUP(AS$1,DATA!$A$3:$F$301,2,FALSE)-VLOOKUP($A23,DATA!$A$3:$F$301,2,FALSE))^2+(VLOOKUP(AS$1,DATA!$A$3:$F$301,3,FALSE)-VLOOKUP($A23,DATA!$A$3:$F$301,3,FALSE))^2),"")</f>
        <v/>
      </c>
      <c r="AT23" s="14" t="str">
        <f>_xlfn.IFNA(SQRT((VLOOKUP(AT$1,DATA!$A$3:$F$301,2,FALSE)-VLOOKUP($A23,DATA!$A$3:$F$301,2,FALSE))^2+(VLOOKUP(AT$1,DATA!$A$3:$F$301,3,FALSE)-VLOOKUP($A23,DATA!$A$3:$F$301,3,FALSE))^2),"")</f>
        <v/>
      </c>
      <c r="AU23" s="14" t="str">
        <f>_xlfn.IFNA(SQRT((VLOOKUP(AU$1,DATA!$A$3:$F$301,2,FALSE)-VLOOKUP($A23,DATA!$A$3:$F$301,2,FALSE))^2+(VLOOKUP(AU$1,DATA!$A$3:$F$301,3,FALSE)-VLOOKUP($A23,DATA!$A$3:$F$301,3,FALSE))^2),"")</f>
        <v/>
      </c>
      <c r="AV23" s="14" t="str">
        <f>_xlfn.IFNA(SQRT((VLOOKUP(AV$1,DATA!$A$3:$F$301,2,FALSE)-VLOOKUP($A23,DATA!$A$3:$F$301,2,FALSE))^2+(VLOOKUP(AV$1,DATA!$A$3:$F$301,3,FALSE)-VLOOKUP($A23,DATA!$A$3:$F$301,3,FALSE))^2),"")</f>
        <v/>
      </c>
      <c r="AW23" s="14" t="str">
        <f>_xlfn.IFNA(SQRT((VLOOKUP(AW$1,DATA!$A$3:$F$301,2,FALSE)-VLOOKUP($A23,DATA!$A$3:$F$301,2,FALSE))^2+(VLOOKUP(AW$1,DATA!$A$3:$F$301,3,FALSE)-VLOOKUP($A23,DATA!$A$3:$F$301,3,FALSE))^2),"")</f>
        <v/>
      </c>
      <c r="AX23" s="14" t="str">
        <f>_xlfn.IFNA(SQRT((VLOOKUP(AX$1,DATA!$A$3:$F$301,2,FALSE)-VLOOKUP($A23,DATA!$A$3:$F$301,2,FALSE))^2+(VLOOKUP(AX$1,DATA!$A$3:$F$301,3,FALSE)-VLOOKUP($A23,DATA!$A$3:$F$301,3,FALSE))^2),"")</f>
        <v/>
      </c>
      <c r="AY23" s="14" t="str">
        <f>_xlfn.IFNA(SQRT((VLOOKUP(AY$1,DATA!$A$3:$F$301,2,FALSE)-VLOOKUP($A23,DATA!$A$3:$F$301,2,FALSE))^2+(VLOOKUP(AY$1,DATA!$A$3:$F$301,3,FALSE)-VLOOKUP($A23,DATA!$A$3:$F$301,3,FALSE))^2),"")</f>
        <v/>
      </c>
      <c r="AZ23" s="14" t="str">
        <f>_xlfn.IFNA(SQRT((VLOOKUP(AZ$1,DATA!$A$3:$F$301,2,FALSE)-VLOOKUP($A23,DATA!$A$3:$F$301,2,FALSE))^2+(VLOOKUP(AZ$1,DATA!$A$3:$F$301,3,FALSE)-VLOOKUP($A23,DATA!$A$3:$F$301,3,FALSE))^2),"")</f>
        <v/>
      </c>
      <c r="BA23" s="14" t="str">
        <f>_xlfn.IFNA(SQRT((VLOOKUP(BA$1,DATA!$A$3:$F$301,2,FALSE)-VLOOKUP($A23,DATA!$A$3:$F$301,2,FALSE))^2+(VLOOKUP(BA$1,DATA!$A$3:$F$301,3,FALSE)-VLOOKUP($A23,DATA!$A$3:$F$301,3,FALSE))^2),"")</f>
        <v/>
      </c>
      <c r="BB23" s="14" t="str">
        <f>_xlfn.IFNA(SQRT((VLOOKUP(BB$1,DATA!$A$3:$F$301,2,FALSE)-VLOOKUP($A23,DATA!$A$3:$F$301,2,FALSE))^2+(VLOOKUP(BB$1,DATA!$A$3:$F$301,3,FALSE)-VLOOKUP($A23,DATA!$A$3:$F$301,3,FALSE))^2),"")</f>
        <v/>
      </c>
      <c r="BC23" s="14" t="str">
        <f>_xlfn.IFNA(SQRT((VLOOKUP(BC$1,DATA!$A$3:$F$301,2,FALSE)-VLOOKUP($A23,DATA!$A$3:$F$301,2,FALSE))^2+(VLOOKUP(BC$1,DATA!$A$3:$F$301,3,FALSE)-VLOOKUP($A23,DATA!$A$3:$F$301,3,FALSE))^2),"")</f>
        <v/>
      </c>
      <c r="BD23" s="14" t="str">
        <f>_xlfn.IFNA(SQRT((VLOOKUP(BD$1,DATA!$A$3:$F$301,2,FALSE)-VLOOKUP($A23,DATA!$A$3:$F$301,2,FALSE))^2+(VLOOKUP(BD$1,DATA!$A$3:$F$301,3,FALSE)-VLOOKUP($A23,DATA!$A$3:$F$301,3,FALSE))^2),"")</f>
        <v/>
      </c>
      <c r="BE23" s="14" t="str">
        <f>_xlfn.IFNA(SQRT((VLOOKUP(BE$1,DATA!$A$3:$F$301,2,FALSE)-VLOOKUP($A23,DATA!$A$3:$F$301,2,FALSE))^2+(VLOOKUP(BE$1,DATA!$A$3:$F$301,3,FALSE)-VLOOKUP($A23,DATA!$A$3:$F$301,3,FALSE))^2),"")</f>
        <v/>
      </c>
      <c r="BF23" s="14" t="str">
        <f>_xlfn.IFNA(SQRT((VLOOKUP(BF$1,DATA!$A$3:$F$301,2,FALSE)-VLOOKUP($A23,DATA!$A$3:$F$301,2,FALSE))^2+(VLOOKUP(BF$1,DATA!$A$3:$F$301,3,FALSE)-VLOOKUP($A23,DATA!$A$3:$F$301,3,FALSE))^2),"")</f>
        <v/>
      </c>
      <c r="BG23" s="14" t="str">
        <f>_xlfn.IFNA(SQRT((VLOOKUP(BG$1,DATA!$A$3:$F$301,2,FALSE)-VLOOKUP($A23,DATA!$A$3:$F$301,2,FALSE))^2+(VLOOKUP(BG$1,DATA!$A$3:$F$301,3,FALSE)-VLOOKUP($A23,DATA!$A$3:$F$301,3,FALSE))^2),"")</f>
        <v/>
      </c>
      <c r="BH23" s="14" t="str">
        <f>_xlfn.IFNA(SQRT((VLOOKUP(BH$1,DATA!$A$3:$F$301,2,FALSE)-VLOOKUP($A23,DATA!$A$3:$F$301,2,FALSE))^2+(VLOOKUP(BH$1,DATA!$A$3:$F$301,3,FALSE)-VLOOKUP($A23,DATA!$A$3:$F$301,3,FALSE))^2),"")</f>
        <v/>
      </c>
      <c r="BI23" s="14" t="str">
        <f>_xlfn.IFNA(SQRT((VLOOKUP(BI$1,DATA!$A$3:$F$301,2,FALSE)-VLOOKUP($A23,DATA!$A$3:$F$301,2,FALSE))^2+(VLOOKUP(BI$1,DATA!$A$3:$F$301,3,FALSE)-VLOOKUP($A23,DATA!$A$3:$F$301,3,FALSE))^2),"")</f>
        <v/>
      </c>
      <c r="BJ23" s="14" t="str">
        <f>_xlfn.IFNA(SQRT((VLOOKUP(BJ$1,DATA!$A$3:$F$301,2,FALSE)-VLOOKUP($A23,DATA!$A$3:$F$301,2,FALSE))^2+(VLOOKUP(BJ$1,DATA!$A$3:$F$301,3,FALSE)-VLOOKUP($A23,DATA!$A$3:$F$301,3,FALSE))^2),"")</f>
        <v/>
      </c>
      <c r="BK23" s="14" t="str">
        <f>_xlfn.IFNA(SQRT((VLOOKUP(BK$1,DATA!$A$3:$F$301,2,FALSE)-VLOOKUP($A23,DATA!$A$3:$F$301,2,FALSE))^2+(VLOOKUP(BK$1,DATA!$A$3:$F$301,3,FALSE)-VLOOKUP($A23,DATA!$A$3:$F$301,3,FALSE))^2),"")</f>
        <v/>
      </c>
      <c r="BL23" s="14" t="str">
        <f>_xlfn.IFNA(SQRT((VLOOKUP(BL$1,DATA!$A$3:$F$301,2,FALSE)-VLOOKUP($A23,DATA!$A$3:$F$301,2,FALSE))^2+(VLOOKUP(BL$1,DATA!$A$3:$F$301,3,FALSE)-VLOOKUP($A23,DATA!$A$3:$F$301,3,FALSE))^2),"")</f>
        <v/>
      </c>
      <c r="BM23" s="14" t="str">
        <f>_xlfn.IFNA(SQRT((VLOOKUP(BM$1,DATA!$A$3:$F$301,2,FALSE)-VLOOKUP($A23,DATA!$A$3:$F$301,2,FALSE))^2+(VLOOKUP(BM$1,DATA!$A$3:$F$301,3,FALSE)-VLOOKUP($A23,DATA!$A$3:$F$301,3,FALSE))^2),"")</f>
        <v/>
      </c>
      <c r="BN23" s="14" t="str">
        <f>_xlfn.IFNA(SQRT((VLOOKUP(BN$1,DATA!$A$3:$F$301,2,FALSE)-VLOOKUP($A23,DATA!$A$3:$F$301,2,FALSE))^2+(VLOOKUP(BN$1,DATA!$A$3:$F$301,3,FALSE)-VLOOKUP($A23,DATA!$A$3:$F$301,3,FALSE))^2),"")</f>
        <v/>
      </c>
      <c r="BO23" s="14" t="str">
        <f>_xlfn.IFNA(SQRT((VLOOKUP(BO$1,DATA!$A$3:$F$301,2,FALSE)-VLOOKUP($A23,DATA!$A$3:$F$301,2,FALSE))^2+(VLOOKUP(BO$1,DATA!$A$3:$F$301,3,FALSE)-VLOOKUP($A23,DATA!$A$3:$F$301,3,FALSE))^2),"")</f>
        <v/>
      </c>
      <c r="BP23" s="14" t="str">
        <f>_xlfn.IFNA(SQRT((VLOOKUP(BP$1,DATA!$A$3:$F$301,2,FALSE)-VLOOKUP($A23,DATA!$A$3:$F$301,2,FALSE))^2+(VLOOKUP(BP$1,DATA!$A$3:$F$301,3,FALSE)-VLOOKUP($A23,DATA!$A$3:$F$301,3,FALSE))^2),"")</f>
        <v/>
      </c>
      <c r="BQ23" s="14" t="str">
        <f>_xlfn.IFNA(SQRT((VLOOKUP(BQ$1,DATA!$A$3:$F$301,2,FALSE)-VLOOKUP($A23,DATA!$A$3:$F$301,2,FALSE))^2+(VLOOKUP(BQ$1,DATA!$A$3:$F$301,3,FALSE)-VLOOKUP($A23,DATA!$A$3:$F$301,3,FALSE))^2),"")</f>
        <v/>
      </c>
      <c r="BR23" s="14" t="str">
        <f>_xlfn.IFNA(SQRT((VLOOKUP(BR$1,DATA!$A$3:$F$301,2,FALSE)-VLOOKUP($A23,DATA!$A$3:$F$301,2,FALSE))^2+(VLOOKUP(BR$1,DATA!$A$3:$F$301,3,FALSE)-VLOOKUP($A23,DATA!$A$3:$F$301,3,FALSE))^2),"")</f>
        <v/>
      </c>
      <c r="BS23" s="14" t="str">
        <f>_xlfn.IFNA(SQRT((VLOOKUP(BS$1,DATA!$A$3:$F$301,2,FALSE)-VLOOKUP($A23,DATA!$A$3:$F$301,2,FALSE))^2+(VLOOKUP(BS$1,DATA!$A$3:$F$301,3,FALSE)-VLOOKUP($A23,DATA!$A$3:$F$301,3,FALSE))^2),"")</f>
        <v/>
      </c>
      <c r="BT23" s="14" t="str">
        <f>_xlfn.IFNA(SQRT((VLOOKUP(BT$1,DATA!$A$3:$F$301,2,FALSE)-VLOOKUP($A23,DATA!$A$3:$F$301,2,FALSE))^2+(VLOOKUP(BT$1,DATA!$A$3:$F$301,3,FALSE)-VLOOKUP($A23,DATA!$A$3:$F$301,3,FALSE))^2),"")</f>
        <v/>
      </c>
      <c r="BU23" s="14" t="str">
        <f>_xlfn.IFNA(SQRT((VLOOKUP(BU$1,DATA!$A$3:$F$301,2,FALSE)-VLOOKUP($A23,DATA!$A$3:$F$301,2,FALSE))^2+(VLOOKUP(BU$1,DATA!$A$3:$F$301,3,FALSE)-VLOOKUP($A23,DATA!$A$3:$F$301,3,FALSE))^2),"")</f>
        <v/>
      </c>
      <c r="BV23" s="14" t="str">
        <f>_xlfn.IFNA(SQRT((VLOOKUP(BV$1,DATA!$A$3:$F$301,2,FALSE)-VLOOKUP($A23,DATA!$A$3:$F$301,2,FALSE))^2+(VLOOKUP(BV$1,DATA!$A$3:$F$301,3,FALSE)-VLOOKUP($A23,DATA!$A$3:$F$301,3,FALSE))^2),"")</f>
        <v/>
      </c>
      <c r="BW23" s="14" t="str">
        <f>_xlfn.IFNA(SQRT((VLOOKUP(BW$1,DATA!$A$3:$F$301,2,FALSE)-VLOOKUP($A23,DATA!$A$3:$F$301,2,FALSE))^2+(VLOOKUP(BW$1,DATA!$A$3:$F$301,3,FALSE)-VLOOKUP($A23,DATA!$A$3:$F$301,3,FALSE))^2),"")</f>
        <v/>
      </c>
      <c r="BX23" s="14" t="str">
        <f>_xlfn.IFNA(SQRT((VLOOKUP(BX$1,DATA!$A$3:$F$301,2,FALSE)-VLOOKUP($A23,DATA!$A$3:$F$301,2,FALSE))^2+(VLOOKUP(BX$1,DATA!$A$3:$F$301,3,FALSE)-VLOOKUP($A23,DATA!$A$3:$F$301,3,FALSE))^2),"")</f>
        <v/>
      </c>
      <c r="BY23" s="14" t="str">
        <f>_xlfn.IFNA(SQRT((VLOOKUP(BY$1,DATA!$A$3:$F$301,2,FALSE)-VLOOKUP($A23,DATA!$A$3:$F$301,2,FALSE))^2+(VLOOKUP(BY$1,DATA!$A$3:$F$301,3,FALSE)-VLOOKUP($A23,DATA!$A$3:$F$301,3,FALSE))^2),"")</f>
        <v/>
      </c>
      <c r="BZ23" s="14" t="str">
        <f>_xlfn.IFNA(SQRT((VLOOKUP(BZ$1,DATA!$A$3:$F$301,2,FALSE)-VLOOKUP($A23,DATA!$A$3:$F$301,2,FALSE))^2+(VLOOKUP(BZ$1,DATA!$A$3:$F$301,3,FALSE)-VLOOKUP($A23,DATA!$A$3:$F$301,3,FALSE))^2),"")</f>
        <v/>
      </c>
      <c r="CA23" s="14" t="str">
        <f>_xlfn.IFNA(SQRT((VLOOKUP(CA$1,DATA!$A$3:$F$301,2,FALSE)-VLOOKUP($A23,DATA!$A$3:$F$301,2,FALSE))^2+(VLOOKUP(CA$1,DATA!$A$3:$F$301,3,FALSE)-VLOOKUP($A23,DATA!$A$3:$F$301,3,FALSE))^2),"")</f>
        <v/>
      </c>
      <c r="CB23" s="14" t="str">
        <f>_xlfn.IFNA(SQRT((VLOOKUP(CB$1,DATA!$A$3:$F$301,2,FALSE)-VLOOKUP($A23,DATA!$A$3:$F$301,2,FALSE))^2+(VLOOKUP(CB$1,DATA!$A$3:$F$301,3,FALSE)-VLOOKUP($A23,DATA!$A$3:$F$301,3,FALSE))^2),"")</f>
        <v/>
      </c>
      <c r="CC23" s="14" t="str">
        <f>_xlfn.IFNA(SQRT((VLOOKUP(CC$1,DATA!$A$3:$F$301,2,FALSE)-VLOOKUP($A23,DATA!$A$3:$F$301,2,FALSE))^2+(VLOOKUP(CC$1,DATA!$A$3:$F$301,3,FALSE)-VLOOKUP($A23,DATA!$A$3:$F$301,3,FALSE))^2),"")</f>
        <v/>
      </c>
      <c r="CD23" s="14" t="str">
        <f>_xlfn.IFNA(SQRT((VLOOKUP(CD$1,DATA!$A$3:$F$301,2,FALSE)-VLOOKUP($A23,DATA!$A$3:$F$301,2,FALSE))^2+(VLOOKUP(CD$1,DATA!$A$3:$F$301,3,FALSE)-VLOOKUP($A23,DATA!$A$3:$F$301,3,FALSE))^2),"")</f>
        <v/>
      </c>
      <c r="CE23" s="14" t="str">
        <f>_xlfn.IFNA(SQRT((VLOOKUP(CE$1,DATA!$A$3:$F$301,2,FALSE)-VLOOKUP($A23,DATA!$A$3:$F$301,2,FALSE))^2+(VLOOKUP(CE$1,DATA!$A$3:$F$301,3,FALSE)-VLOOKUP($A23,DATA!$A$3:$F$301,3,FALSE))^2),"")</f>
        <v/>
      </c>
      <c r="CF23" s="14" t="str">
        <f>_xlfn.IFNA(SQRT((VLOOKUP(CF$1,DATA!$A$3:$F$301,2,FALSE)-VLOOKUP($A23,DATA!$A$3:$F$301,2,FALSE))^2+(VLOOKUP(CF$1,DATA!$A$3:$F$301,3,FALSE)-VLOOKUP($A23,DATA!$A$3:$F$301,3,FALSE))^2),"")</f>
        <v/>
      </c>
      <c r="CG23" s="14" t="str">
        <f>_xlfn.IFNA(SQRT((VLOOKUP(CG$1,DATA!$A$3:$F$301,2,FALSE)-VLOOKUP($A23,DATA!$A$3:$F$301,2,FALSE))^2+(VLOOKUP(CG$1,DATA!$A$3:$F$301,3,FALSE)-VLOOKUP($A23,DATA!$A$3:$F$301,3,FALSE))^2),"")</f>
        <v/>
      </c>
      <c r="CH23" s="14" t="str">
        <f>_xlfn.IFNA(SQRT((VLOOKUP(CH$1,DATA!$A$3:$F$301,2,FALSE)-VLOOKUP($A23,DATA!$A$3:$F$301,2,FALSE))^2+(VLOOKUP(CH$1,DATA!$A$3:$F$301,3,FALSE)-VLOOKUP($A23,DATA!$A$3:$F$301,3,FALSE))^2),"")</f>
        <v/>
      </c>
      <c r="CI23" s="14" t="str">
        <f>_xlfn.IFNA(SQRT((VLOOKUP(CI$1,DATA!$A$3:$F$301,2,FALSE)-VLOOKUP($A23,DATA!$A$3:$F$301,2,FALSE))^2+(VLOOKUP(CI$1,DATA!$A$3:$F$301,3,FALSE)-VLOOKUP($A23,DATA!$A$3:$F$301,3,FALSE))^2),"")</f>
        <v/>
      </c>
      <c r="CJ23" s="14" t="str">
        <f>_xlfn.IFNA(SQRT((VLOOKUP(CJ$1,DATA!$A$3:$F$301,2,FALSE)-VLOOKUP($A23,DATA!$A$3:$F$301,2,FALSE))^2+(VLOOKUP(CJ$1,DATA!$A$3:$F$301,3,FALSE)-VLOOKUP($A23,DATA!$A$3:$F$301,3,FALSE))^2),"")</f>
        <v/>
      </c>
      <c r="CK23" s="14" t="str">
        <f>_xlfn.IFNA(SQRT((VLOOKUP(CK$1,DATA!$A$3:$F$301,2,FALSE)-VLOOKUP($A23,DATA!$A$3:$F$301,2,FALSE))^2+(VLOOKUP(CK$1,DATA!$A$3:$F$301,3,FALSE)-VLOOKUP($A23,DATA!$A$3:$F$301,3,FALSE))^2),"")</f>
        <v/>
      </c>
      <c r="CL23" s="14" t="str">
        <f>_xlfn.IFNA(SQRT((VLOOKUP(CL$1,DATA!$A$3:$F$301,2,FALSE)-VLOOKUP($A23,DATA!$A$3:$F$301,2,FALSE))^2+(VLOOKUP(CL$1,DATA!$A$3:$F$301,3,FALSE)-VLOOKUP($A23,DATA!$A$3:$F$301,3,FALSE))^2),"")</f>
        <v/>
      </c>
      <c r="CM23" s="14" t="str">
        <f>_xlfn.IFNA(SQRT((VLOOKUP(CM$1,DATA!$A$3:$F$301,2,FALSE)-VLOOKUP($A23,DATA!$A$3:$F$301,2,FALSE))^2+(VLOOKUP(CM$1,DATA!$A$3:$F$301,3,FALSE)-VLOOKUP($A23,DATA!$A$3:$F$301,3,FALSE))^2),"")</f>
        <v/>
      </c>
      <c r="CN23" s="14" t="str">
        <f>_xlfn.IFNA(SQRT((VLOOKUP(CN$1,DATA!$A$3:$F$301,2,FALSE)-VLOOKUP($A23,DATA!$A$3:$F$301,2,FALSE))^2+(VLOOKUP(CN$1,DATA!$A$3:$F$301,3,FALSE)-VLOOKUP($A23,DATA!$A$3:$F$301,3,FALSE))^2),"")</f>
        <v/>
      </c>
      <c r="CO23" s="14" t="str">
        <f>_xlfn.IFNA(SQRT((VLOOKUP(CO$1,DATA!$A$3:$F$301,2,FALSE)-VLOOKUP($A23,DATA!$A$3:$F$301,2,FALSE))^2+(VLOOKUP(CO$1,DATA!$A$3:$F$301,3,FALSE)-VLOOKUP($A23,DATA!$A$3:$F$301,3,FALSE))^2),"")</f>
        <v/>
      </c>
      <c r="CP23" s="14" t="str">
        <f>_xlfn.IFNA(SQRT((VLOOKUP(CP$1,DATA!$A$3:$F$301,2,FALSE)-VLOOKUP($A23,DATA!$A$3:$F$301,2,FALSE))^2+(VLOOKUP(CP$1,DATA!$A$3:$F$301,3,FALSE)-VLOOKUP($A23,DATA!$A$3:$F$301,3,FALSE))^2),"")</f>
        <v/>
      </c>
      <c r="CQ23" s="14" t="str">
        <f>_xlfn.IFNA(SQRT((VLOOKUP(CQ$1,DATA!$A$3:$F$301,2,FALSE)-VLOOKUP($A23,DATA!$A$3:$F$301,2,FALSE))^2+(VLOOKUP(CQ$1,DATA!$A$3:$F$301,3,FALSE)-VLOOKUP($A23,DATA!$A$3:$F$301,3,FALSE))^2),"")</f>
        <v/>
      </c>
      <c r="CR23" s="14" t="str">
        <f>_xlfn.IFNA(SQRT((VLOOKUP(CR$1,DATA!$A$3:$F$301,2,FALSE)-VLOOKUP($A23,DATA!$A$3:$F$301,2,FALSE))^2+(VLOOKUP(CR$1,DATA!$A$3:$F$301,3,FALSE)-VLOOKUP($A23,DATA!$A$3:$F$301,3,FALSE))^2),"")</f>
        <v/>
      </c>
      <c r="CS23" s="14" t="str">
        <f>_xlfn.IFNA(SQRT((VLOOKUP(CS$1,DATA!$A$3:$F$301,2,FALSE)-VLOOKUP($A23,DATA!$A$3:$F$301,2,FALSE))^2+(VLOOKUP(CS$1,DATA!$A$3:$F$301,3,FALSE)-VLOOKUP($A23,DATA!$A$3:$F$301,3,FALSE))^2),"")</f>
        <v/>
      </c>
      <c r="CT23" s="14" t="str">
        <f>_xlfn.IFNA(SQRT((VLOOKUP(CT$1,DATA!$A$3:$F$301,2,FALSE)-VLOOKUP($A23,DATA!$A$3:$F$301,2,FALSE))^2+(VLOOKUP(CT$1,DATA!$A$3:$F$301,3,FALSE)-VLOOKUP($A23,DATA!$A$3:$F$301,3,FALSE))^2),"")</f>
        <v/>
      </c>
      <c r="CU23" s="14" t="str">
        <f>_xlfn.IFNA(SQRT((VLOOKUP(CU$1,DATA!$A$3:$F$301,2,FALSE)-VLOOKUP($A23,DATA!$A$3:$F$301,2,FALSE))^2+(VLOOKUP(CU$1,DATA!$A$3:$F$301,3,FALSE)-VLOOKUP($A23,DATA!$A$3:$F$301,3,FALSE))^2),"")</f>
        <v/>
      </c>
      <c r="CV23" s="14" t="str">
        <f>_xlfn.IFNA(SQRT((VLOOKUP(CV$1,DATA!$A$3:$F$301,2,FALSE)-VLOOKUP($A23,DATA!$A$3:$F$301,2,FALSE))^2+(VLOOKUP(CV$1,DATA!$A$3:$F$301,3,FALSE)-VLOOKUP($A23,DATA!$A$3:$F$301,3,FALSE))^2),"")</f>
        <v/>
      </c>
      <c r="CW23" s="14" t="str">
        <f>_xlfn.IFNA(SQRT((VLOOKUP(CW$1,DATA!$A$3:$F$301,2,FALSE)-VLOOKUP($A23,DATA!$A$3:$F$301,2,FALSE))^2+(VLOOKUP(CW$1,DATA!$A$3:$F$301,3,FALSE)-VLOOKUP($A23,DATA!$A$3:$F$301,3,FALSE))^2),"")</f>
        <v/>
      </c>
      <c r="CX23" s="14" t="str">
        <f>_xlfn.IFNA(SQRT((VLOOKUP(CX$1,DATA!$A$3:$F$301,2,FALSE)-VLOOKUP($A23,DATA!$A$3:$F$301,2,FALSE))^2+(VLOOKUP(CX$1,DATA!$A$3:$F$301,3,FALSE)-VLOOKUP($A23,DATA!$A$3:$F$301,3,FALSE))^2),"")</f>
        <v/>
      </c>
    </row>
    <row r="24" spans="1:102">
      <c r="A24" s="13">
        <v>23</v>
      </c>
      <c r="B24" s="14">
        <f>_xlfn.IFNA(SQRT((VLOOKUP(B$1,DATA!$A$3:$F$301,2,FALSE)-VLOOKUP($A24,DATA!$A$3:$F$301,2,FALSE))^2+(VLOOKUP(B$1,DATA!$A$3:$F$301,3,FALSE)-VLOOKUP($A24,DATA!$A$3:$F$301,3,FALSE))^2),"")</f>
        <v>33.734255586865999</v>
      </c>
      <c r="C24" s="14">
        <f>_xlfn.IFNA(SQRT((VLOOKUP(C$1,DATA!$A$3:$F$301,2,FALSE)-VLOOKUP($A24,DATA!$A$3:$F$301,2,FALSE))^2+(VLOOKUP(C$1,DATA!$A$3:$F$301,3,FALSE)-VLOOKUP($A24,DATA!$A$3:$F$301,3,FALSE))^2),"")</f>
        <v>38.832975677895199</v>
      </c>
      <c r="D24" s="14">
        <f>_xlfn.IFNA(SQRT((VLOOKUP(D$1,DATA!$A$3:$F$301,2,FALSE)-VLOOKUP($A24,DATA!$A$3:$F$301,2,FALSE))^2+(VLOOKUP(D$1,DATA!$A$3:$F$301,3,FALSE)-VLOOKUP($A24,DATA!$A$3:$F$301,3,FALSE))^2),"")</f>
        <v>33.376638536557273</v>
      </c>
      <c r="E24" s="14">
        <f>_xlfn.IFNA(SQRT((VLOOKUP(E$1,DATA!$A$3:$F$301,2,FALSE)-VLOOKUP($A24,DATA!$A$3:$F$301,2,FALSE))^2+(VLOOKUP(E$1,DATA!$A$3:$F$301,3,FALSE)-VLOOKUP($A24,DATA!$A$3:$F$301,3,FALSE))^2),"")</f>
        <v>29.068883707497267</v>
      </c>
      <c r="F24" s="14">
        <f>_xlfn.IFNA(SQRT((VLOOKUP(F$1,DATA!$A$3:$F$301,2,FALSE)-VLOOKUP($A24,DATA!$A$3:$F$301,2,FALSE))^2+(VLOOKUP(F$1,DATA!$A$3:$F$301,3,FALSE)-VLOOKUP($A24,DATA!$A$3:$F$301,3,FALSE))^2),"")</f>
        <v>52.201532544552748</v>
      </c>
      <c r="G24" s="14">
        <f>_xlfn.IFNA(SQRT((VLOOKUP(G$1,DATA!$A$3:$F$301,2,FALSE)-VLOOKUP($A24,DATA!$A$3:$F$301,2,FALSE))^2+(VLOOKUP(G$1,DATA!$A$3:$F$301,3,FALSE)-VLOOKUP($A24,DATA!$A$3:$F$301,3,FALSE))^2),"")</f>
        <v>20</v>
      </c>
      <c r="H24" s="14">
        <f>_xlfn.IFNA(SQRT((VLOOKUP(H$1,DATA!$A$3:$F$301,2,FALSE)-VLOOKUP($A24,DATA!$A$3:$F$301,2,FALSE))^2+(VLOOKUP(H$1,DATA!$A$3:$F$301,3,FALSE)-VLOOKUP($A24,DATA!$A$3:$F$301,3,FALSE))^2),"")</f>
        <v>6.7082039324993694</v>
      </c>
      <c r="I24" s="14">
        <f>_xlfn.IFNA(SQRT((VLOOKUP(I$1,DATA!$A$3:$F$301,2,FALSE)-VLOOKUP($A24,DATA!$A$3:$F$301,2,FALSE))^2+(VLOOKUP(I$1,DATA!$A$3:$F$301,3,FALSE)-VLOOKUP($A24,DATA!$A$3:$F$301,3,FALSE))^2),"")</f>
        <v>29.832867780352597</v>
      </c>
      <c r="J24" s="14">
        <f>_xlfn.IFNA(SQRT((VLOOKUP(J$1,DATA!$A$3:$F$301,2,FALSE)-VLOOKUP($A24,DATA!$A$3:$F$301,2,FALSE))^2+(VLOOKUP(J$1,DATA!$A$3:$F$301,3,FALSE)-VLOOKUP($A24,DATA!$A$3:$F$301,3,FALSE))^2),"")</f>
        <v>22.472205054244231</v>
      </c>
      <c r="K24" s="14">
        <f>_xlfn.IFNA(SQRT((VLOOKUP(K$1,DATA!$A$3:$F$301,2,FALSE)-VLOOKUP($A24,DATA!$A$3:$F$301,2,FALSE))^2+(VLOOKUP(K$1,DATA!$A$3:$F$301,3,FALSE)-VLOOKUP($A24,DATA!$A$3:$F$301,3,FALSE))^2),"")</f>
        <v>40.19950248448356</v>
      </c>
      <c r="L24" s="14">
        <f>_xlfn.IFNA(SQRT((VLOOKUP(L$1,DATA!$A$3:$F$301,2,FALSE)-VLOOKUP($A24,DATA!$A$3:$F$301,2,FALSE))^2+(VLOOKUP(L$1,DATA!$A$3:$F$301,3,FALSE)-VLOOKUP($A24,DATA!$A$3:$F$301,3,FALSE))^2),"")</f>
        <v>22.803508501982758</v>
      </c>
      <c r="M24" s="14">
        <f>_xlfn.IFNA(SQRT((VLOOKUP(M$1,DATA!$A$3:$F$301,2,FALSE)-VLOOKUP($A24,DATA!$A$3:$F$301,2,FALSE))^2+(VLOOKUP(M$1,DATA!$A$3:$F$301,3,FALSE)-VLOOKUP($A24,DATA!$A$3:$F$301,3,FALSE))^2),"")</f>
        <v>36.359317925395686</v>
      </c>
      <c r="N24" s="14">
        <f>_xlfn.IFNA(SQRT((VLOOKUP(N$1,DATA!$A$3:$F$301,2,FALSE)-VLOOKUP($A24,DATA!$A$3:$F$301,2,FALSE))^2+(VLOOKUP(N$1,DATA!$A$3:$F$301,3,FALSE)-VLOOKUP($A24,DATA!$A$3:$F$301,3,FALSE))^2),"")</f>
        <v>28.160255680657446</v>
      </c>
      <c r="O24" s="14">
        <f>_xlfn.IFNA(SQRT((VLOOKUP(O$1,DATA!$A$3:$F$301,2,FALSE)-VLOOKUP($A24,DATA!$A$3:$F$301,2,FALSE))^2+(VLOOKUP(O$1,DATA!$A$3:$F$301,3,FALSE)-VLOOKUP($A24,DATA!$A$3:$F$301,3,FALSE))^2),"")</f>
        <v>58.137767414994535</v>
      </c>
      <c r="P24" s="14">
        <f>_xlfn.IFNA(SQRT((VLOOKUP(P$1,DATA!$A$3:$F$301,2,FALSE)-VLOOKUP($A24,DATA!$A$3:$F$301,2,FALSE))^2+(VLOOKUP(P$1,DATA!$A$3:$F$301,3,FALSE)-VLOOKUP($A24,DATA!$A$3:$F$301,3,FALSE))^2),"")</f>
        <v>37.12142238654117</v>
      </c>
      <c r="Q24" s="14">
        <f>_xlfn.IFNA(SQRT((VLOOKUP(Q$1,DATA!$A$3:$F$301,2,FALSE)-VLOOKUP($A24,DATA!$A$3:$F$301,2,FALSE))^2+(VLOOKUP(Q$1,DATA!$A$3:$F$301,3,FALSE)-VLOOKUP($A24,DATA!$A$3:$F$301,3,FALSE))^2),"")</f>
        <v>18.867962264113206</v>
      </c>
      <c r="R24" s="14">
        <f>_xlfn.IFNA(SQRT((VLOOKUP(R$1,DATA!$A$3:$F$301,2,FALSE)-VLOOKUP($A24,DATA!$A$3:$F$301,2,FALSE))^2+(VLOOKUP(R$1,DATA!$A$3:$F$301,3,FALSE)-VLOOKUP($A24,DATA!$A$3:$F$301,3,FALSE))^2),"")</f>
        <v>15.652475842498529</v>
      </c>
      <c r="S24" s="14">
        <f>_xlfn.IFNA(SQRT((VLOOKUP(S$1,DATA!$A$3:$F$301,2,FALSE)-VLOOKUP($A24,DATA!$A$3:$F$301,2,FALSE))^2+(VLOOKUP(S$1,DATA!$A$3:$F$301,3,FALSE)-VLOOKUP($A24,DATA!$A$3:$F$301,3,FALSE))^2),"")</f>
        <v>26.40075756488817</v>
      </c>
      <c r="T24" s="14">
        <f>_xlfn.IFNA(SQRT((VLOOKUP(T$1,DATA!$A$3:$F$301,2,FALSE)-VLOOKUP($A24,DATA!$A$3:$F$301,2,FALSE))^2+(VLOOKUP(T$1,DATA!$A$3:$F$301,3,FALSE)-VLOOKUP($A24,DATA!$A$3:$F$301,3,FALSE))^2),"")</f>
        <v>50.24937810560445</v>
      </c>
      <c r="U24" s="14">
        <f>_xlfn.IFNA(SQRT((VLOOKUP(U$1,DATA!$A$3:$F$301,2,FALSE)-VLOOKUP($A24,DATA!$A$3:$F$301,2,FALSE))^2+(VLOOKUP(U$1,DATA!$A$3:$F$301,3,FALSE)-VLOOKUP($A24,DATA!$A$3:$F$301,3,FALSE))^2),"")</f>
        <v>19.104973174542799</v>
      </c>
      <c r="V24" s="14">
        <f>_xlfn.IFNA(SQRT((VLOOKUP(V$1,DATA!$A$3:$F$301,2,FALSE)-VLOOKUP($A24,DATA!$A$3:$F$301,2,FALSE))^2+(VLOOKUP(V$1,DATA!$A$3:$F$301,3,FALSE)-VLOOKUP($A24,DATA!$A$3:$F$301,3,FALSE))^2),"")</f>
        <v>12.806248474865697</v>
      </c>
      <c r="W24" s="14">
        <f>_xlfn.IFNA(SQRT((VLOOKUP(W$1,DATA!$A$3:$F$301,2,FALSE)-VLOOKUP($A24,DATA!$A$3:$F$301,2,FALSE))^2+(VLOOKUP(W$1,DATA!$A$3:$F$301,3,FALSE)-VLOOKUP($A24,DATA!$A$3:$F$301,3,FALSE))^2),"")</f>
        <v>6.0827625302982193</v>
      </c>
      <c r="X24" s="14">
        <f>_xlfn.IFNA(SQRT((VLOOKUP(X$1,DATA!$A$3:$F$301,2,FALSE)-VLOOKUP($A24,DATA!$A$3:$F$301,2,FALSE))^2+(VLOOKUP(X$1,DATA!$A$3:$F$301,3,FALSE)-VLOOKUP($A24,DATA!$A$3:$F$301,3,FALSE))^2),"")</f>
        <v>0</v>
      </c>
      <c r="Y24" s="14">
        <f>_xlfn.IFNA(SQRT((VLOOKUP(Y$1,DATA!$A$3:$F$301,2,FALSE)-VLOOKUP($A24,DATA!$A$3:$F$301,2,FALSE))^2+(VLOOKUP(Y$1,DATA!$A$3:$F$301,3,FALSE)-VLOOKUP($A24,DATA!$A$3:$F$301,3,FALSE))^2),"")</f>
        <v>29.120439557122072</v>
      </c>
      <c r="Z24" s="14">
        <f>_xlfn.IFNA(SQRT((VLOOKUP(Z$1,DATA!$A$3:$F$301,2,FALSE)-VLOOKUP($A24,DATA!$A$3:$F$301,2,FALSE))^2+(VLOOKUP(Z$1,DATA!$A$3:$F$301,3,FALSE)-VLOOKUP($A24,DATA!$A$3:$F$301,3,FALSE))^2),"")</f>
        <v>17.888543819998318</v>
      </c>
      <c r="AA24" s="14">
        <f>_xlfn.IFNA(SQRT((VLOOKUP(AA$1,DATA!$A$3:$F$301,2,FALSE)-VLOOKUP($A24,DATA!$A$3:$F$301,2,FALSE))^2+(VLOOKUP(AA$1,DATA!$A$3:$F$301,3,FALSE)-VLOOKUP($A24,DATA!$A$3:$F$301,3,FALSE))^2),"")</f>
        <v>36.400549446402593</v>
      </c>
      <c r="AB24" s="14">
        <f>_xlfn.IFNA(SQRT((VLOOKUP(AB$1,DATA!$A$3:$F$301,2,FALSE)-VLOOKUP($A24,DATA!$A$3:$F$301,2,FALSE))^2+(VLOOKUP(AB$1,DATA!$A$3:$F$301,3,FALSE)-VLOOKUP($A24,DATA!$A$3:$F$301,3,FALSE))^2),"")</f>
        <v>35.693136595149497</v>
      </c>
      <c r="AC24" s="14">
        <f>_xlfn.IFNA(SQRT((VLOOKUP(AC$1,DATA!$A$3:$F$301,2,FALSE)-VLOOKUP($A24,DATA!$A$3:$F$301,2,FALSE))^2+(VLOOKUP(AC$1,DATA!$A$3:$F$301,3,FALSE)-VLOOKUP($A24,DATA!$A$3:$F$301,3,FALSE))^2),"")</f>
        <v>43.931765272977593</v>
      </c>
      <c r="AD24" s="14">
        <f>_xlfn.IFNA(SQRT((VLOOKUP(AD$1,DATA!$A$3:$F$301,2,FALSE)-VLOOKUP($A24,DATA!$A$3:$F$301,2,FALSE))^2+(VLOOKUP(AD$1,DATA!$A$3:$F$301,3,FALSE)-VLOOKUP($A24,DATA!$A$3:$F$301,3,FALSE))^2),"")</f>
        <v>3.6055512754639891</v>
      </c>
      <c r="AE24" s="14">
        <f>_xlfn.IFNA(SQRT((VLOOKUP(AE$1,DATA!$A$3:$F$301,2,FALSE)-VLOOKUP($A24,DATA!$A$3:$F$301,2,FALSE))^2+(VLOOKUP(AE$1,DATA!$A$3:$F$301,3,FALSE)-VLOOKUP($A24,DATA!$A$3:$F$301,3,FALSE))^2),"")</f>
        <v>56.435804238089851</v>
      </c>
      <c r="AF24" s="14">
        <f>_xlfn.IFNA(SQRT((VLOOKUP(AF$1,DATA!$A$3:$F$301,2,FALSE)-VLOOKUP($A24,DATA!$A$3:$F$301,2,FALSE))^2+(VLOOKUP(AF$1,DATA!$A$3:$F$301,3,FALSE)-VLOOKUP($A24,DATA!$A$3:$F$301,3,FALSE))^2),"")</f>
        <v>13.152946437965905</v>
      </c>
      <c r="AG24" s="14">
        <f>_xlfn.IFNA(SQRT((VLOOKUP(AG$1,DATA!$A$3:$F$301,2,FALSE)-VLOOKUP($A24,DATA!$A$3:$F$301,2,FALSE))^2+(VLOOKUP(AG$1,DATA!$A$3:$F$301,3,FALSE)-VLOOKUP($A24,DATA!$A$3:$F$301,3,FALSE))^2),"")</f>
        <v>42.638011210655684</v>
      </c>
      <c r="AH24" s="14">
        <f>_xlfn.IFNA(SQRT((VLOOKUP(AH$1,DATA!$A$3:$F$301,2,FALSE)-VLOOKUP($A24,DATA!$A$3:$F$301,2,FALSE))^2+(VLOOKUP(AH$1,DATA!$A$3:$F$301,3,FALSE)-VLOOKUP($A24,DATA!$A$3:$F$301,3,FALSE))^2),"")</f>
        <v>25.612496949731394</v>
      </c>
      <c r="AI24" s="14">
        <f>_xlfn.IFNA(SQRT((VLOOKUP(AI$1,DATA!$A$3:$F$301,2,FALSE)-VLOOKUP($A24,DATA!$A$3:$F$301,2,FALSE))^2+(VLOOKUP(AI$1,DATA!$A$3:$F$301,3,FALSE)-VLOOKUP($A24,DATA!$A$3:$F$301,3,FALSE))^2),"")</f>
        <v>18.384776310850235</v>
      </c>
      <c r="AJ24" s="14">
        <f>_xlfn.IFNA(SQRT((VLOOKUP(AJ$1,DATA!$A$3:$F$301,2,FALSE)-VLOOKUP($A24,DATA!$A$3:$F$301,2,FALSE))^2+(VLOOKUP(AJ$1,DATA!$A$3:$F$301,3,FALSE)-VLOOKUP($A24,DATA!$A$3:$F$301,3,FALSE))^2),"")</f>
        <v>13.341664064126334</v>
      </c>
      <c r="AK24" s="14">
        <f>_xlfn.IFNA(SQRT((VLOOKUP(AK$1,DATA!$A$3:$F$301,2,FALSE)-VLOOKUP($A24,DATA!$A$3:$F$301,2,FALSE))^2+(VLOOKUP(AK$1,DATA!$A$3:$F$301,3,FALSE)-VLOOKUP($A24,DATA!$A$3:$F$301,3,FALSE))^2),"")</f>
        <v>34.058772731852805</v>
      </c>
      <c r="AL24" s="14">
        <f>_xlfn.IFNA(SQRT((VLOOKUP(AL$1,DATA!$A$3:$F$301,2,FALSE)-VLOOKUP($A24,DATA!$A$3:$F$301,2,FALSE))^2+(VLOOKUP(AL$1,DATA!$A$3:$F$301,3,FALSE)-VLOOKUP($A24,DATA!$A$3:$F$301,3,FALSE))^2),"")</f>
        <v>40.521599178709621</v>
      </c>
      <c r="AM24" s="14">
        <f>_xlfn.IFNA(SQRT((VLOOKUP(AM$1,DATA!$A$3:$F$301,2,FALSE)-VLOOKUP($A24,DATA!$A$3:$F$301,2,FALSE))^2+(VLOOKUP(AM$1,DATA!$A$3:$F$301,3,FALSE)-VLOOKUP($A24,DATA!$A$3:$F$301,3,FALSE))^2),"")</f>
        <v>40.607881008493905</v>
      </c>
      <c r="AN24" s="14">
        <f>_xlfn.IFNA(SQRT((VLOOKUP(AN$1,DATA!$A$3:$F$301,2,FALSE)-VLOOKUP($A24,DATA!$A$3:$F$301,2,FALSE))^2+(VLOOKUP(AN$1,DATA!$A$3:$F$301,3,FALSE)-VLOOKUP($A24,DATA!$A$3:$F$301,3,FALSE))^2),"")</f>
        <v>4.4721359549995796</v>
      </c>
      <c r="AO24" s="14">
        <f>_xlfn.IFNA(SQRT((VLOOKUP(AO$1,DATA!$A$3:$F$301,2,FALSE)-VLOOKUP($A24,DATA!$A$3:$F$301,2,FALSE))^2+(VLOOKUP(AO$1,DATA!$A$3:$F$301,3,FALSE)-VLOOKUP($A24,DATA!$A$3:$F$301,3,FALSE))^2),"")</f>
        <v>33.421549934136806</v>
      </c>
      <c r="AP24" s="14" t="str">
        <f>_xlfn.IFNA(SQRT((VLOOKUP(AP$1,DATA!$A$3:$F$301,2,FALSE)-VLOOKUP($A24,DATA!$A$3:$F$301,2,FALSE))^2+(VLOOKUP(AP$1,DATA!$A$3:$F$301,3,FALSE)-VLOOKUP($A24,DATA!$A$3:$F$301,3,FALSE))^2),"")</f>
        <v/>
      </c>
      <c r="AQ24" s="14" t="str">
        <f>_xlfn.IFNA(SQRT((VLOOKUP(AQ$1,DATA!$A$3:$F$301,2,FALSE)-VLOOKUP($A24,DATA!$A$3:$F$301,2,FALSE))^2+(VLOOKUP(AQ$1,DATA!$A$3:$F$301,3,FALSE)-VLOOKUP($A24,DATA!$A$3:$F$301,3,FALSE))^2),"")</f>
        <v/>
      </c>
      <c r="AR24" s="14" t="str">
        <f>_xlfn.IFNA(SQRT((VLOOKUP(AR$1,DATA!$A$3:$F$301,2,FALSE)-VLOOKUP($A24,DATA!$A$3:$F$301,2,FALSE))^2+(VLOOKUP(AR$1,DATA!$A$3:$F$301,3,FALSE)-VLOOKUP($A24,DATA!$A$3:$F$301,3,FALSE))^2),"")</f>
        <v/>
      </c>
      <c r="AS24" s="14" t="str">
        <f>_xlfn.IFNA(SQRT((VLOOKUP(AS$1,DATA!$A$3:$F$301,2,FALSE)-VLOOKUP($A24,DATA!$A$3:$F$301,2,FALSE))^2+(VLOOKUP(AS$1,DATA!$A$3:$F$301,3,FALSE)-VLOOKUP($A24,DATA!$A$3:$F$301,3,FALSE))^2),"")</f>
        <v/>
      </c>
      <c r="AT24" s="14" t="str">
        <f>_xlfn.IFNA(SQRT((VLOOKUP(AT$1,DATA!$A$3:$F$301,2,FALSE)-VLOOKUP($A24,DATA!$A$3:$F$301,2,FALSE))^2+(VLOOKUP(AT$1,DATA!$A$3:$F$301,3,FALSE)-VLOOKUP($A24,DATA!$A$3:$F$301,3,FALSE))^2),"")</f>
        <v/>
      </c>
      <c r="AU24" s="14" t="str">
        <f>_xlfn.IFNA(SQRT((VLOOKUP(AU$1,DATA!$A$3:$F$301,2,FALSE)-VLOOKUP($A24,DATA!$A$3:$F$301,2,FALSE))^2+(VLOOKUP(AU$1,DATA!$A$3:$F$301,3,FALSE)-VLOOKUP($A24,DATA!$A$3:$F$301,3,FALSE))^2),"")</f>
        <v/>
      </c>
      <c r="AV24" s="14" t="str">
        <f>_xlfn.IFNA(SQRT((VLOOKUP(AV$1,DATA!$A$3:$F$301,2,FALSE)-VLOOKUP($A24,DATA!$A$3:$F$301,2,FALSE))^2+(VLOOKUP(AV$1,DATA!$A$3:$F$301,3,FALSE)-VLOOKUP($A24,DATA!$A$3:$F$301,3,FALSE))^2),"")</f>
        <v/>
      </c>
      <c r="AW24" s="14" t="str">
        <f>_xlfn.IFNA(SQRT((VLOOKUP(AW$1,DATA!$A$3:$F$301,2,FALSE)-VLOOKUP($A24,DATA!$A$3:$F$301,2,FALSE))^2+(VLOOKUP(AW$1,DATA!$A$3:$F$301,3,FALSE)-VLOOKUP($A24,DATA!$A$3:$F$301,3,FALSE))^2),"")</f>
        <v/>
      </c>
      <c r="AX24" s="14" t="str">
        <f>_xlfn.IFNA(SQRT((VLOOKUP(AX$1,DATA!$A$3:$F$301,2,FALSE)-VLOOKUP($A24,DATA!$A$3:$F$301,2,FALSE))^2+(VLOOKUP(AX$1,DATA!$A$3:$F$301,3,FALSE)-VLOOKUP($A24,DATA!$A$3:$F$301,3,FALSE))^2),"")</f>
        <v/>
      </c>
      <c r="AY24" s="14" t="str">
        <f>_xlfn.IFNA(SQRT((VLOOKUP(AY$1,DATA!$A$3:$F$301,2,FALSE)-VLOOKUP($A24,DATA!$A$3:$F$301,2,FALSE))^2+(VLOOKUP(AY$1,DATA!$A$3:$F$301,3,FALSE)-VLOOKUP($A24,DATA!$A$3:$F$301,3,FALSE))^2),"")</f>
        <v/>
      </c>
      <c r="AZ24" s="14" t="str">
        <f>_xlfn.IFNA(SQRT((VLOOKUP(AZ$1,DATA!$A$3:$F$301,2,FALSE)-VLOOKUP($A24,DATA!$A$3:$F$301,2,FALSE))^2+(VLOOKUP(AZ$1,DATA!$A$3:$F$301,3,FALSE)-VLOOKUP($A24,DATA!$A$3:$F$301,3,FALSE))^2),"")</f>
        <v/>
      </c>
      <c r="BA24" s="14" t="str">
        <f>_xlfn.IFNA(SQRT((VLOOKUP(BA$1,DATA!$A$3:$F$301,2,FALSE)-VLOOKUP($A24,DATA!$A$3:$F$301,2,FALSE))^2+(VLOOKUP(BA$1,DATA!$A$3:$F$301,3,FALSE)-VLOOKUP($A24,DATA!$A$3:$F$301,3,FALSE))^2),"")</f>
        <v/>
      </c>
      <c r="BB24" s="14" t="str">
        <f>_xlfn.IFNA(SQRT((VLOOKUP(BB$1,DATA!$A$3:$F$301,2,FALSE)-VLOOKUP($A24,DATA!$A$3:$F$301,2,FALSE))^2+(VLOOKUP(BB$1,DATA!$A$3:$F$301,3,FALSE)-VLOOKUP($A24,DATA!$A$3:$F$301,3,FALSE))^2),"")</f>
        <v/>
      </c>
      <c r="BC24" s="14" t="str">
        <f>_xlfn.IFNA(SQRT((VLOOKUP(BC$1,DATA!$A$3:$F$301,2,FALSE)-VLOOKUP($A24,DATA!$A$3:$F$301,2,FALSE))^2+(VLOOKUP(BC$1,DATA!$A$3:$F$301,3,FALSE)-VLOOKUP($A24,DATA!$A$3:$F$301,3,FALSE))^2),"")</f>
        <v/>
      </c>
      <c r="BD24" s="14" t="str">
        <f>_xlfn.IFNA(SQRT((VLOOKUP(BD$1,DATA!$A$3:$F$301,2,FALSE)-VLOOKUP($A24,DATA!$A$3:$F$301,2,FALSE))^2+(VLOOKUP(BD$1,DATA!$A$3:$F$301,3,FALSE)-VLOOKUP($A24,DATA!$A$3:$F$301,3,FALSE))^2),"")</f>
        <v/>
      </c>
      <c r="BE24" s="14" t="str">
        <f>_xlfn.IFNA(SQRT((VLOOKUP(BE$1,DATA!$A$3:$F$301,2,FALSE)-VLOOKUP($A24,DATA!$A$3:$F$301,2,FALSE))^2+(VLOOKUP(BE$1,DATA!$A$3:$F$301,3,FALSE)-VLOOKUP($A24,DATA!$A$3:$F$301,3,FALSE))^2),"")</f>
        <v/>
      </c>
      <c r="BF24" s="14" t="str">
        <f>_xlfn.IFNA(SQRT((VLOOKUP(BF$1,DATA!$A$3:$F$301,2,FALSE)-VLOOKUP($A24,DATA!$A$3:$F$301,2,FALSE))^2+(VLOOKUP(BF$1,DATA!$A$3:$F$301,3,FALSE)-VLOOKUP($A24,DATA!$A$3:$F$301,3,FALSE))^2),"")</f>
        <v/>
      </c>
      <c r="BG24" s="14" t="str">
        <f>_xlfn.IFNA(SQRT((VLOOKUP(BG$1,DATA!$A$3:$F$301,2,FALSE)-VLOOKUP($A24,DATA!$A$3:$F$301,2,FALSE))^2+(VLOOKUP(BG$1,DATA!$A$3:$F$301,3,FALSE)-VLOOKUP($A24,DATA!$A$3:$F$301,3,FALSE))^2),"")</f>
        <v/>
      </c>
      <c r="BH24" s="14" t="str">
        <f>_xlfn.IFNA(SQRT((VLOOKUP(BH$1,DATA!$A$3:$F$301,2,FALSE)-VLOOKUP($A24,DATA!$A$3:$F$301,2,FALSE))^2+(VLOOKUP(BH$1,DATA!$A$3:$F$301,3,FALSE)-VLOOKUP($A24,DATA!$A$3:$F$301,3,FALSE))^2),"")</f>
        <v/>
      </c>
      <c r="BI24" s="14" t="str">
        <f>_xlfn.IFNA(SQRT((VLOOKUP(BI$1,DATA!$A$3:$F$301,2,FALSE)-VLOOKUP($A24,DATA!$A$3:$F$301,2,FALSE))^2+(VLOOKUP(BI$1,DATA!$A$3:$F$301,3,FALSE)-VLOOKUP($A24,DATA!$A$3:$F$301,3,FALSE))^2),"")</f>
        <v/>
      </c>
      <c r="BJ24" s="14" t="str">
        <f>_xlfn.IFNA(SQRT((VLOOKUP(BJ$1,DATA!$A$3:$F$301,2,FALSE)-VLOOKUP($A24,DATA!$A$3:$F$301,2,FALSE))^2+(VLOOKUP(BJ$1,DATA!$A$3:$F$301,3,FALSE)-VLOOKUP($A24,DATA!$A$3:$F$301,3,FALSE))^2),"")</f>
        <v/>
      </c>
      <c r="BK24" s="14" t="str">
        <f>_xlfn.IFNA(SQRT((VLOOKUP(BK$1,DATA!$A$3:$F$301,2,FALSE)-VLOOKUP($A24,DATA!$A$3:$F$301,2,FALSE))^2+(VLOOKUP(BK$1,DATA!$A$3:$F$301,3,FALSE)-VLOOKUP($A24,DATA!$A$3:$F$301,3,FALSE))^2),"")</f>
        <v/>
      </c>
      <c r="BL24" s="14" t="str">
        <f>_xlfn.IFNA(SQRT((VLOOKUP(BL$1,DATA!$A$3:$F$301,2,FALSE)-VLOOKUP($A24,DATA!$A$3:$F$301,2,FALSE))^2+(VLOOKUP(BL$1,DATA!$A$3:$F$301,3,FALSE)-VLOOKUP($A24,DATA!$A$3:$F$301,3,FALSE))^2),"")</f>
        <v/>
      </c>
      <c r="BM24" s="14" t="str">
        <f>_xlfn.IFNA(SQRT((VLOOKUP(BM$1,DATA!$A$3:$F$301,2,FALSE)-VLOOKUP($A24,DATA!$A$3:$F$301,2,FALSE))^2+(VLOOKUP(BM$1,DATA!$A$3:$F$301,3,FALSE)-VLOOKUP($A24,DATA!$A$3:$F$301,3,FALSE))^2),"")</f>
        <v/>
      </c>
      <c r="BN24" s="14" t="str">
        <f>_xlfn.IFNA(SQRT((VLOOKUP(BN$1,DATA!$A$3:$F$301,2,FALSE)-VLOOKUP($A24,DATA!$A$3:$F$301,2,FALSE))^2+(VLOOKUP(BN$1,DATA!$A$3:$F$301,3,FALSE)-VLOOKUP($A24,DATA!$A$3:$F$301,3,FALSE))^2),"")</f>
        <v/>
      </c>
      <c r="BO24" s="14" t="str">
        <f>_xlfn.IFNA(SQRT((VLOOKUP(BO$1,DATA!$A$3:$F$301,2,FALSE)-VLOOKUP($A24,DATA!$A$3:$F$301,2,FALSE))^2+(VLOOKUP(BO$1,DATA!$A$3:$F$301,3,FALSE)-VLOOKUP($A24,DATA!$A$3:$F$301,3,FALSE))^2),"")</f>
        <v/>
      </c>
      <c r="BP24" s="14" t="str">
        <f>_xlfn.IFNA(SQRT((VLOOKUP(BP$1,DATA!$A$3:$F$301,2,FALSE)-VLOOKUP($A24,DATA!$A$3:$F$301,2,FALSE))^2+(VLOOKUP(BP$1,DATA!$A$3:$F$301,3,FALSE)-VLOOKUP($A24,DATA!$A$3:$F$301,3,FALSE))^2),"")</f>
        <v/>
      </c>
      <c r="BQ24" s="14" t="str">
        <f>_xlfn.IFNA(SQRT((VLOOKUP(BQ$1,DATA!$A$3:$F$301,2,FALSE)-VLOOKUP($A24,DATA!$A$3:$F$301,2,FALSE))^2+(VLOOKUP(BQ$1,DATA!$A$3:$F$301,3,FALSE)-VLOOKUP($A24,DATA!$A$3:$F$301,3,FALSE))^2),"")</f>
        <v/>
      </c>
      <c r="BR24" s="14" t="str">
        <f>_xlfn.IFNA(SQRT((VLOOKUP(BR$1,DATA!$A$3:$F$301,2,FALSE)-VLOOKUP($A24,DATA!$A$3:$F$301,2,FALSE))^2+(VLOOKUP(BR$1,DATA!$A$3:$F$301,3,FALSE)-VLOOKUP($A24,DATA!$A$3:$F$301,3,FALSE))^2),"")</f>
        <v/>
      </c>
      <c r="BS24" s="14" t="str">
        <f>_xlfn.IFNA(SQRT((VLOOKUP(BS$1,DATA!$A$3:$F$301,2,FALSE)-VLOOKUP($A24,DATA!$A$3:$F$301,2,FALSE))^2+(VLOOKUP(BS$1,DATA!$A$3:$F$301,3,FALSE)-VLOOKUP($A24,DATA!$A$3:$F$301,3,FALSE))^2),"")</f>
        <v/>
      </c>
      <c r="BT24" s="14" t="str">
        <f>_xlfn.IFNA(SQRT((VLOOKUP(BT$1,DATA!$A$3:$F$301,2,FALSE)-VLOOKUP($A24,DATA!$A$3:$F$301,2,FALSE))^2+(VLOOKUP(BT$1,DATA!$A$3:$F$301,3,FALSE)-VLOOKUP($A24,DATA!$A$3:$F$301,3,FALSE))^2),"")</f>
        <v/>
      </c>
      <c r="BU24" s="14" t="str">
        <f>_xlfn.IFNA(SQRT((VLOOKUP(BU$1,DATA!$A$3:$F$301,2,FALSE)-VLOOKUP($A24,DATA!$A$3:$F$301,2,FALSE))^2+(VLOOKUP(BU$1,DATA!$A$3:$F$301,3,FALSE)-VLOOKUP($A24,DATA!$A$3:$F$301,3,FALSE))^2),"")</f>
        <v/>
      </c>
      <c r="BV24" s="14" t="str">
        <f>_xlfn.IFNA(SQRT((VLOOKUP(BV$1,DATA!$A$3:$F$301,2,FALSE)-VLOOKUP($A24,DATA!$A$3:$F$301,2,FALSE))^2+(VLOOKUP(BV$1,DATA!$A$3:$F$301,3,FALSE)-VLOOKUP($A24,DATA!$A$3:$F$301,3,FALSE))^2),"")</f>
        <v/>
      </c>
      <c r="BW24" s="14" t="str">
        <f>_xlfn.IFNA(SQRT((VLOOKUP(BW$1,DATA!$A$3:$F$301,2,FALSE)-VLOOKUP($A24,DATA!$A$3:$F$301,2,FALSE))^2+(VLOOKUP(BW$1,DATA!$A$3:$F$301,3,FALSE)-VLOOKUP($A24,DATA!$A$3:$F$301,3,FALSE))^2),"")</f>
        <v/>
      </c>
      <c r="BX24" s="14" t="str">
        <f>_xlfn.IFNA(SQRT((VLOOKUP(BX$1,DATA!$A$3:$F$301,2,FALSE)-VLOOKUP($A24,DATA!$A$3:$F$301,2,FALSE))^2+(VLOOKUP(BX$1,DATA!$A$3:$F$301,3,FALSE)-VLOOKUP($A24,DATA!$A$3:$F$301,3,FALSE))^2),"")</f>
        <v/>
      </c>
      <c r="BY24" s="14" t="str">
        <f>_xlfn.IFNA(SQRT((VLOOKUP(BY$1,DATA!$A$3:$F$301,2,FALSE)-VLOOKUP($A24,DATA!$A$3:$F$301,2,FALSE))^2+(VLOOKUP(BY$1,DATA!$A$3:$F$301,3,FALSE)-VLOOKUP($A24,DATA!$A$3:$F$301,3,FALSE))^2),"")</f>
        <v/>
      </c>
      <c r="BZ24" s="14" t="str">
        <f>_xlfn.IFNA(SQRT((VLOOKUP(BZ$1,DATA!$A$3:$F$301,2,FALSE)-VLOOKUP($A24,DATA!$A$3:$F$301,2,FALSE))^2+(VLOOKUP(BZ$1,DATA!$A$3:$F$301,3,FALSE)-VLOOKUP($A24,DATA!$A$3:$F$301,3,FALSE))^2),"")</f>
        <v/>
      </c>
      <c r="CA24" s="14" t="str">
        <f>_xlfn.IFNA(SQRT((VLOOKUP(CA$1,DATA!$A$3:$F$301,2,FALSE)-VLOOKUP($A24,DATA!$A$3:$F$301,2,FALSE))^2+(VLOOKUP(CA$1,DATA!$A$3:$F$301,3,FALSE)-VLOOKUP($A24,DATA!$A$3:$F$301,3,FALSE))^2),"")</f>
        <v/>
      </c>
      <c r="CB24" s="14" t="str">
        <f>_xlfn.IFNA(SQRT((VLOOKUP(CB$1,DATA!$A$3:$F$301,2,FALSE)-VLOOKUP($A24,DATA!$A$3:$F$301,2,FALSE))^2+(VLOOKUP(CB$1,DATA!$A$3:$F$301,3,FALSE)-VLOOKUP($A24,DATA!$A$3:$F$301,3,FALSE))^2),"")</f>
        <v/>
      </c>
      <c r="CC24" s="14" t="str">
        <f>_xlfn.IFNA(SQRT((VLOOKUP(CC$1,DATA!$A$3:$F$301,2,FALSE)-VLOOKUP($A24,DATA!$A$3:$F$301,2,FALSE))^2+(VLOOKUP(CC$1,DATA!$A$3:$F$301,3,FALSE)-VLOOKUP($A24,DATA!$A$3:$F$301,3,FALSE))^2),"")</f>
        <v/>
      </c>
      <c r="CD24" s="14" t="str">
        <f>_xlfn.IFNA(SQRT((VLOOKUP(CD$1,DATA!$A$3:$F$301,2,FALSE)-VLOOKUP($A24,DATA!$A$3:$F$301,2,FALSE))^2+(VLOOKUP(CD$1,DATA!$A$3:$F$301,3,FALSE)-VLOOKUP($A24,DATA!$A$3:$F$301,3,FALSE))^2),"")</f>
        <v/>
      </c>
      <c r="CE24" s="14" t="str">
        <f>_xlfn.IFNA(SQRT((VLOOKUP(CE$1,DATA!$A$3:$F$301,2,FALSE)-VLOOKUP($A24,DATA!$A$3:$F$301,2,FALSE))^2+(VLOOKUP(CE$1,DATA!$A$3:$F$301,3,FALSE)-VLOOKUP($A24,DATA!$A$3:$F$301,3,FALSE))^2),"")</f>
        <v/>
      </c>
      <c r="CF24" s="14" t="str">
        <f>_xlfn.IFNA(SQRT((VLOOKUP(CF$1,DATA!$A$3:$F$301,2,FALSE)-VLOOKUP($A24,DATA!$A$3:$F$301,2,FALSE))^2+(VLOOKUP(CF$1,DATA!$A$3:$F$301,3,FALSE)-VLOOKUP($A24,DATA!$A$3:$F$301,3,FALSE))^2),"")</f>
        <v/>
      </c>
      <c r="CG24" s="14" t="str">
        <f>_xlfn.IFNA(SQRT((VLOOKUP(CG$1,DATA!$A$3:$F$301,2,FALSE)-VLOOKUP($A24,DATA!$A$3:$F$301,2,FALSE))^2+(VLOOKUP(CG$1,DATA!$A$3:$F$301,3,FALSE)-VLOOKUP($A24,DATA!$A$3:$F$301,3,FALSE))^2),"")</f>
        <v/>
      </c>
      <c r="CH24" s="14" t="str">
        <f>_xlfn.IFNA(SQRT((VLOOKUP(CH$1,DATA!$A$3:$F$301,2,FALSE)-VLOOKUP($A24,DATA!$A$3:$F$301,2,FALSE))^2+(VLOOKUP(CH$1,DATA!$A$3:$F$301,3,FALSE)-VLOOKUP($A24,DATA!$A$3:$F$301,3,FALSE))^2),"")</f>
        <v/>
      </c>
      <c r="CI24" s="14" t="str">
        <f>_xlfn.IFNA(SQRT((VLOOKUP(CI$1,DATA!$A$3:$F$301,2,FALSE)-VLOOKUP($A24,DATA!$A$3:$F$301,2,FALSE))^2+(VLOOKUP(CI$1,DATA!$A$3:$F$301,3,FALSE)-VLOOKUP($A24,DATA!$A$3:$F$301,3,FALSE))^2),"")</f>
        <v/>
      </c>
      <c r="CJ24" s="14" t="str">
        <f>_xlfn.IFNA(SQRT((VLOOKUP(CJ$1,DATA!$A$3:$F$301,2,FALSE)-VLOOKUP($A24,DATA!$A$3:$F$301,2,FALSE))^2+(VLOOKUP(CJ$1,DATA!$A$3:$F$301,3,FALSE)-VLOOKUP($A24,DATA!$A$3:$F$301,3,FALSE))^2),"")</f>
        <v/>
      </c>
      <c r="CK24" s="14" t="str">
        <f>_xlfn.IFNA(SQRT((VLOOKUP(CK$1,DATA!$A$3:$F$301,2,FALSE)-VLOOKUP($A24,DATA!$A$3:$F$301,2,FALSE))^2+(VLOOKUP(CK$1,DATA!$A$3:$F$301,3,FALSE)-VLOOKUP($A24,DATA!$A$3:$F$301,3,FALSE))^2),"")</f>
        <v/>
      </c>
      <c r="CL24" s="14" t="str">
        <f>_xlfn.IFNA(SQRT((VLOOKUP(CL$1,DATA!$A$3:$F$301,2,FALSE)-VLOOKUP($A24,DATA!$A$3:$F$301,2,FALSE))^2+(VLOOKUP(CL$1,DATA!$A$3:$F$301,3,FALSE)-VLOOKUP($A24,DATA!$A$3:$F$301,3,FALSE))^2),"")</f>
        <v/>
      </c>
      <c r="CM24" s="14" t="str">
        <f>_xlfn.IFNA(SQRT((VLOOKUP(CM$1,DATA!$A$3:$F$301,2,FALSE)-VLOOKUP($A24,DATA!$A$3:$F$301,2,FALSE))^2+(VLOOKUP(CM$1,DATA!$A$3:$F$301,3,FALSE)-VLOOKUP($A24,DATA!$A$3:$F$301,3,FALSE))^2),"")</f>
        <v/>
      </c>
      <c r="CN24" s="14" t="str">
        <f>_xlfn.IFNA(SQRT((VLOOKUP(CN$1,DATA!$A$3:$F$301,2,FALSE)-VLOOKUP($A24,DATA!$A$3:$F$301,2,FALSE))^2+(VLOOKUP(CN$1,DATA!$A$3:$F$301,3,FALSE)-VLOOKUP($A24,DATA!$A$3:$F$301,3,FALSE))^2),"")</f>
        <v/>
      </c>
      <c r="CO24" s="14" t="str">
        <f>_xlfn.IFNA(SQRT((VLOOKUP(CO$1,DATA!$A$3:$F$301,2,FALSE)-VLOOKUP($A24,DATA!$A$3:$F$301,2,FALSE))^2+(VLOOKUP(CO$1,DATA!$A$3:$F$301,3,FALSE)-VLOOKUP($A24,DATA!$A$3:$F$301,3,FALSE))^2),"")</f>
        <v/>
      </c>
      <c r="CP24" s="14" t="str">
        <f>_xlfn.IFNA(SQRT((VLOOKUP(CP$1,DATA!$A$3:$F$301,2,FALSE)-VLOOKUP($A24,DATA!$A$3:$F$301,2,FALSE))^2+(VLOOKUP(CP$1,DATA!$A$3:$F$301,3,FALSE)-VLOOKUP($A24,DATA!$A$3:$F$301,3,FALSE))^2),"")</f>
        <v/>
      </c>
      <c r="CQ24" s="14" t="str">
        <f>_xlfn.IFNA(SQRT((VLOOKUP(CQ$1,DATA!$A$3:$F$301,2,FALSE)-VLOOKUP($A24,DATA!$A$3:$F$301,2,FALSE))^2+(VLOOKUP(CQ$1,DATA!$A$3:$F$301,3,FALSE)-VLOOKUP($A24,DATA!$A$3:$F$301,3,FALSE))^2),"")</f>
        <v/>
      </c>
      <c r="CR24" s="14" t="str">
        <f>_xlfn.IFNA(SQRT((VLOOKUP(CR$1,DATA!$A$3:$F$301,2,FALSE)-VLOOKUP($A24,DATA!$A$3:$F$301,2,FALSE))^2+(VLOOKUP(CR$1,DATA!$A$3:$F$301,3,FALSE)-VLOOKUP($A24,DATA!$A$3:$F$301,3,FALSE))^2),"")</f>
        <v/>
      </c>
      <c r="CS24" s="14" t="str">
        <f>_xlfn.IFNA(SQRT((VLOOKUP(CS$1,DATA!$A$3:$F$301,2,FALSE)-VLOOKUP($A24,DATA!$A$3:$F$301,2,FALSE))^2+(VLOOKUP(CS$1,DATA!$A$3:$F$301,3,FALSE)-VLOOKUP($A24,DATA!$A$3:$F$301,3,FALSE))^2),"")</f>
        <v/>
      </c>
      <c r="CT24" s="14" t="str">
        <f>_xlfn.IFNA(SQRT((VLOOKUP(CT$1,DATA!$A$3:$F$301,2,FALSE)-VLOOKUP($A24,DATA!$A$3:$F$301,2,FALSE))^2+(VLOOKUP(CT$1,DATA!$A$3:$F$301,3,FALSE)-VLOOKUP($A24,DATA!$A$3:$F$301,3,FALSE))^2),"")</f>
        <v/>
      </c>
      <c r="CU24" s="14" t="str">
        <f>_xlfn.IFNA(SQRT((VLOOKUP(CU$1,DATA!$A$3:$F$301,2,FALSE)-VLOOKUP($A24,DATA!$A$3:$F$301,2,FALSE))^2+(VLOOKUP(CU$1,DATA!$A$3:$F$301,3,FALSE)-VLOOKUP($A24,DATA!$A$3:$F$301,3,FALSE))^2),"")</f>
        <v/>
      </c>
      <c r="CV24" s="14" t="str">
        <f>_xlfn.IFNA(SQRT((VLOOKUP(CV$1,DATA!$A$3:$F$301,2,FALSE)-VLOOKUP($A24,DATA!$A$3:$F$301,2,FALSE))^2+(VLOOKUP(CV$1,DATA!$A$3:$F$301,3,FALSE)-VLOOKUP($A24,DATA!$A$3:$F$301,3,FALSE))^2),"")</f>
        <v/>
      </c>
      <c r="CW24" s="14" t="str">
        <f>_xlfn.IFNA(SQRT((VLOOKUP(CW$1,DATA!$A$3:$F$301,2,FALSE)-VLOOKUP($A24,DATA!$A$3:$F$301,2,FALSE))^2+(VLOOKUP(CW$1,DATA!$A$3:$F$301,3,FALSE)-VLOOKUP($A24,DATA!$A$3:$F$301,3,FALSE))^2),"")</f>
        <v/>
      </c>
      <c r="CX24" s="14" t="str">
        <f>_xlfn.IFNA(SQRT((VLOOKUP(CX$1,DATA!$A$3:$F$301,2,FALSE)-VLOOKUP($A24,DATA!$A$3:$F$301,2,FALSE))^2+(VLOOKUP(CX$1,DATA!$A$3:$F$301,3,FALSE)-VLOOKUP($A24,DATA!$A$3:$F$301,3,FALSE))^2),"")</f>
        <v/>
      </c>
    </row>
    <row r="25" spans="1:102">
      <c r="A25" s="13">
        <v>24</v>
      </c>
      <c r="B25" s="14">
        <f>_xlfn.IFNA(SQRT((VLOOKUP(B$1,DATA!$A$3:$F$301,2,FALSE)-VLOOKUP($A25,DATA!$A$3:$F$301,2,FALSE))^2+(VLOOKUP(B$1,DATA!$A$3:$F$301,3,FALSE)-VLOOKUP($A25,DATA!$A$3:$F$301,3,FALSE))^2),"")</f>
        <v>32.649655434629018</v>
      </c>
      <c r="C25" s="14">
        <f>_xlfn.IFNA(SQRT((VLOOKUP(C$1,DATA!$A$3:$F$301,2,FALSE)-VLOOKUP($A25,DATA!$A$3:$F$301,2,FALSE))^2+(VLOOKUP(C$1,DATA!$A$3:$F$301,3,FALSE)-VLOOKUP($A25,DATA!$A$3:$F$301,3,FALSE))^2),"")</f>
        <v>36.055512754639892</v>
      </c>
      <c r="D25" s="14">
        <f>_xlfn.IFNA(SQRT((VLOOKUP(D$1,DATA!$A$3:$F$301,2,FALSE)-VLOOKUP($A25,DATA!$A$3:$F$301,2,FALSE))^2+(VLOOKUP(D$1,DATA!$A$3:$F$301,3,FALSE)-VLOOKUP($A25,DATA!$A$3:$F$301,3,FALSE))^2),"")</f>
        <v>41.400483088968905</v>
      </c>
      <c r="E25" s="14">
        <f>_xlfn.IFNA(SQRT((VLOOKUP(E$1,DATA!$A$3:$F$301,2,FALSE)-VLOOKUP($A25,DATA!$A$3:$F$301,2,FALSE))^2+(VLOOKUP(E$1,DATA!$A$3:$F$301,3,FALSE)-VLOOKUP($A25,DATA!$A$3:$F$301,3,FALSE))^2),"")</f>
        <v>33.421549934136806</v>
      </c>
      <c r="F25" s="14">
        <f>_xlfn.IFNA(SQRT((VLOOKUP(F$1,DATA!$A$3:$F$301,2,FALSE)-VLOOKUP($A25,DATA!$A$3:$F$301,2,FALSE))^2+(VLOOKUP(F$1,DATA!$A$3:$F$301,3,FALSE)-VLOOKUP($A25,DATA!$A$3:$F$301,3,FALSE))^2),"")</f>
        <v>34.132096331752024</v>
      </c>
      <c r="G25" s="14">
        <f>_xlfn.IFNA(SQRT((VLOOKUP(G$1,DATA!$A$3:$F$301,2,FALSE)-VLOOKUP($A25,DATA!$A$3:$F$301,2,FALSE))^2+(VLOOKUP(G$1,DATA!$A$3:$F$301,3,FALSE)-VLOOKUP($A25,DATA!$A$3:$F$301,3,FALSE))^2),"")</f>
        <v>12.649110640673518</v>
      </c>
      <c r="H25" s="14">
        <f>_xlfn.IFNA(SQRT((VLOOKUP(H$1,DATA!$A$3:$F$301,2,FALSE)-VLOOKUP($A25,DATA!$A$3:$F$301,2,FALSE))^2+(VLOOKUP(H$1,DATA!$A$3:$F$301,3,FALSE)-VLOOKUP($A25,DATA!$A$3:$F$301,3,FALSE))^2),"")</f>
        <v>22.561028345356956</v>
      </c>
      <c r="I25" s="14">
        <f>_xlfn.IFNA(SQRT((VLOOKUP(I$1,DATA!$A$3:$F$301,2,FALSE)-VLOOKUP($A25,DATA!$A$3:$F$301,2,FALSE))^2+(VLOOKUP(I$1,DATA!$A$3:$F$301,3,FALSE)-VLOOKUP($A25,DATA!$A$3:$F$301,3,FALSE))^2),"")</f>
        <v>1.4142135623730951</v>
      </c>
      <c r="J25" s="14">
        <f>_xlfn.IFNA(SQRT((VLOOKUP(J$1,DATA!$A$3:$F$301,2,FALSE)-VLOOKUP($A25,DATA!$A$3:$F$301,2,FALSE))^2+(VLOOKUP(J$1,DATA!$A$3:$F$301,3,FALSE)-VLOOKUP($A25,DATA!$A$3:$F$301,3,FALSE))^2),"")</f>
        <v>19.416487838947599</v>
      </c>
      <c r="K25" s="14">
        <f>_xlfn.IFNA(SQRT((VLOOKUP(K$1,DATA!$A$3:$F$301,2,FALSE)-VLOOKUP($A25,DATA!$A$3:$F$301,2,FALSE))^2+(VLOOKUP(K$1,DATA!$A$3:$F$301,3,FALSE)-VLOOKUP($A25,DATA!$A$3:$F$301,3,FALSE))^2),"")</f>
        <v>45.254833995939045</v>
      </c>
      <c r="L25" s="14">
        <f>_xlfn.IFNA(SQRT((VLOOKUP(L$1,DATA!$A$3:$F$301,2,FALSE)-VLOOKUP($A25,DATA!$A$3:$F$301,2,FALSE))^2+(VLOOKUP(L$1,DATA!$A$3:$F$301,3,FALSE)-VLOOKUP($A25,DATA!$A$3:$F$301,3,FALSE))^2),"")</f>
        <v>6.324555320336759</v>
      </c>
      <c r="M25" s="14">
        <f>_xlfn.IFNA(SQRT((VLOOKUP(M$1,DATA!$A$3:$F$301,2,FALSE)-VLOOKUP($A25,DATA!$A$3:$F$301,2,FALSE))^2+(VLOOKUP(M$1,DATA!$A$3:$F$301,3,FALSE)-VLOOKUP($A25,DATA!$A$3:$F$301,3,FALSE))^2),"")</f>
        <v>24.698178070456937</v>
      </c>
      <c r="N25" s="14">
        <f>_xlfn.IFNA(SQRT((VLOOKUP(N$1,DATA!$A$3:$F$301,2,FALSE)-VLOOKUP($A25,DATA!$A$3:$F$301,2,FALSE))^2+(VLOOKUP(N$1,DATA!$A$3:$F$301,3,FALSE)-VLOOKUP($A25,DATA!$A$3:$F$301,3,FALSE))^2),"")</f>
        <v>27.586228448267445</v>
      </c>
      <c r="O25" s="14">
        <f>_xlfn.IFNA(SQRT((VLOOKUP(O$1,DATA!$A$3:$F$301,2,FALSE)-VLOOKUP($A25,DATA!$A$3:$F$301,2,FALSE))^2+(VLOOKUP(O$1,DATA!$A$3:$F$301,3,FALSE)-VLOOKUP($A25,DATA!$A$3:$F$301,3,FALSE))^2),"")</f>
        <v>37.363083384538811</v>
      </c>
      <c r="P25" s="14">
        <f>_xlfn.IFNA(SQRT((VLOOKUP(P$1,DATA!$A$3:$F$301,2,FALSE)-VLOOKUP($A25,DATA!$A$3:$F$301,2,FALSE))^2+(VLOOKUP(P$1,DATA!$A$3:$F$301,3,FALSE)-VLOOKUP($A25,DATA!$A$3:$F$301,3,FALSE))^2),"")</f>
        <v>10.295630140987001</v>
      </c>
      <c r="Q25" s="14">
        <f>_xlfn.IFNA(SQRT((VLOOKUP(Q$1,DATA!$A$3:$F$301,2,FALSE)-VLOOKUP($A25,DATA!$A$3:$F$301,2,FALSE))^2+(VLOOKUP(Q$1,DATA!$A$3:$F$301,3,FALSE)-VLOOKUP($A25,DATA!$A$3:$F$301,3,FALSE))^2),"")</f>
        <v>12.165525060596439</v>
      </c>
      <c r="R25" s="14">
        <f>_xlfn.IFNA(SQRT((VLOOKUP(R$1,DATA!$A$3:$F$301,2,FALSE)-VLOOKUP($A25,DATA!$A$3:$F$301,2,FALSE))^2+(VLOOKUP(R$1,DATA!$A$3:$F$301,3,FALSE)-VLOOKUP($A25,DATA!$A$3:$F$301,3,FALSE))^2),"")</f>
        <v>35.510561809129406</v>
      </c>
      <c r="S25" s="14">
        <f>_xlfn.IFNA(SQRT((VLOOKUP(S$1,DATA!$A$3:$F$301,2,FALSE)-VLOOKUP($A25,DATA!$A$3:$F$301,2,FALSE))^2+(VLOOKUP(S$1,DATA!$A$3:$F$301,3,FALSE)-VLOOKUP($A25,DATA!$A$3:$F$301,3,FALSE))^2),"")</f>
        <v>10.63014581273465</v>
      </c>
      <c r="T25" s="14">
        <f>_xlfn.IFNA(SQRT((VLOOKUP(T$1,DATA!$A$3:$F$301,2,FALSE)-VLOOKUP($A25,DATA!$A$3:$F$301,2,FALSE))^2+(VLOOKUP(T$1,DATA!$A$3:$F$301,3,FALSE)-VLOOKUP($A25,DATA!$A$3:$F$301,3,FALSE))^2),"")</f>
        <v>27.513632984395208</v>
      </c>
      <c r="U25" s="14">
        <f>_xlfn.IFNA(SQRT((VLOOKUP(U$1,DATA!$A$3:$F$301,2,FALSE)-VLOOKUP($A25,DATA!$A$3:$F$301,2,FALSE))^2+(VLOOKUP(U$1,DATA!$A$3:$F$301,3,FALSE)-VLOOKUP($A25,DATA!$A$3:$F$301,3,FALSE))^2),"")</f>
        <v>31.953090617340916</v>
      </c>
      <c r="V25" s="14">
        <f>_xlfn.IFNA(SQRT((VLOOKUP(V$1,DATA!$A$3:$F$301,2,FALSE)-VLOOKUP($A25,DATA!$A$3:$F$301,2,FALSE))^2+(VLOOKUP(V$1,DATA!$A$3:$F$301,3,FALSE)-VLOOKUP($A25,DATA!$A$3:$F$301,3,FALSE))^2),"")</f>
        <v>20.09975124224178</v>
      </c>
      <c r="W25" s="14">
        <f>_xlfn.IFNA(SQRT((VLOOKUP(W$1,DATA!$A$3:$F$301,2,FALSE)-VLOOKUP($A25,DATA!$A$3:$F$301,2,FALSE))^2+(VLOOKUP(W$1,DATA!$A$3:$F$301,3,FALSE)-VLOOKUP($A25,DATA!$A$3:$F$301,3,FALSE))^2),"")</f>
        <v>27.073972741361768</v>
      </c>
      <c r="X25" s="14">
        <f>_xlfn.IFNA(SQRT((VLOOKUP(X$1,DATA!$A$3:$F$301,2,FALSE)-VLOOKUP($A25,DATA!$A$3:$F$301,2,FALSE))^2+(VLOOKUP(X$1,DATA!$A$3:$F$301,3,FALSE)-VLOOKUP($A25,DATA!$A$3:$F$301,3,FALSE))^2),"")</f>
        <v>29.120439557122072</v>
      </c>
      <c r="Y25" s="14">
        <f>_xlfn.IFNA(SQRT((VLOOKUP(Y$1,DATA!$A$3:$F$301,2,FALSE)-VLOOKUP($A25,DATA!$A$3:$F$301,2,FALSE))^2+(VLOOKUP(Y$1,DATA!$A$3:$F$301,3,FALSE)-VLOOKUP($A25,DATA!$A$3:$F$301,3,FALSE))^2),"")</f>
        <v>0</v>
      </c>
      <c r="Z25" s="14">
        <f>_xlfn.IFNA(SQRT((VLOOKUP(Z$1,DATA!$A$3:$F$301,2,FALSE)-VLOOKUP($A25,DATA!$A$3:$F$301,2,FALSE))^2+(VLOOKUP(Z$1,DATA!$A$3:$F$301,3,FALSE)-VLOOKUP($A25,DATA!$A$3:$F$301,3,FALSE))^2),"")</f>
        <v>36.878177829171548</v>
      </c>
      <c r="AA25" s="14">
        <f>_xlfn.IFNA(SQRT((VLOOKUP(AA$1,DATA!$A$3:$F$301,2,FALSE)-VLOOKUP($A25,DATA!$A$3:$F$301,2,FALSE))^2+(VLOOKUP(AA$1,DATA!$A$3:$F$301,3,FALSE)-VLOOKUP($A25,DATA!$A$3:$F$301,3,FALSE))^2),"")</f>
        <v>14.035668847618199</v>
      </c>
      <c r="AB25" s="14">
        <f>_xlfn.IFNA(SQRT((VLOOKUP(AB$1,DATA!$A$3:$F$301,2,FALSE)-VLOOKUP($A25,DATA!$A$3:$F$301,2,FALSE))^2+(VLOOKUP(AB$1,DATA!$A$3:$F$301,3,FALSE)-VLOOKUP($A25,DATA!$A$3:$F$301,3,FALSE))^2),"")</f>
        <v>44.204072210600685</v>
      </c>
      <c r="AC25" s="14">
        <f>_xlfn.IFNA(SQRT((VLOOKUP(AC$1,DATA!$A$3:$F$301,2,FALSE)-VLOOKUP($A25,DATA!$A$3:$F$301,2,FALSE))^2+(VLOOKUP(AC$1,DATA!$A$3:$F$301,3,FALSE)-VLOOKUP($A25,DATA!$A$3:$F$301,3,FALSE))^2),"")</f>
        <v>25.019992006393608</v>
      </c>
      <c r="AD25" s="14">
        <f>_xlfn.IFNA(SQRT((VLOOKUP(AD$1,DATA!$A$3:$F$301,2,FALSE)-VLOOKUP($A25,DATA!$A$3:$F$301,2,FALSE))^2+(VLOOKUP(AD$1,DATA!$A$3:$F$301,3,FALSE)-VLOOKUP($A25,DATA!$A$3:$F$301,3,FALSE))^2),"")</f>
        <v>31.575306807693888</v>
      </c>
      <c r="AE25" s="14">
        <f>_xlfn.IFNA(SQRT((VLOOKUP(AE$1,DATA!$A$3:$F$301,2,FALSE)-VLOOKUP($A25,DATA!$A$3:$F$301,2,FALSE))^2+(VLOOKUP(AE$1,DATA!$A$3:$F$301,3,FALSE)-VLOOKUP($A25,DATA!$A$3:$F$301,3,FALSE))^2),"")</f>
        <v>41</v>
      </c>
      <c r="AF25" s="14">
        <f>_xlfn.IFNA(SQRT((VLOOKUP(AF$1,DATA!$A$3:$F$301,2,FALSE)-VLOOKUP($A25,DATA!$A$3:$F$301,2,FALSE))^2+(VLOOKUP(AF$1,DATA!$A$3:$F$301,3,FALSE)-VLOOKUP($A25,DATA!$A$3:$F$301,3,FALSE))^2),"")</f>
        <v>30.413812651491099</v>
      </c>
      <c r="AG25" s="14">
        <f>_xlfn.IFNA(SQRT((VLOOKUP(AG$1,DATA!$A$3:$F$301,2,FALSE)-VLOOKUP($A25,DATA!$A$3:$F$301,2,FALSE))^2+(VLOOKUP(AG$1,DATA!$A$3:$F$301,3,FALSE)-VLOOKUP($A25,DATA!$A$3:$F$301,3,FALSE))^2),"")</f>
        <v>25.019992006393608</v>
      </c>
      <c r="AH25" s="14">
        <f>_xlfn.IFNA(SQRT((VLOOKUP(AH$1,DATA!$A$3:$F$301,2,FALSE)-VLOOKUP($A25,DATA!$A$3:$F$301,2,FALSE))^2+(VLOOKUP(AH$1,DATA!$A$3:$F$301,3,FALSE)-VLOOKUP($A25,DATA!$A$3:$F$301,3,FALSE))^2),"")</f>
        <v>16.970562748477139</v>
      </c>
      <c r="AI25" s="14">
        <f>_xlfn.IFNA(SQRT((VLOOKUP(AI$1,DATA!$A$3:$F$301,2,FALSE)-VLOOKUP($A25,DATA!$A$3:$F$301,2,FALSE))^2+(VLOOKUP(AI$1,DATA!$A$3:$F$301,3,FALSE)-VLOOKUP($A25,DATA!$A$3:$F$301,3,FALSE))^2),"")</f>
        <v>36.138621999185304</v>
      </c>
      <c r="AJ25" s="14">
        <f>_xlfn.IFNA(SQRT((VLOOKUP(AJ$1,DATA!$A$3:$F$301,2,FALSE)-VLOOKUP($A25,DATA!$A$3:$F$301,2,FALSE))^2+(VLOOKUP(AJ$1,DATA!$A$3:$F$301,3,FALSE)-VLOOKUP($A25,DATA!$A$3:$F$301,3,FALSE))^2),"")</f>
        <v>15.811388300841896</v>
      </c>
      <c r="AK25" s="14">
        <f>_xlfn.IFNA(SQRT((VLOOKUP(AK$1,DATA!$A$3:$F$301,2,FALSE)-VLOOKUP($A25,DATA!$A$3:$F$301,2,FALSE))^2+(VLOOKUP(AK$1,DATA!$A$3:$F$301,3,FALSE)-VLOOKUP($A25,DATA!$A$3:$F$301,3,FALSE))^2),"")</f>
        <v>18.973665961010276</v>
      </c>
      <c r="AL25" s="14">
        <f>_xlfn.IFNA(SQRT((VLOOKUP(AL$1,DATA!$A$3:$F$301,2,FALSE)-VLOOKUP($A25,DATA!$A$3:$F$301,2,FALSE))^2+(VLOOKUP(AL$1,DATA!$A$3:$F$301,3,FALSE)-VLOOKUP($A25,DATA!$A$3:$F$301,3,FALSE))^2),"")</f>
        <v>11.401754250991379</v>
      </c>
      <c r="AM25" s="14">
        <f>_xlfn.IFNA(SQRT((VLOOKUP(AM$1,DATA!$A$3:$F$301,2,FALSE)-VLOOKUP($A25,DATA!$A$3:$F$301,2,FALSE))^2+(VLOOKUP(AM$1,DATA!$A$3:$F$301,3,FALSE)-VLOOKUP($A25,DATA!$A$3:$F$301,3,FALSE))^2),"")</f>
        <v>17.464249196572979</v>
      </c>
      <c r="AN25" s="14">
        <f>_xlfn.IFNA(SQRT((VLOOKUP(AN$1,DATA!$A$3:$F$301,2,FALSE)-VLOOKUP($A25,DATA!$A$3:$F$301,2,FALSE))^2+(VLOOKUP(AN$1,DATA!$A$3:$F$301,3,FALSE)-VLOOKUP($A25,DATA!$A$3:$F$301,3,FALSE))^2),"")</f>
        <v>32.557641192199412</v>
      </c>
      <c r="AO25" s="14">
        <f>_xlfn.IFNA(SQRT((VLOOKUP(AO$1,DATA!$A$3:$F$301,2,FALSE)-VLOOKUP($A25,DATA!$A$3:$F$301,2,FALSE))^2+(VLOOKUP(AO$1,DATA!$A$3:$F$301,3,FALSE)-VLOOKUP($A25,DATA!$A$3:$F$301,3,FALSE))^2),"")</f>
        <v>19.313207915827967</v>
      </c>
      <c r="AP25" s="14" t="str">
        <f>_xlfn.IFNA(SQRT((VLOOKUP(AP$1,DATA!$A$3:$F$301,2,FALSE)-VLOOKUP($A25,DATA!$A$3:$F$301,2,FALSE))^2+(VLOOKUP(AP$1,DATA!$A$3:$F$301,3,FALSE)-VLOOKUP($A25,DATA!$A$3:$F$301,3,FALSE))^2),"")</f>
        <v/>
      </c>
      <c r="AQ25" s="14" t="str">
        <f>_xlfn.IFNA(SQRT((VLOOKUP(AQ$1,DATA!$A$3:$F$301,2,FALSE)-VLOOKUP($A25,DATA!$A$3:$F$301,2,FALSE))^2+(VLOOKUP(AQ$1,DATA!$A$3:$F$301,3,FALSE)-VLOOKUP($A25,DATA!$A$3:$F$301,3,FALSE))^2),"")</f>
        <v/>
      </c>
      <c r="AR25" s="14" t="str">
        <f>_xlfn.IFNA(SQRT((VLOOKUP(AR$1,DATA!$A$3:$F$301,2,FALSE)-VLOOKUP($A25,DATA!$A$3:$F$301,2,FALSE))^2+(VLOOKUP(AR$1,DATA!$A$3:$F$301,3,FALSE)-VLOOKUP($A25,DATA!$A$3:$F$301,3,FALSE))^2),"")</f>
        <v/>
      </c>
      <c r="AS25" s="14" t="str">
        <f>_xlfn.IFNA(SQRT((VLOOKUP(AS$1,DATA!$A$3:$F$301,2,FALSE)-VLOOKUP($A25,DATA!$A$3:$F$301,2,FALSE))^2+(VLOOKUP(AS$1,DATA!$A$3:$F$301,3,FALSE)-VLOOKUP($A25,DATA!$A$3:$F$301,3,FALSE))^2),"")</f>
        <v/>
      </c>
      <c r="AT25" s="14" t="str">
        <f>_xlfn.IFNA(SQRT((VLOOKUP(AT$1,DATA!$A$3:$F$301,2,FALSE)-VLOOKUP($A25,DATA!$A$3:$F$301,2,FALSE))^2+(VLOOKUP(AT$1,DATA!$A$3:$F$301,3,FALSE)-VLOOKUP($A25,DATA!$A$3:$F$301,3,FALSE))^2),"")</f>
        <v/>
      </c>
      <c r="AU25" s="14" t="str">
        <f>_xlfn.IFNA(SQRT((VLOOKUP(AU$1,DATA!$A$3:$F$301,2,FALSE)-VLOOKUP($A25,DATA!$A$3:$F$301,2,FALSE))^2+(VLOOKUP(AU$1,DATA!$A$3:$F$301,3,FALSE)-VLOOKUP($A25,DATA!$A$3:$F$301,3,FALSE))^2),"")</f>
        <v/>
      </c>
      <c r="AV25" s="14" t="str">
        <f>_xlfn.IFNA(SQRT((VLOOKUP(AV$1,DATA!$A$3:$F$301,2,FALSE)-VLOOKUP($A25,DATA!$A$3:$F$301,2,FALSE))^2+(VLOOKUP(AV$1,DATA!$A$3:$F$301,3,FALSE)-VLOOKUP($A25,DATA!$A$3:$F$301,3,FALSE))^2),"")</f>
        <v/>
      </c>
      <c r="AW25" s="14" t="str">
        <f>_xlfn.IFNA(SQRT((VLOOKUP(AW$1,DATA!$A$3:$F$301,2,FALSE)-VLOOKUP($A25,DATA!$A$3:$F$301,2,FALSE))^2+(VLOOKUP(AW$1,DATA!$A$3:$F$301,3,FALSE)-VLOOKUP($A25,DATA!$A$3:$F$301,3,FALSE))^2),"")</f>
        <v/>
      </c>
      <c r="AX25" s="14" t="str">
        <f>_xlfn.IFNA(SQRT((VLOOKUP(AX$1,DATA!$A$3:$F$301,2,FALSE)-VLOOKUP($A25,DATA!$A$3:$F$301,2,FALSE))^2+(VLOOKUP(AX$1,DATA!$A$3:$F$301,3,FALSE)-VLOOKUP($A25,DATA!$A$3:$F$301,3,FALSE))^2),"")</f>
        <v/>
      </c>
      <c r="AY25" s="14" t="str">
        <f>_xlfn.IFNA(SQRT((VLOOKUP(AY$1,DATA!$A$3:$F$301,2,FALSE)-VLOOKUP($A25,DATA!$A$3:$F$301,2,FALSE))^2+(VLOOKUP(AY$1,DATA!$A$3:$F$301,3,FALSE)-VLOOKUP($A25,DATA!$A$3:$F$301,3,FALSE))^2),"")</f>
        <v/>
      </c>
      <c r="AZ25" s="14" t="str">
        <f>_xlfn.IFNA(SQRT((VLOOKUP(AZ$1,DATA!$A$3:$F$301,2,FALSE)-VLOOKUP($A25,DATA!$A$3:$F$301,2,FALSE))^2+(VLOOKUP(AZ$1,DATA!$A$3:$F$301,3,FALSE)-VLOOKUP($A25,DATA!$A$3:$F$301,3,FALSE))^2),"")</f>
        <v/>
      </c>
      <c r="BA25" s="14" t="str">
        <f>_xlfn.IFNA(SQRT((VLOOKUP(BA$1,DATA!$A$3:$F$301,2,FALSE)-VLOOKUP($A25,DATA!$A$3:$F$301,2,FALSE))^2+(VLOOKUP(BA$1,DATA!$A$3:$F$301,3,FALSE)-VLOOKUP($A25,DATA!$A$3:$F$301,3,FALSE))^2),"")</f>
        <v/>
      </c>
      <c r="BB25" s="14" t="str">
        <f>_xlfn.IFNA(SQRT((VLOOKUP(BB$1,DATA!$A$3:$F$301,2,FALSE)-VLOOKUP($A25,DATA!$A$3:$F$301,2,FALSE))^2+(VLOOKUP(BB$1,DATA!$A$3:$F$301,3,FALSE)-VLOOKUP($A25,DATA!$A$3:$F$301,3,FALSE))^2),"")</f>
        <v/>
      </c>
      <c r="BC25" s="14" t="str">
        <f>_xlfn.IFNA(SQRT((VLOOKUP(BC$1,DATA!$A$3:$F$301,2,FALSE)-VLOOKUP($A25,DATA!$A$3:$F$301,2,FALSE))^2+(VLOOKUP(BC$1,DATA!$A$3:$F$301,3,FALSE)-VLOOKUP($A25,DATA!$A$3:$F$301,3,FALSE))^2),"")</f>
        <v/>
      </c>
      <c r="BD25" s="14" t="str">
        <f>_xlfn.IFNA(SQRT((VLOOKUP(BD$1,DATA!$A$3:$F$301,2,FALSE)-VLOOKUP($A25,DATA!$A$3:$F$301,2,FALSE))^2+(VLOOKUP(BD$1,DATA!$A$3:$F$301,3,FALSE)-VLOOKUP($A25,DATA!$A$3:$F$301,3,FALSE))^2),"")</f>
        <v/>
      </c>
      <c r="BE25" s="14" t="str">
        <f>_xlfn.IFNA(SQRT((VLOOKUP(BE$1,DATA!$A$3:$F$301,2,FALSE)-VLOOKUP($A25,DATA!$A$3:$F$301,2,FALSE))^2+(VLOOKUP(BE$1,DATA!$A$3:$F$301,3,FALSE)-VLOOKUP($A25,DATA!$A$3:$F$301,3,FALSE))^2),"")</f>
        <v/>
      </c>
      <c r="BF25" s="14" t="str">
        <f>_xlfn.IFNA(SQRT((VLOOKUP(BF$1,DATA!$A$3:$F$301,2,FALSE)-VLOOKUP($A25,DATA!$A$3:$F$301,2,FALSE))^2+(VLOOKUP(BF$1,DATA!$A$3:$F$301,3,FALSE)-VLOOKUP($A25,DATA!$A$3:$F$301,3,FALSE))^2),"")</f>
        <v/>
      </c>
      <c r="BG25" s="14" t="str">
        <f>_xlfn.IFNA(SQRT((VLOOKUP(BG$1,DATA!$A$3:$F$301,2,FALSE)-VLOOKUP($A25,DATA!$A$3:$F$301,2,FALSE))^2+(VLOOKUP(BG$1,DATA!$A$3:$F$301,3,FALSE)-VLOOKUP($A25,DATA!$A$3:$F$301,3,FALSE))^2),"")</f>
        <v/>
      </c>
      <c r="BH25" s="14" t="str">
        <f>_xlfn.IFNA(SQRT((VLOOKUP(BH$1,DATA!$A$3:$F$301,2,FALSE)-VLOOKUP($A25,DATA!$A$3:$F$301,2,FALSE))^2+(VLOOKUP(BH$1,DATA!$A$3:$F$301,3,FALSE)-VLOOKUP($A25,DATA!$A$3:$F$301,3,FALSE))^2),"")</f>
        <v/>
      </c>
      <c r="BI25" s="14" t="str">
        <f>_xlfn.IFNA(SQRT((VLOOKUP(BI$1,DATA!$A$3:$F$301,2,FALSE)-VLOOKUP($A25,DATA!$A$3:$F$301,2,FALSE))^2+(VLOOKUP(BI$1,DATA!$A$3:$F$301,3,FALSE)-VLOOKUP($A25,DATA!$A$3:$F$301,3,FALSE))^2),"")</f>
        <v/>
      </c>
      <c r="BJ25" s="14" t="str">
        <f>_xlfn.IFNA(SQRT((VLOOKUP(BJ$1,DATA!$A$3:$F$301,2,FALSE)-VLOOKUP($A25,DATA!$A$3:$F$301,2,FALSE))^2+(VLOOKUP(BJ$1,DATA!$A$3:$F$301,3,FALSE)-VLOOKUP($A25,DATA!$A$3:$F$301,3,FALSE))^2),"")</f>
        <v/>
      </c>
      <c r="BK25" s="14" t="str">
        <f>_xlfn.IFNA(SQRT((VLOOKUP(BK$1,DATA!$A$3:$F$301,2,FALSE)-VLOOKUP($A25,DATA!$A$3:$F$301,2,FALSE))^2+(VLOOKUP(BK$1,DATA!$A$3:$F$301,3,FALSE)-VLOOKUP($A25,DATA!$A$3:$F$301,3,FALSE))^2),"")</f>
        <v/>
      </c>
      <c r="BL25" s="14" t="str">
        <f>_xlfn.IFNA(SQRT((VLOOKUP(BL$1,DATA!$A$3:$F$301,2,FALSE)-VLOOKUP($A25,DATA!$A$3:$F$301,2,FALSE))^2+(VLOOKUP(BL$1,DATA!$A$3:$F$301,3,FALSE)-VLOOKUP($A25,DATA!$A$3:$F$301,3,FALSE))^2),"")</f>
        <v/>
      </c>
      <c r="BM25" s="14" t="str">
        <f>_xlfn.IFNA(SQRT((VLOOKUP(BM$1,DATA!$A$3:$F$301,2,FALSE)-VLOOKUP($A25,DATA!$A$3:$F$301,2,FALSE))^2+(VLOOKUP(BM$1,DATA!$A$3:$F$301,3,FALSE)-VLOOKUP($A25,DATA!$A$3:$F$301,3,FALSE))^2),"")</f>
        <v/>
      </c>
      <c r="BN25" s="14" t="str">
        <f>_xlfn.IFNA(SQRT((VLOOKUP(BN$1,DATA!$A$3:$F$301,2,FALSE)-VLOOKUP($A25,DATA!$A$3:$F$301,2,FALSE))^2+(VLOOKUP(BN$1,DATA!$A$3:$F$301,3,FALSE)-VLOOKUP($A25,DATA!$A$3:$F$301,3,FALSE))^2),"")</f>
        <v/>
      </c>
      <c r="BO25" s="14" t="str">
        <f>_xlfn.IFNA(SQRT((VLOOKUP(BO$1,DATA!$A$3:$F$301,2,FALSE)-VLOOKUP($A25,DATA!$A$3:$F$301,2,FALSE))^2+(VLOOKUP(BO$1,DATA!$A$3:$F$301,3,FALSE)-VLOOKUP($A25,DATA!$A$3:$F$301,3,FALSE))^2),"")</f>
        <v/>
      </c>
      <c r="BP25" s="14" t="str">
        <f>_xlfn.IFNA(SQRT((VLOOKUP(BP$1,DATA!$A$3:$F$301,2,FALSE)-VLOOKUP($A25,DATA!$A$3:$F$301,2,FALSE))^2+(VLOOKUP(BP$1,DATA!$A$3:$F$301,3,FALSE)-VLOOKUP($A25,DATA!$A$3:$F$301,3,FALSE))^2),"")</f>
        <v/>
      </c>
      <c r="BQ25" s="14" t="str">
        <f>_xlfn.IFNA(SQRT((VLOOKUP(BQ$1,DATA!$A$3:$F$301,2,FALSE)-VLOOKUP($A25,DATA!$A$3:$F$301,2,FALSE))^2+(VLOOKUP(BQ$1,DATA!$A$3:$F$301,3,FALSE)-VLOOKUP($A25,DATA!$A$3:$F$301,3,FALSE))^2),"")</f>
        <v/>
      </c>
      <c r="BR25" s="14" t="str">
        <f>_xlfn.IFNA(SQRT((VLOOKUP(BR$1,DATA!$A$3:$F$301,2,FALSE)-VLOOKUP($A25,DATA!$A$3:$F$301,2,FALSE))^2+(VLOOKUP(BR$1,DATA!$A$3:$F$301,3,FALSE)-VLOOKUP($A25,DATA!$A$3:$F$301,3,FALSE))^2),"")</f>
        <v/>
      </c>
      <c r="BS25" s="14" t="str">
        <f>_xlfn.IFNA(SQRT((VLOOKUP(BS$1,DATA!$A$3:$F$301,2,FALSE)-VLOOKUP($A25,DATA!$A$3:$F$301,2,FALSE))^2+(VLOOKUP(BS$1,DATA!$A$3:$F$301,3,FALSE)-VLOOKUP($A25,DATA!$A$3:$F$301,3,FALSE))^2),"")</f>
        <v/>
      </c>
      <c r="BT25" s="14" t="str">
        <f>_xlfn.IFNA(SQRT((VLOOKUP(BT$1,DATA!$A$3:$F$301,2,FALSE)-VLOOKUP($A25,DATA!$A$3:$F$301,2,FALSE))^2+(VLOOKUP(BT$1,DATA!$A$3:$F$301,3,FALSE)-VLOOKUP($A25,DATA!$A$3:$F$301,3,FALSE))^2),"")</f>
        <v/>
      </c>
      <c r="BU25" s="14" t="str">
        <f>_xlfn.IFNA(SQRT((VLOOKUP(BU$1,DATA!$A$3:$F$301,2,FALSE)-VLOOKUP($A25,DATA!$A$3:$F$301,2,FALSE))^2+(VLOOKUP(BU$1,DATA!$A$3:$F$301,3,FALSE)-VLOOKUP($A25,DATA!$A$3:$F$301,3,FALSE))^2),"")</f>
        <v/>
      </c>
      <c r="BV25" s="14" t="str">
        <f>_xlfn.IFNA(SQRT((VLOOKUP(BV$1,DATA!$A$3:$F$301,2,FALSE)-VLOOKUP($A25,DATA!$A$3:$F$301,2,FALSE))^2+(VLOOKUP(BV$1,DATA!$A$3:$F$301,3,FALSE)-VLOOKUP($A25,DATA!$A$3:$F$301,3,FALSE))^2),"")</f>
        <v/>
      </c>
      <c r="BW25" s="14" t="str">
        <f>_xlfn.IFNA(SQRT((VLOOKUP(BW$1,DATA!$A$3:$F$301,2,FALSE)-VLOOKUP($A25,DATA!$A$3:$F$301,2,FALSE))^2+(VLOOKUP(BW$1,DATA!$A$3:$F$301,3,FALSE)-VLOOKUP($A25,DATA!$A$3:$F$301,3,FALSE))^2),"")</f>
        <v/>
      </c>
      <c r="BX25" s="14" t="str">
        <f>_xlfn.IFNA(SQRT((VLOOKUP(BX$1,DATA!$A$3:$F$301,2,FALSE)-VLOOKUP($A25,DATA!$A$3:$F$301,2,FALSE))^2+(VLOOKUP(BX$1,DATA!$A$3:$F$301,3,FALSE)-VLOOKUP($A25,DATA!$A$3:$F$301,3,FALSE))^2),"")</f>
        <v/>
      </c>
      <c r="BY25" s="14" t="str">
        <f>_xlfn.IFNA(SQRT((VLOOKUP(BY$1,DATA!$A$3:$F$301,2,FALSE)-VLOOKUP($A25,DATA!$A$3:$F$301,2,FALSE))^2+(VLOOKUP(BY$1,DATA!$A$3:$F$301,3,FALSE)-VLOOKUP($A25,DATA!$A$3:$F$301,3,FALSE))^2),"")</f>
        <v/>
      </c>
      <c r="BZ25" s="14" t="str">
        <f>_xlfn.IFNA(SQRT((VLOOKUP(BZ$1,DATA!$A$3:$F$301,2,FALSE)-VLOOKUP($A25,DATA!$A$3:$F$301,2,FALSE))^2+(VLOOKUP(BZ$1,DATA!$A$3:$F$301,3,FALSE)-VLOOKUP($A25,DATA!$A$3:$F$301,3,FALSE))^2),"")</f>
        <v/>
      </c>
      <c r="CA25" s="14" t="str">
        <f>_xlfn.IFNA(SQRT((VLOOKUP(CA$1,DATA!$A$3:$F$301,2,FALSE)-VLOOKUP($A25,DATA!$A$3:$F$301,2,FALSE))^2+(VLOOKUP(CA$1,DATA!$A$3:$F$301,3,FALSE)-VLOOKUP($A25,DATA!$A$3:$F$301,3,FALSE))^2),"")</f>
        <v/>
      </c>
      <c r="CB25" s="14" t="str">
        <f>_xlfn.IFNA(SQRT((VLOOKUP(CB$1,DATA!$A$3:$F$301,2,FALSE)-VLOOKUP($A25,DATA!$A$3:$F$301,2,FALSE))^2+(VLOOKUP(CB$1,DATA!$A$3:$F$301,3,FALSE)-VLOOKUP($A25,DATA!$A$3:$F$301,3,FALSE))^2),"")</f>
        <v/>
      </c>
      <c r="CC25" s="14" t="str">
        <f>_xlfn.IFNA(SQRT((VLOOKUP(CC$1,DATA!$A$3:$F$301,2,FALSE)-VLOOKUP($A25,DATA!$A$3:$F$301,2,FALSE))^2+(VLOOKUP(CC$1,DATA!$A$3:$F$301,3,FALSE)-VLOOKUP($A25,DATA!$A$3:$F$301,3,FALSE))^2),"")</f>
        <v/>
      </c>
      <c r="CD25" s="14" t="str">
        <f>_xlfn.IFNA(SQRT((VLOOKUP(CD$1,DATA!$A$3:$F$301,2,FALSE)-VLOOKUP($A25,DATA!$A$3:$F$301,2,FALSE))^2+(VLOOKUP(CD$1,DATA!$A$3:$F$301,3,FALSE)-VLOOKUP($A25,DATA!$A$3:$F$301,3,FALSE))^2),"")</f>
        <v/>
      </c>
      <c r="CE25" s="14" t="str">
        <f>_xlfn.IFNA(SQRT((VLOOKUP(CE$1,DATA!$A$3:$F$301,2,FALSE)-VLOOKUP($A25,DATA!$A$3:$F$301,2,FALSE))^2+(VLOOKUP(CE$1,DATA!$A$3:$F$301,3,FALSE)-VLOOKUP($A25,DATA!$A$3:$F$301,3,FALSE))^2),"")</f>
        <v/>
      </c>
      <c r="CF25" s="14" t="str">
        <f>_xlfn.IFNA(SQRT((VLOOKUP(CF$1,DATA!$A$3:$F$301,2,FALSE)-VLOOKUP($A25,DATA!$A$3:$F$301,2,FALSE))^2+(VLOOKUP(CF$1,DATA!$A$3:$F$301,3,FALSE)-VLOOKUP($A25,DATA!$A$3:$F$301,3,FALSE))^2),"")</f>
        <v/>
      </c>
      <c r="CG25" s="14" t="str">
        <f>_xlfn.IFNA(SQRT((VLOOKUP(CG$1,DATA!$A$3:$F$301,2,FALSE)-VLOOKUP($A25,DATA!$A$3:$F$301,2,FALSE))^2+(VLOOKUP(CG$1,DATA!$A$3:$F$301,3,FALSE)-VLOOKUP($A25,DATA!$A$3:$F$301,3,FALSE))^2),"")</f>
        <v/>
      </c>
      <c r="CH25" s="14" t="str">
        <f>_xlfn.IFNA(SQRT((VLOOKUP(CH$1,DATA!$A$3:$F$301,2,FALSE)-VLOOKUP($A25,DATA!$A$3:$F$301,2,FALSE))^2+(VLOOKUP(CH$1,DATA!$A$3:$F$301,3,FALSE)-VLOOKUP($A25,DATA!$A$3:$F$301,3,FALSE))^2),"")</f>
        <v/>
      </c>
      <c r="CI25" s="14" t="str">
        <f>_xlfn.IFNA(SQRT((VLOOKUP(CI$1,DATA!$A$3:$F$301,2,FALSE)-VLOOKUP($A25,DATA!$A$3:$F$301,2,FALSE))^2+(VLOOKUP(CI$1,DATA!$A$3:$F$301,3,FALSE)-VLOOKUP($A25,DATA!$A$3:$F$301,3,FALSE))^2),"")</f>
        <v/>
      </c>
      <c r="CJ25" s="14" t="str">
        <f>_xlfn.IFNA(SQRT((VLOOKUP(CJ$1,DATA!$A$3:$F$301,2,FALSE)-VLOOKUP($A25,DATA!$A$3:$F$301,2,FALSE))^2+(VLOOKUP(CJ$1,DATA!$A$3:$F$301,3,FALSE)-VLOOKUP($A25,DATA!$A$3:$F$301,3,FALSE))^2),"")</f>
        <v/>
      </c>
      <c r="CK25" s="14" t="str">
        <f>_xlfn.IFNA(SQRT((VLOOKUP(CK$1,DATA!$A$3:$F$301,2,FALSE)-VLOOKUP($A25,DATA!$A$3:$F$301,2,FALSE))^2+(VLOOKUP(CK$1,DATA!$A$3:$F$301,3,FALSE)-VLOOKUP($A25,DATA!$A$3:$F$301,3,FALSE))^2),"")</f>
        <v/>
      </c>
      <c r="CL25" s="14" t="str">
        <f>_xlfn.IFNA(SQRT((VLOOKUP(CL$1,DATA!$A$3:$F$301,2,FALSE)-VLOOKUP($A25,DATA!$A$3:$F$301,2,FALSE))^2+(VLOOKUP(CL$1,DATA!$A$3:$F$301,3,FALSE)-VLOOKUP($A25,DATA!$A$3:$F$301,3,FALSE))^2),"")</f>
        <v/>
      </c>
      <c r="CM25" s="14" t="str">
        <f>_xlfn.IFNA(SQRT((VLOOKUP(CM$1,DATA!$A$3:$F$301,2,FALSE)-VLOOKUP($A25,DATA!$A$3:$F$301,2,FALSE))^2+(VLOOKUP(CM$1,DATA!$A$3:$F$301,3,FALSE)-VLOOKUP($A25,DATA!$A$3:$F$301,3,FALSE))^2),"")</f>
        <v/>
      </c>
      <c r="CN25" s="14" t="str">
        <f>_xlfn.IFNA(SQRT((VLOOKUP(CN$1,DATA!$A$3:$F$301,2,FALSE)-VLOOKUP($A25,DATA!$A$3:$F$301,2,FALSE))^2+(VLOOKUP(CN$1,DATA!$A$3:$F$301,3,FALSE)-VLOOKUP($A25,DATA!$A$3:$F$301,3,FALSE))^2),"")</f>
        <v/>
      </c>
      <c r="CO25" s="14" t="str">
        <f>_xlfn.IFNA(SQRT((VLOOKUP(CO$1,DATA!$A$3:$F$301,2,FALSE)-VLOOKUP($A25,DATA!$A$3:$F$301,2,FALSE))^2+(VLOOKUP(CO$1,DATA!$A$3:$F$301,3,FALSE)-VLOOKUP($A25,DATA!$A$3:$F$301,3,FALSE))^2),"")</f>
        <v/>
      </c>
      <c r="CP25" s="14" t="str">
        <f>_xlfn.IFNA(SQRT((VLOOKUP(CP$1,DATA!$A$3:$F$301,2,FALSE)-VLOOKUP($A25,DATA!$A$3:$F$301,2,FALSE))^2+(VLOOKUP(CP$1,DATA!$A$3:$F$301,3,FALSE)-VLOOKUP($A25,DATA!$A$3:$F$301,3,FALSE))^2),"")</f>
        <v/>
      </c>
      <c r="CQ25" s="14" t="str">
        <f>_xlfn.IFNA(SQRT((VLOOKUP(CQ$1,DATA!$A$3:$F$301,2,FALSE)-VLOOKUP($A25,DATA!$A$3:$F$301,2,FALSE))^2+(VLOOKUP(CQ$1,DATA!$A$3:$F$301,3,FALSE)-VLOOKUP($A25,DATA!$A$3:$F$301,3,FALSE))^2),"")</f>
        <v/>
      </c>
      <c r="CR25" s="14" t="str">
        <f>_xlfn.IFNA(SQRT((VLOOKUP(CR$1,DATA!$A$3:$F$301,2,FALSE)-VLOOKUP($A25,DATA!$A$3:$F$301,2,FALSE))^2+(VLOOKUP(CR$1,DATA!$A$3:$F$301,3,FALSE)-VLOOKUP($A25,DATA!$A$3:$F$301,3,FALSE))^2),"")</f>
        <v/>
      </c>
      <c r="CS25" s="14" t="str">
        <f>_xlfn.IFNA(SQRT((VLOOKUP(CS$1,DATA!$A$3:$F$301,2,FALSE)-VLOOKUP($A25,DATA!$A$3:$F$301,2,FALSE))^2+(VLOOKUP(CS$1,DATA!$A$3:$F$301,3,FALSE)-VLOOKUP($A25,DATA!$A$3:$F$301,3,FALSE))^2),"")</f>
        <v/>
      </c>
      <c r="CT25" s="14" t="str">
        <f>_xlfn.IFNA(SQRT((VLOOKUP(CT$1,DATA!$A$3:$F$301,2,FALSE)-VLOOKUP($A25,DATA!$A$3:$F$301,2,FALSE))^2+(VLOOKUP(CT$1,DATA!$A$3:$F$301,3,FALSE)-VLOOKUP($A25,DATA!$A$3:$F$301,3,FALSE))^2),"")</f>
        <v/>
      </c>
      <c r="CU25" s="14" t="str">
        <f>_xlfn.IFNA(SQRT((VLOOKUP(CU$1,DATA!$A$3:$F$301,2,FALSE)-VLOOKUP($A25,DATA!$A$3:$F$301,2,FALSE))^2+(VLOOKUP(CU$1,DATA!$A$3:$F$301,3,FALSE)-VLOOKUP($A25,DATA!$A$3:$F$301,3,FALSE))^2),"")</f>
        <v/>
      </c>
      <c r="CV25" s="14" t="str">
        <f>_xlfn.IFNA(SQRT((VLOOKUP(CV$1,DATA!$A$3:$F$301,2,FALSE)-VLOOKUP($A25,DATA!$A$3:$F$301,2,FALSE))^2+(VLOOKUP(CV$1,DATA!$A$3:$F$301,3,FALSE)-VLOOKUP($A25,DATA!$A$3:$F$301,3,FALSE))^2),"")</f>
        <v/>
      </c>
      <c r="CW25" s="14" t="str">
        <f>_xlfn.IFNA(SQRT((VLOOKUP(CW$1,DATA!$A$3:$F$301,2,FALSE)-VLOOKUP($A25,DATA!$A$3:$F$301,2,FALSE))^2+(VLOOKUP(CW$1,DATA!$A$3:$F$301,3,FALSE)-VLOOKUP($A25,DATA!$A$3:$F$301,3,FALSE))^2),"")</f>
        <v/>
      </c>
      <c r="CX25" s="14" t="str">
        <f>_xlfn.IFNA(SQRT((VLOOKUP(CX$1,DATA!$A$3:$F$301,2,FALSE)-VLOOKUP($A25,DATA!$A$3:$F$301,2,FALSE))^2+(VLOOKUP(CX$1,DATA!$A$3:$F$301,3,FALSE)-VLOOKUP($A25,DATA!$A$3:$F$301,3,FALSE))^2),"")</f>
        <v/>
      </c>
    </row>
    <row r="26" spans="1:102">
      <c r="A26" s="13">
        <v>25</v>
      </c>
      <c r="B26" s="14">
        <f>_xlfn.IFNA(SQRT((VLOOKUP(B$1,DATA!$A$3:$F$301,2,FALSE)-VLOOKUP($A26,DATA!$A$3:$F$301,2,FALSE))^2+(VLOOKUP(B$1,DATA!$A$3:$F$301,3,FALSE)-VLOOKUP($A26,DATA!$A$3:$F$301,3,FALSE))^2),"")</f>
        <v>22.671568097509269</v>
      </c>
      <c r="C26" s="14">
        <f>_xlfn.IFNA(SQRT((VLOOKUP(C$1,DATA!$A$3:$F$301,2,FALSE)-VLOOKUP($A26,DATA!$A$3:$F$301,2,FALSE))^2+(VLOOKUP(C$1,DATA!$A$3:$F$301,3,FALSE)-VLOOKUP($A26,DATA!$A$3:$F$301,3,FALSE))^2),"")</f>
        <v>27.202941017470888</v>
      </c>
      <c r="D26" s="14">
        <f>_xlfn.IFNA(SQRT((VLOOKUP(D$1,DATA!$A$3:$F$301,2,FALSE)-VLOOKUP($A26,DATA!$A$3:$F$301,2,FALSE))^2+(VLOOKUP(D$1,DATA!$A$3:$F$301,3,FALSE)-VLOOKUP($A26,DATA!$A$3:$F$301,3,FALSE))^2),"")</f>
        <v>17.262676501632068</v>
      </c>
      <c r="E26" s="14">
        <f>_xlfn.IFNA(SQRT((VLOOKUP(E$1,DATA!$A$3:$F$301,2,FALSE)-VLOOKUP($A26,DATA!$A$3:$F$301,2,FALSE))^2+(VLOOKUP(E$1,DATA!$A$3:$F$301,3,FALSE)-VLOOKUP($A26,DATA!$A$3:$F$301,3,FALSE))^2),"")</f>
        <v>16.401219466856727</v>
      </c>
      <c r="F26" s="14">
        <f>_xlfn.IFNA(SQRT((VLOOKUP(F$1,DATA!$A$3:$F$301,2,FALSE)-VLOOKUP($A26,DATA!$A$3:$F$301,2,FALSE))^2+(VLOOKUP(F$1,DATA!$A$3:$F$301,3,FALSE)-VLOOKUP($A26,DATA!$A$3:$F$301,3,FALSE))^2),"")</f>
        <v>46.872166581031863</v>
      </c>
      <c r="G26" s="14">
        <f>_xlfn.IFNA(SQRT((VLOOKUP(G$1,DATA!$A$3:$F$301,2,FALSE)-VLOOKUP($A26,DATA!$A$3:$F$301,2,FALSE))^2+(VLOOKUP(G$1,DATA!$A$3:$F$301,3,FALSE)-VLOOKUP($A26,DATA!$A$3:$F$301,3,FALSE))^2),"")</f>
        <v>24.331050121192877</v>
      </c>
      <c r="H26" s="14">
        <f>_xlfn.IFNA(SQRT((VLOOKUP(H$1,DATA!$A$3:$F$301,2,FALSE)-VLOOKUP($A26,DATA!$A$3:$F$301,2,FALSE))^2+(VLOOKUP(H$1,DATA!$A$3:$F$301,3,FALSE)-VLOOKUP($A26,DATA!$A$3:$F$301,3,FALSE))^2),"")</f>
        <v>19.104973174542799</v>
      </c>
      <c r="I26" s="14">
        <f>_xlfn.IFNA(SQRT((VLOOKUP(I$1,DATA!$A$3:$F$301,2,FALSE)-VLOOKUP($A26,DATA!$A$3:$F$301,2,FALSE))^2+(VLOOKUP(I$1,DATA!$A$3:$F$301,3,FALSE)-VLOOKUP($A26,DATA!$A$3:$F$301,3,FALSE))^2),"")</f>
        <v>38.078865529319543</v>
      </c>
      <c r="J26" s="14">
        <f>_xlfn.IFNA(SQRT((VLOOKUP(J$1,DATA!$A$3:$F$301,2,FALSE)-VLOOKUP($A26,DATA!$A$3:$F$301,2,FALSE))^2+(VLOOKUP(J$1,DATA!$A$3:$F$301,3,FALSE)-VLOOKUP($A26,DATA!$A$3:$F$301,3,FALSE))^2),"")</f>
        <v>20.223748416156685</v>
      </c>
      <c r="K26" s="14">
        <f>_xlfn.IFNA(SQRT((VLOOKUP(K$1,DATA!$A$3:$F$301,2,FALSE)-VLOOKUP($A26,DATA!$A$3:$F$301,2,FALSE))^2+(VLOOKUP(K$1,DATA!$A$3:$F$301,3,FALSE)-VLOOKUP($A26,DATA!$A$3:$F$301,3,FALSE))^2),"")</f>
        <v>24.331050121192877</v>
      </c>
      <c r="L26" s="14">
        <f>_xlfn.IFNA(SQRT((VLOOKUP(L$1,DATA!$A$3:$F$301,2,FALSE)-VLOOKUP($A26,DATA!$A$3:$F$301,2,FALSE))^2+(VLOOKUP(L$1,DATA!$A$3:$F$301,3,FALSE)-VLOOKUP($A26,DATA!$A$3:$F$301,3,FALSE))^2),"")</f>
        <v>31.622776601683793</v>
      </c>
      <c r="M26" s="14">
        <f>_xlfn.IFNA(SQRT((VLOOKUP(M$1,DATA!$A$3:$F$301,2,FALSE)-VLOOKUP($A26,DATA!$A$3:$F$301,2,FALSE))^2+(VLOOKUP(M$1,DATA!$A$3:$F$301,3,FALSE)-VLOOKUP($A26,DATA!$A$3:$F$301,3,FALSE))^2),"")</f>
        <v>30.886890422961002</v>
      </c>
      <c r="N26" s="14">
        <f>_xlfn.IFNA(SQRT((VLOOKUP(N$1,DATA!$A$3:$F$301,2,FALSE)-VLOOKUP($A26,DATA!$A$3:$F$301,2,FALSE))^2+(VLOOKUP(N$1,DATA!$A$3:$F$301,3,FALSE)-VLOOKUP($A26,DATA!$A$3:$F$301,3,FALSE))^2),"")</f>
        <v>19.416487838947599</v>
      </c>
      <c r="O26" s="14">
        <f>_xlfn.IFNA(SQRT((VLOOKUP(O$1,DATA!$A$3:$F$301,2,FALSE)-VLOOKUP($A26,DATA!$A$3:$F$301,2,FALSE))^2+(VLOOKUP(O$1,DATA!$A$3:$F$301,3,FALSE)-VLOOKUP($A26,DATA!$A$3:$F$301,3,FALSE))^2),"")</f>
        <v>53.851648071345039</v>
      </c>
      <c r="P26" s="14">
        <f>_xlfn.IFNA(SQRT((VLOOKUP(P$1,DATA!$A$3:$F$301,2,FALSE)-VLOOKUP($A26,DATA!$A$3:$F$301,2,FALSE))^2+(VLOOKUP(P$1,DATA!$A$3:$F$301,3,FALSE)-VLOOKUP($A26,DATA!$A$3:$F$301,3,FALSE))^2),"")</f>
        <v>46.840153714521477</v>
      </c>
      <c r="Q26" s="14">
        <f>_xlfn.IFNA(SQRT((VLOOKUP(Q$1,DATA!$A$3:$F$301,2,FALSE)-VLOOKUP($A26,DATA!$A$3:$F$301,2,FALSE))^2+(VLOOKUP(Q$1,DATA!$A$3:$F$301,3,FALSE)-VLOOKUP($A26,DATA!$A$3:$F$301,3,FALSE))^2),"")</f>
        <v>24.738633753705962</v>
      </c>
      <c r="R26" s="14">
        <f>_xlfn.IFNA(SQRT((VLOOKUP(R$1,DATA!$A$3:$F$301,2,FALSE)-VLOOKUP($A26,DATA!$A$3:$F$301,2,FALSE))^2+(VLOOKUP(R$1,DATA!$A$3:$F$301,3,FALSE)-VLOOKUP($A26,DATA!$A$3:$F$301,3,FALSE))^2),"")</f>
        <v>2.2360679774997898</v>
      </c>
      <c r="S26" s="14">
        <f>_xlfn.IFNA(SQRT((VLOOKUP(S$1,DATA!$A$3:$F$301,2,FALSE)-VLOOKUP($A26,DATA!$A$3:$F$301,2,FALSE))^2+(VLOOKUP(S$1,DATA!$A$3:$F$301,3,FALSE)-VLOOKUP($A26,DATA!$A$3:$F$301,3,FALSE))^2),"")</f>
        <v>29</v>
      </c>
      <c r="T26" s="14">
        <f>_xlfn.IFNA(SQRT((VLOOKUP(T$1,DATA!$A$3:$F$301,2,FALSE)-VLOOKUP($A26,DATA!$A$3:$F$301,2,FALSE))^2+(VLOOKUP(T$1,DATA!$A$3:$F$301,3,FALSE)-VLOOKUP($A26,DATA!$A$3:$F$301,3,FALSE))^2),"")</f>
        <v>48.466483264210538</v>
      </c>
      <c r="U26" s="14">
        <f>_xlfn.IFNA(SQRT((VLOOKUP(U$1,DATA!$A$3:$F$301,2,FALSE)-VLOOKUP($A26,DATA!$A$3:$F$301,2,FALSE))^2+(VLOOKUP(U$1,DATA!$A$3:$F$301,3,FALSE)-VLOOKUP($A26,DATA!$A$3:$F$301,3,FALSE))^2),"")</f>
        <v>6.7082039324993694</v>
      </c>
      <c r="V26" s="14">
        <f>_xlfn.IFNA(SQRT((VLOOKUP(V$1,DATA!$A$3:$F$301,2,FALSE)-VLOOKUP($A26,DATA!$A$3:$F$301,2,FALSE))^2+(VLOOKUP(V$1,DATA!$A$3:$F$301,3,FALSE)-VLOOKUP($A26,DATA!$A$3:$F$301,3,FALSE))^2),"")</f>
        <v>17.088007490635061</v>
      </c>
      <c r="W26" s="14">
        <f>_xlfn.IFNA(SQRT((VLOOKUP(W$1,DATA!$A$3:$F$301,2,FALSE)-VLOOKUP($A26,DATA!$A$3:$F$301,2,FALSE))^2+(VLOOKUP(W$1,DATA!$A$3:$F$301,3,FALSE)-VLOOKUP($A26,DATA!$A$3:$F$301,3,FALSE))^2),"")</f>
        <v>13.45362404707371</v>
      </c>
      <c r="X26" s="14">
        <f>_xlfn.IFNA(SQRT((VLOOKUP(X$1,DATA!$A$3:$F$301,2,FALSE)-VLOOKUP($A26,DATA!$A$3:$F$301,2,FALSE))^2+(VLOOKUP(X$1,DATA!$A$3:$F$301,3,FALSE)-VLOOKUP($A26,DATA!$A$3:$F$301,3,FALSE))^2),"")</f>
        <v>17.888543819998318</v>
      </c>
      <c r="Y26" s="14">
        <f>_xlfn.IFNA(SQRT((VLOOKUP(Y$1,DATA!$A$3:$F$301,2,FALSE)-VLOOKUP($A26,DATA!$A$3:$F$301,2,FALSE))^2+(VLOOKUP(Y$1,DATA!$A$3:$F$301,3,FALSE)-VLOOKUP($A26,DATA!$A$3:$F$301,3,FALSE))^2),"")</f>
        <v>36.878177829171548</v>
      </c>
      <c r="Z26" s="14">
        <f>_xlfn.IFNA(SQRT((VLOOKUP(Z$1,DATA!$A$3:$F$301,2,FALSE)-VLOOKUP($A26,DATA!$A$3:$F$301,2,FALSE))^2+(VLOOKUP(Z$1,DATA!$A$3:$F$301,3,FALSE)-VLOOKUP($A26,DATA!$A$3:$F$301,3,FALSE))^2),"")</f>
        <v>0</v>
      </c>
      <c r="AA26" s="14">
        <f>_xlfn.IFNA(SQRT((VLOOKUP(AA$1,DATA!$A$3:$F$301,2,FALSE)-VLOOKUP($A26,DATA!$A$3:$F$301,2,FALSE))^2+(VLOOKUP(AA$1,DATA!$A$3:$F$301,3,FALSE)-VLOOKUP($A26,DATA!$A$3:$F$301,3,FALSE))^2),"")</f>
        <v>37.483329627982627</v>
      </c>
      <c r="AB26" s="14">
        <f>_xlfn.IFNA(SQRT((VLOOKUP(AB$1,DATA!$A$3:$F$301,2,FALSE)-VLOOKUP($A26,DATA!$A$3:$F$301,2,FALSE))^2+(VLOOKUP(AB$1,DATA!$A$3:$F$301,3,FALSE)-VLOOKUP($A26,DATA!$A$3:$F$301,3,FALSE))^2),"")</f>
        <v>19.026297590440446</v>
      </c>
      <c r="AC26" s="14">
        <f>_xlfn.IFNA(SQRT((VLOOKUP(AC$1,DATA!$A$3:$F$301,2,FALSE)-VLOOKUP($A26,DATA!$A$3:$F$301,2,FALSE))^2+(VLOOKUP(AC$1,DATA!$A$3:$F$301,3,FALSE)-VLOOKUP($A26,DATA!$A$3:$F$301,3,FALSE))^2),"")</f>
        <v>40.718546143004666</v>
      </c>
      <c r="AD26" s="14">
        <f>_xlfn.IFNA(SQRT((VLOOKUP(AD$1,DATA!$A$3:$F$301,2,FALSE)-VLOOKUP($A26,DATA!$A$3:$F$301,2,FALSE))^2+(VLOOKUP(AD$1,DATA!$A$3:$F$301,3,FALSE)-VLOOKUP($A26,DATA!$A$3:$F$301,3,FALSE))^2),"")</f>
        <v>14.866068747318506</v>
      </c>
      <c r="AE26" s="14">
        <f>_xlfn.IFNA(SQRT((VLOOKUP(AE$1,DATA!$A$3:$F$301,2,FALSE)-VLOOKUP($A26,DATA!$A$3:$F$301,2,FALSE))^2+(VLOOKUP(AE$1,DATA!$A$3:$F$301,3,FALSE)-VLOOKUP($A26,DATA!$A$3:$F$301,3,FALSE))^2),"")</f>
        <v>48.836461788299118</v>
      </c>
      <c r="AF26" s="14">
        <f>_xlfn.IFNA(SQRT((VLOOKUP(AF$1,DATA!$A$3:$F$301,2,FALSE)-VLOOKUP($A26,DATA!$A$3:$F$301,2,FALSE))^2+(VLOOKUP(AF$1,DATA!$A$3:$F$301,3,FALSE)-VLOOKUP($A26,DATA!$A$3:$F$301,3,FALSE))^2),"")</f>
        <v>6.7082039324993694</v>
      </c>
      <c r="AG26" s="14">
        <f>_xlfn.IFNA(SQRT((VLOOKUP(AG$1,DATA!$A$3:$F$301,2,FALSE)-VLOOKUP($A26,DATA!$A$3:$F$301,2,FALSE))^2+(VLOOKUP(AG$1,DATA!$A$3:$F$301,3,FALSE)-VLOOKUP($A26,DATA!$A$3:$F$301,3,FALSE))^2),"")</f>
        <v>38.910152916687437</v>
      </c>
      <c r="AH26" s="14">
        <f>_xlfn.IFNA(SQRT((VLOOKUP(AH$1,DATA!$A$3:$F$301,2,FALSE)-VLOOKUP($A26,DATA!$A$3:$F$301,2,FALSE))^2+(VLOOKUP(AH$1,DATA!$A$3:$F$301,3,FALSE)-VLOOKUP($A26,DATA!$A$3:$F$301,3,FALSE))^2),"")</f>
        <v>24.331050121192877</v>
      </c>
      <c r="AI26" s="14">
        <f>_xlfn.IFNA(SQRT((VLOOKUP(AI$1,DATA!$A$3:$F$301,2,FALSE)-VLOOKUP($A26,DATA!$A$3:$F$301,2,FALSE))^2+(VLOOKUP(AI$1,DATA!$A$3:$F$301,3,FALSE)-VLOOKUP($A26,DATA!$A$3:$F$301,3,FALSE))^2),"")</f>
        <v>1.4142135623730951</v>
      </c>
      <c r="AJ26" s="14">
        <f>_xlfn.IFNA(SQRT((VLOOKUP(AJ$1,DATA!$A$3:$F$301,2,FALSE)-VLOOKUP($A26,DATA!$A$3:$F$301,2,FALSE))^2+(VLOOKUP(AJ$1,DATA!$A$3:$F$301,3,FALSE)-VLOOKUP($A26,DATA!$A$3:$F$301,3,FALSE))^2),"")</f>
        <v>24.698178070456937</v>
      </c>
      <c r="AK26" s="14">
        <f>_xlfn.IFNA(SQRT((VLOOKUP(AK$1,DATA!$A$3:$F$301,2,FALSE)-VLOOKUP($A26,DATA!$A$3:$F$301,2,FALSE))^2+(VLOOKUP(AK$1,DATA!$A$3:$F$301,3,FALSE)-VLOOKUP($A26,DATA!$A$3:$F$301,3,FALSE))^2),"")</f>
        <v>31.622776601683793</v>
      </c>
      <c r="AL26" s="14">
        <f>_xlfn.IFNA(SQRT((VLOOKUP(AL$1,DATA!$A$3:$F$301,2,FALSE)-VLOOKUP($A26,DATA!$A$3:$F$301,2,FALSE))^2+(VLOOKUP(AL$1,DATA!$A$3:$F$301,3,FALSE)-VLOOKUP($A26,DATA!$A$3:$F$301,3,FALSE))^2),"")</f>
        <v>47.265209192385896</v>
      </c>
      <c r="AM26" s="14">
        <f>_xlfn.IFNA(SQRT((VLOOKUP(AM$1,DATA!$A$3:$F$301,2,FALSE)-VLOOKUP($A26,DATA!$A$3:$F$301,2,FALSE))^2+(VLOOKUP(AM$1,DATA!$A$3:$F$301,3,FALSE)-VLOOKUP($A26,DATA!$A$3:$F$301,3,FALSE))^2),"")</f>
        <v>41</v>
      </c>
      <c r="AN26" s="14">
        <f>_xlfn.IFNA(SQRT((VLOOKUP(AN$1,DATA!$A$3:$F$301,2,FALSE)-VLOOKUP($A26,DATA!$A$3:$F$301,2,FALSE))^2+(VLOOKUP(AN$1,DATA!$A$3:$F$301,3,FALSE)-VLOOKUP($A26,DATA!$A$3:$F$301,3,FALSE))^2),"")</f>
        <v>14.560219778561036</v>
      </c>
      <c r="AO26" s="14">
        <f>_xlfn.IFNA(SQRT((VLOOKUP(AO$1,DATA!$A$3:$F$301,2,FALSE)-VLOOKUP($A26,DATA!$A$3:$F$301,2,FALSE))^2+(VLOOKUP(AO$1,DATA!$A$3:$F$301,3,FALSE)-VLOOKUP($A26,DATA!$A$3:$F$301,3,FALSE))^2),"")</f>
        <v>30.675723300355934</v>
      </c>
      <c r="AP26" s="14" t="str">
        <f>_xlfn.IFNA(SQRT((VLOOKUP(AP$1,DATA!$A$3:$F$301,2,FALSE)-VLOOKUP($A26,DATA!$A$3:$F$301,2,FALSE))^2+(VLOOKUP(AP$1,DATA!$A$3:$F$301,3,FALSE)-VLOOKUP($A26,DATA!$A$3:$F$301,3,FALSE))^2),"")</f>
        <v/>
      </c>
      <c r="AQ26" s="14" t="str">
        <f>_xlfn.IFNA(SQRT((VLOOKUP(AQ$1,DATA!$A$3:$F$301,2,FALSE)-VLOOKUP($A26,DATA!$A$3:$F$301,2,FALSE))^2+(VLOOKUP(AQ$1,DATA!$A$3:$F$301,3,FALSE)-VLOOKUP($A26,DATA!$A$3:$F$301,3,FALSE))^2),"")</f>
        <v/>
      </c>
      <c r="AR26" s="14" t="str">
        <f>_xlfn.IFNA(SQRT((VLOOKUP(AR$1,DATA!$A$3:$F$301,2,FALSE)-VLOOKUP($A26,DATA!$A$3:$F$301,2,FALSE))^2+(VLOOKUP(AR$1,DATA!$A$3:$F$301,3,FALSE)-VLOOKUP($A26,DATA!$A$3:$F$301,3,FALSE))^2),"")</f>
        <v/>
      </c>
      <c r="AS26" s="14" t="str">
        <f>_xlfn.IFNA(SQRT((VLOOKUP(AS$1,DATA!$A$3:$F$301,2,FALSE)-VLOOKUP($A26,DATA!$A$3:$F$301,2,FALSE))^2+(VLOOKUP(AS$1,DATA!$A$3:$F$301,3,FALSE)-VLOOKUP($A26,DATA!$A$3:$F$301,3,FALSE))^2),"")</f>
        <v/>
      </c>
      <c r="AT26" s="14" t="str">
        <f>_xlfn.IFNA(SQRT((VLOOKUP(AT$1,DATA!$A$3:$F$301,2,FALSE)-VLOOKUP($A26,DATA!$A$3:$F$301,2,FALSE))^2+(VLOOKUP(AT$1,DATA!$A$3:$F$301,3,FALSE)-VLOOKUP($A26,DATA!$A$3:$F$301,3,FALSE))^2),"")</f>
        <v/>
      </c>
      <c r="AU26" s="14" t="str">
        <f>_xlfn.IFNA(SQRT((VLOOKUP(AU$1,DATA!$A$3:$F$301,2,FALSE)-VLOOKUP($A26,DATA!$A$3:$F$301,2,FALSE))^2+(VLOOKUP(AU$1,DATA!$A$3:$F$301,3,FALSE)-VLOOKUP($A26,DATA!$A$3:$F$301,3,FALSE))^2),"")</f>
        <v/>
      </c>
      <c r="AV26" s="14" t="str">
        <f>_xlfn.IFNA(SQRT((VLOOKUP(AV$1,DATA!$A$3:$F$301,2,FALSE)-VLOOKUP($A26,DATA!$A$3:$F$301,2,FALSE))^2+(VLOOKUP(AV$1,DATA!$A$3:$F$301,3,FALSE)-VLOOKUP($A26,DATA!$A$3:$F$301,3,FALSE))^2),"")</f>
        <v/>
      </c>
      <c r="AW26" s="14" t="str">
        <f>_xlfn.IFNA(SQRT((VLOOKUP(AW$1,DATA!$A$3:$F$301,2,FALSE)-VLOOKUP($A26,DATA!$A$3:$F$301,2,FALSE))^2+(VLOOKUP(AW$1,DATA!$A$3:$F$301,3,FALSE)-VLOOKUP($A26,DATA!$A$3:$F$301,3,FALSE))^2),"")</f>
        <v/>
      </c>
      <c r="AX26" s="14" t="str">
        <f>_xlfn.IFNA(SQRT((VLOOKUP(AX$1,DATA!$A$3:$F$301,2,FALSE)-VLOOKUP($A26,DATA!$A$3:$F$301,2,FALSE))^2+(VLOOKUP(AX$1,DATA!$A$3:$F$301,3,FALSE)-VLOOKUP($A26,DATA!$A$3:$F$301,3,FALSE))^2),"")</f>
        <v/>
      </c>
      <c r="AY26" s="14" t="str">
        <f>_xlfn.IFNA(SQRT((VLOOKUP(AY$1,DATA!$A$3:$F$301,2,FALSE)-VLOOKUP($A26,DATA!$A$3:$F$301,2,FALSE))^2+(VLOOKUP(AY$1,DATA!$A$3:$F$301,3,FALSE)-VLOOKUP($A26,DATA!$A$3:$F$301,3,FALSE))^2),"")</f>
        <v/>
      </c>
      <c r="AZ26" s="14" t="str">
        <f>_xlfn.IFNA(SQRT((VLOOKUP(AZ$1,DATA!$A$3:$F$301,2,FALSE)-VLOOKUP($A26,DATA!$A$3:$F$301,2,FALSE))^2+(VLOOKUP(AZ$1,DATA!$A$3:$F$301,3,FALSE)-VLOOKUP($A26,DATA!$A$3:$F$301,3,FALSE))^2),"")</f>
        <v/>
      </c>
      <c r="BA26" s="14" t="str">
        <f>_xlfn.IFNA(SQRT((VLOOKUP(BA$1,DATA!$A$3:$F$301,2,FALSE)-VLOOKUP($A26,DATA!$A$3:$F$301,2,FALSE))^2+(VLOOKUP(BA$1,DATA!$A$3:$F$301,3,FALSE)-VLOOKUP($A26,DATA!$A$3:$F$301,3,FALSE))^2),"")</f>
        <v/>
      </c>
      <c r="BB26" s="14" t="str">
        <f>_xlfn.IFNA(SQRT((VLOOKUP(BB$1,DATA!$A$3:$F$301,2,FALSE)-VLOOKUP($A26,DATA!$A$3:$F$301,2,FALSE))^2+(VLOOKUP(BB$1,DATA!$A$3:$F$301,3,FALSE)-VLOOKUP($A26,DATA!$A$3:$F$301,3,FALSE))^2),"")</f>
        <v/>
      </c>
      <c r="BC26" s="14" t="str">
        <f>_xlfn.IFNA(SQRT((VLOOKUP(BC$1,DATA!$A$3:$F$301,2,FALSE)-VLOOKUP($A26,DATA!$A$3:$F$301,2,FALSE))^2+(VLOOKUP(BC$1,DATA!$A$3:$F$301,3,FALSE)-VLOOKUP($A26,DATA!$A$3:$F$301,3,FALSE))^2),"")</f>
        <v/>
      </c>
      <c r="BD26" s="14" t="str">
        <f>_xlfn.IFNA(SQRT((VLOOKUP(BD$1,DATA!$A$3:$F$301,2,FALSE)-VLOOKUP($A26,DATA!$A$3:$F$301,2,FALSE))^2+(VLOOKUP(BD$1,DATA!$A$3:$F$301,3,FALSE)-VLOOKUP($A26,DATA!$A$3:$F$301,3,FALSE))^2),"")</f>
        <v/>
      </c>
      <c r="BE26" s="14" t="str">
        <f>_xlfn.IFNA(SQRT((VLOOKUP(BE$1,DATA!$A$3:$F$301,2,FALSE)-VLOOKUP($A26,DATA!$A$3:$F$301,2,FALSE))^2+(VLOOKUP(BE$1,DATA!$A$3:$F$301,3,FALSE)-VLOOKUP($A26,DATA!$A$3:$F$301,3,FALSE))^2),"")</f>
        <v/>
      </c>
      <c r="BF26" s="14" t="str">
        <f>_xlfn.IFNA(SQRT((VLOOKUP(BF$1,DATA!$A$3:$F$301,2,FALSE)-VLOOKUP($A26,DATA!$A$3:$F$301,2,FALSE))^2+(VLOOKUP(BF$1,DATA!$A$3:$F$301,3,FALSE)-VLOOKUP($A26,DATA!$A$3:$F$301,3,FALSE))^2),"")</f>
        <v/>
      </c>
      <c r="BG26" s="14" t="str">
        <f>_xlfn.IFNA(SQRT((VLOOKUP(BG$1,DATA!$A$3:$F$301,2,FALSE)-VLOOKUP($A26,DATA!$A$3:$F$301,2,FALSE))^2+(VLOOKUP(BG$1,DATA!$A$3:$F$301,3,FALSE)-VLOOKUP($A26,DATA!$A$3:$F$301,3,FALSE))^2),"")</f>
        <v/>
      </c>
      <c r="BH26" s="14" t="str">
        <f>_xlfn.IFNA(SQRT((VLOOKUP(BH$1,DATA!$A$3:$F$301,2,FALSE)-VLOOKUP($A26,DATA!$A$3:$F$301,2,FALSE))^2+(VLOOKUP(BH$1,DATA!$A$3:$F$301,3,FALSE)-VLOOKUP($A26,DATA!$A$3:$F$301,3,FALSE))^2),"")</f>
        <v/>
      </c>
      <c r="BI26" s="14" t="str">
        <f>_xlfn.IFNA(SQRT((VLOOKUP(BI$1,DATA!$A$3:$F$301,2,FALSE)-VLOOKUP($A26,DATA!$A$3:$F$301,2,FALSE))^2+(VLOOKUP(BI$1,DATA!$A$3:$F$301,3,FALSE)-VLOOKUP($A26,DATA!$A$3:$F$301,3,FALSE))^2),"")</f>
        <v/>
      </c>
      <c r="BJ26" s="14" t="str">
        <f>_xlfn.IFNA(SQRT((VLOOKUP(BJ$1,DATA!$A$3:$F$301,2,FALSE)-VLOOKUP($A26,DATA!$A$3:$F$301,2,FALSE))^2+(VLOOKUP(BJ$1,DATA!$A$3:$F$301,3,FALSE)-VLOOKUP($A26,DATA!$A$3:$F$301,3,FALSE))^2),"")</f>
        <v/>
      </c>
      <c r="BK26" s="14" t="str">
        <f>_xlfn.IFNA(SQRT((VLOOKUP(BK$1,DATA!$A$3:$F$301,2,FALSE)-VLOOKUP($A26,DATA!$A$3:$F$301,2,FALSE))^2+(VLOOKUP(BK$1,DATA!$A$3:$F$301,3,FALSE)-VLOOKUP($A26,DATA!$A$3:$F$301,3,FALSE))^2),"")</f>
        <v/>
      </c>
      <c r="BL26" s="14" t="str">
        <f>_xlfn.IFNA(SQRT((VLOOKUP(BL$1,DATA!$A$3:$F$301,2,FALSE)-VLOOKUP($A26,DATA!$A$3:$F$301,2,FALSE))^2+(VLOOKUP(BL$1,DATA!$A$3:$F$301,3,FALSE)-VLOOKUP($A26,DATA!$A$3:$F$301,3,FALSE))^2),"")</f>
        <v/>
      </c>
      <c r="BM26" s="14" t="str">
        <f>_xlfn.IFNA(SQRT((VLOOKUP(BM$1,DATA!$A$3:$F$301,2,FALSE)-VLOOKUP($A26,DATA!$A$3:$F$301,2,FALSE))^2+(VLOOKUP(BM$1,DATA!$A$3:$F$301,3,FALSE)-VLOOKUP($A26,DATA!$A$3:$F$301,3,FALSE))^2),"")</f>
        <v/>
      </c>
      <c r="BN26" s="14" t="str">
        <f>_xlfn.IFNA(SQRT((VLOOKUP(BN$1,DATA!$A$3:$F$301,2,FALSE)-VLOOKUP($A26,DATA!$A$3:$F$301,2,FALSE))^2+(VLOOKUP(BN$1,DATA!$A$3:$F$301,3,FALSE)-VLOOKUP($A26,DATA!$A$3:$F$301,3,FALSE))^2),"")</f>
        <v/>
      </c>
      <c r="BO26" s="14" t="str">
        <f>_xlfn.IFNA(SQRT((VLOOKUP(BO$1,DATA!$A$3:$F$301,2,FALSE)-VLOOKUP($A26,DATA!$A$3:$F$301,2,FALSE))^2+(VLOOKUP(BO$1,DATA!$A$3:$F$301,3,FALSE)-VLOOKUP($A26,DATA!$A$3:$F$301,3,FALSE))^2),"")</f>
        <v/>
      </c>
      <c r="BP26" s="14" t="str">
        <f>_xlfn.IFNA(SQRT((VLOOKUP(BP$1,DATA!$A$3:$F$301,2,FALSE)-VLOOKUP($A26,DATA!$A$3:$F$301,2,FALSE))^2+(VLOOKUP(BP$1,DATA!$A$3:$F$301,3,FALSE)-VLOOKUP($A26,DATA!$A$3:$F$301,3,FALSE))^2),"")</f>
        <v/>
      </c>
      <c r="BQ26" s="14" t="str">
        <f>_xlfn.IFNA(SQRT((VLOOKUP(BQ$1,DATA!$A$3:$F$301,2,FALSE)-VLOOKUP($A26,DATA!$A$3:$F$301,2,FALSE))^2+(VLOOKUP(BQ$1,DATA!$A$3:$F$301,3,FALSE)-VLOOKUP($A26,DATA!$A$3:$F$301,3,FALSE))^2),"")</f>
        <v/>
      </c>
      <c r="BR26" s="14" t="str">
        <f>_xlfn.IFNA(SQRT((VLOOKUP(BR$1,DATA!$A$3:$F$301,2,FALSE)-VLOOKUP($A26,DATA!$A$3:$F$301,2,FALSE))^2+(VLOOKUP(BR$1,DATA!$A$3:$F$301,3,FALSE)-VLOOKUP($A26,DATA!$A$3:$F$301,3,FALSE))^2),"")</f>
        <v/>
      </c>
      <c r="BS26" s="14" t="str">
        <f>_xlfn.IFNA(SQRT((VLOOKUP(BS$1,DATA!$A$3:$F$301,2,FALSE)-VLOOKUP($A26,DATA!$A$3:$F$301,2,FALSE))^2+(VLOOKUP(BS$1,DATA!$A$3:$F$301,3,FALSE)-VLOOKUP($A26,DATA!$A$3:$F$301,3,FALSE))^2),"")</f>
        <v/>
      </c>
      <c r="BT26" s="14" t="str">
        <f>_xlfn.IFNA(SQRT((VLOOKUP(BT$1,DATA!$A$3:$F$301,2,FALSE)-VLOOKUP($A26,DATA!$A$3:$F$301,2,FALSE))^2+(VLOOKUP(BT$1,DATA!$A$3:$F$301,3,FALSE)-VLOOKUP($A26,DATA!$A$3:$F$301,3,FALSE))^2),"")</f>
        <v/>
      </c>
      <c r="BU26" s="14" t="str">
        <f>_xlfn.IFNA(SQRT((VLOOKUP(BU$1,DATA!$A$3:$F$301,2,FALSE)-VLOOKUP($A26,DATA!$A$3:$F$301,2,FALSE))^2+(VLOOKUP(BU$1,DATA!$A$3:$F$301,3,FALSE)-VLOOKUP($A26,DATA!$A$3:$F$301,3,FALSE))^2),"")</f>
        <v/>
      </c>
      <c r="BV26" s="14" t="str">
        <f>_xlfn.IFNA(SQRT((VLOOKUP(BV$1,DATA!$A$3:$F$301,2,FALSE)-VLOOKUP($A26,DATA!$A$3:$F$301,2,FALSE))^2+(VLOOKUP(BV$1,DATA!$A$3:$F$301,3,FALSE)-VLOOKUP($A26,DATA!$A$3:$F$301,3,FALSE))^2),"")</f>
        <v/>
      </c>
      <c r="BW26" s="14" t="str">
        <f>_xlfn.IFNA(SQRT((VLOOKUP(BW$1,DATA!$A$3:$F$301,2,FALSE)-VLOOKUP($A26,DATA!$A$3:$F$301,2,FALSE))^2+(VLOOKUP(BW$1,DATA!$A$3:$F$301,3,FALSE)-VLOOKUP($A26,DATA!$A$3:$F$301,3,FALSE))^2),"")</f>
        <v/>
      </c>
      <c r="BX26" s="14" t="str">
        <f>_xlfn.IFNA(SQRT((VLOOKUP(BX$1,DATA!$A$3:$F$301,2,FALSE)-VLOOKUP($A26,DATA!$A$3:$F$301,2,FALSE))^2+(VLOOKUP(BX$1,DATA!$A$3:$F$301,3,FALSE)-VLOOKUP($A26,DATA!$A$3:$F$301,3,FALSE))^2),"")</f>
        <v/>
      </c>
      <c r="BY26" s="14" t="str">
        <f>_xlfn.IFNA(SQRT((VLOOKUP(BY$1,DATA!$A$3:$F$301,2,FALSE)-VLOOKUP($A26,DATA!$A$3:$F$301,2,FALSE))^2+(VLOOKUP(BY$1,DATA!$A$3:$F$301,3,FALSE)-VLOOKUP($A26,DATA!$A$3:$F$301,3,FALSE))^2),"")</f>
        <v/>
      </c>
      <c r="BZ26" s="14" t="str">
        <f>_xlfn.IFNA(SQRT((VLOOKUP(BZ$1,DATA!$A$3:$F$301,2,FALSE)-VLOOKUP($A26,DATA!$A$3:$F$301,2,FALSE))^2+(VLOOKUP(BZ$1,DATA!$A$3:$F$301,3,FALSE)-VLOOKUP($A26,DATA!$A$3:$F$301,3,FALSE))^2),"")</f>
        <v/>
      </c>
      <c r="CA26" s="14" t="str">
        <f>_xlfn.IFNA(SQRT((VLOOKUP(CA$1,DATA!$A$3:$F$301,2,FALSE)-VLOOKUP($A26,DATA!$A$3:$F$301,2,FALSE))^2+(VLOOKUP(CA$1,DATA!$A$3:$F$301,3,FALSE)-VLOOKUP($A26,DATA!$A$3:$F$301,3,FALSE))^2),"")</f>
        <v/>
      </c>
      <c r="CB26" s="14" t="str">
        <f>_xlfn.IFNA(SQRT((VLOOKUP(CB$1,DATA!$A$3:$F$301,2,FALSE)-VLOOKUP($A26,DATA!$A$3:$F$301,2,FALSE))^2+(VLOOKUP(CB$1,DATA!$A$3:$F$301,3,FALSE)-VLOOKUP($A26,DATA!$A$3:$F$301,3,FALSE))^2),"")</f>
        <v/>
      </c>
      <c r="CC26" s="14" t="str">
        <f>_xlfn.IFNA(SQRT((VLOOKUP(CC$1,DATA!$A$3:$F$301,2,FALSE)-VLOOKUP($A26,DATA!$A$3:$F$301,2,FALSE))^2+(VLOOKUP(CC$1,DATA!$A$3:$F$301,3,FALSE)-VLOOKUP($A26,DATA!$A$3:$F$301,3,FALSE))^2),"")</f>
        <v/>
      </c>
      <c r="CD26" s="14" t="str">
        <f>_xlfn.IFNA(SQRT((VLOOKUP(CD$1,DATA!$A$3:$F$301,2,FALSE)-VLOOKUP($A26,DATA!$A$3:$F$301,2,FALSE))^2+(VLOOKUP(CD$1,DATA!$A$3:$F$301,3,FALSE)-VLOOKUP($A26,DATA!$A$3:$F$301,3,FALSE))^2),"")</f>
        <v/>
      </c>
      <c r="CE26" s="14" t="str">
        <f>_xlfn.IFNA(SQRT((VLOOKUP(CE$1,DATA!$A$3:$F$301,2,FALSE)-VLOOKUP($A26,DATA!$A$3:$F$301,2,FALSE))^2+(VLOOKUP(CE$1,DATA!$A$3:$F$301,3,FALSE)-VLOOKUP($A26,DATA!$A$3:$F$301,3,FALSE))^2),"")</f>
        <v/>
      </c>
      <c r="CF26" s="14" t="str">
        <f>_xlfn.IFNA(SQRT((VLOOKUP(CF$1,DATA!$A$3:$F$301,2,FALSE)-VLOOKUP($A26,DATA!$A$3:$F$301,2,FALSE))^2+(VLOOKUP(CF$1,DATA!$A$3:$F$301,3,FALSE)-VLOOKUP($A26,DATA!$A$3:$F$301,3,FALSE))^2),"")</f>
        <v/>
      </c>
      <c r="CG26" s="14" t="str">
        <f>_xlfn.IFNA(SQRT((VLOOKUP(CG$1,DATA!$A$3:$F$301,2,FALSE)-VLOOKUP($A26,DATA!$A$3:$F$301,2,FALSE))^2+(VLOOKUP(CG$1,DATA!$A$3:$F$301,3,FALSE)-VLOOKUP($A26,DATA!$A$3:$F$301,3,FALSE))^2),"")</f>
        <v/>
      </c>
      <c r="CH26" s="14" t="str">
        <f>_xlfn.IFNA(SQRT((VLOOKUP(CH$1,DATA!$A$3:$F$301,2,FALSE)-VLOOKUP($A26,DATA!$A$3:$F$301,2,FALSE))^2+(VLOOKUP(CH$1,DATA!$A$3:$F$301,3,FALSE)-VLOOKUP($A26,DATA!$A$3:$F$301,3,FALSE))^2),"")</f>
        <v/>
      </c>
      <c r="CI26" s="14" t="str">
        <f>_xlfn.IFNA(SQRT((VLOOKUP(CI$1,DATA!$A$3:$F$301,2,FALSE)-VLOOKUP($A26,DATA!$A$3:$F$301,2,FALSE))^2+(VLOOKUP(CI$1,DATA!$A$3:$F$301,3,FALSE)-VLOOKUP($A26,DATA!$A$3:$F$301,3,FALSE))^2),"")</f>
        <v/>
      </c>
      <c r="CJ26" s="14" t="str">
        <f>_xlfn.IFNA(SQRT((VLOOKUP(CJ$1,DATA!$A$3:$F$301,2,FALSE)-VLOOKUP($A26,DATA!$A$3:$F$301,2,FALSE))^2+(VLOOKUP(CJ$1,DATA!$A$3:$F$301,3,FALSE)-VLOOKUP($A26,DATA!$A$3:$F$301,3,FALSE))^2),"")</f>
        <v/>
      </c>
      <c r="CK26" s="14" t="str">
        <f>_xlfn.IFNA(SQRT((VLOOKUP(CK$1,DATA!$A$3:$F$301,2,FALSE)-VLOOKUP($A26,DATA!$A$3:$F$301,2,FALSE))^2+(VLOOKUP(CK$1,DATA!$A$3:$F$301,3,FALSE)-VLOOKUP($A26,DATA!$A$3:$F$301,3,FALSE))^2),"")</f>
        <v/>
      </c>
      <c r="CL26" s="14" t="str">
        <f>_xlfn.IFNA(SQRT((VLOOKUP(CL$1,DATA!$A$3:$F$301,2,FALSE)-VLOOKUP($A26,DATA!$A$3:$F$301,2,FALSE))^2+(VLOOKUP(CL$1,DATA!$A$3:$F$301,3,FALSE)-VLOOKUP($A26,DATA!$A$3:$F$301,3,FALSE))^2),"")</f>
        <v/>
      </c>
      <c r="CM26" s="14" t="str">
        <f>_xlfn.IFNA(SQRT((VLOOKUP(CM$1,DATA!$A$3:$F$301,2,FALSE)-VLOOKUP($A26,DATA!$A$3:$F$301,2,FALSE))^2+(VLOOKUP(CM$1,DATA!$A$3:$F$301,3,FALSE)-VLOOKUP($A26,DATA!$A$3:$F$301,3,FALSE))^2),"")</f>
        <v/>
      </c>
      <c r="CN26" s="14" t="str">
        <f>_xlfn.IFNA(SQRT((VLOOKUP(CN$1,DATA!$A$3:$F$301,2,FALSE)-VLOOKUP($A26,DATA!$A$3:$F$301,2,FALSE))^2+(VLOOKUP(CN$1,DATA!$A$3:$F$301,3,FALSE)-VLOOKUP($A26,DATA!$A$3:$F$301,3,FALSE))^2),"")</f>
        <v/>
      </c>
      <c r="CO26" s="14" t="str">
        <f>_xlfn.IFNA(SQRT((VLOOKUP(CO$1,DATA!$A$3:$F$301,2,FALSE)-VLOOKUP($A26,DATA!$A$3:$F$301,2,FALSE))^2+(VLOOKUP(CO$1,DATA!$A$3:$F$301,3,FALSE)-VLOOKUP($A26,DATA!$A$3:$F$301,3,FALSE))^2),"")</f>
        <v/>
      </c>
      <c r="CP26" s="14" t="str">
        <f>_xlfn.IFNA(SQRT((VLOOKUP(CP$1,DATA!$A$3:$F$301,2,FALSE)-VLOOKUP($A26,DATA!$A$3:$F$301,2,FALSE))^2+(VLOOKUP(CP$1,DATA!$A$3:$F$301,3,FALSE)-VLOOKUP($A26,DATA!$A$3:$F$301,3,FALSE))^2),"")</f>
        <v/>
      </c>
      <c r="CQ26" s="14" t="str">
        <f>_xlfn.IFNA(SQRT((VLOOKUP(CQ$1,DATA!$A$3:$F$301,2,FALSE)-VLOOKUP($A26,DATA!$A$3:$F$301,2,FALSE))^2+(VLOOKUP(CQ$1,DATA!$A$3:$F$301,3,FALSE)-VLOOKUP($A26,DATA!$A$3:$F$301,3,FALSE))^2),"")</f>
        <v/>
      </c>
      <c r="CR26" s="14" t="str">
        <f>_xlfn.IFNA(SQRT((VLOOKUP(CR$1,DATA!$A$3:$F$301,2,FALSE)-VLOOKUP($A26,DATA!$A$3:$F$301,2,FALSE))^2+(VLOOKUP(CR$1,DATA!$A$3:$F$301,3,FALSE)-VLOOKUP($A26,DATA!$A$3:$F$301,3,FALSE))^2),"")</f>
        <v/>
      </c>
      <c r="CS26" s="14" t="str">
        <f>_xlfn.IFNA(SQRT((VLOOKUP(CS$1,DATA!$A$3:$F$301,2,FALSE)-VLOOKUP($A26,DATA!$A$3:$F$301,2,FALSE))^2+(VLOOKUP(CS$1,DATA!$A$3:$F$301,3,FALSE)-VLOOKUP($A26,DATA!$A$3:$F$301,3,FALSE))^2),"")</f>
        <v/>
      </c>
      <c r="CT26" s="14" t="str">
        <f>_xlfn.IFNA(SQRT((VLOOKUP(CT$1,DATA!$A$3:$F$301,2,FALSE)-VLOOKUP($A26,DATA!$A$3:$F$301,2,FALSE))^2+(VLOOKUP(CT$1,DATA!$A$3:$F$301,3,FALSE)-VLOOKUP($A26,DATA!$A$3:$F$301,3,FALSE))^2),"")</f>
        <v/>
      </c>
      <c r="CU26" s="14" t="str">
        <f>_xlfn.IFNA(SQRT((VLOOKUP(CU$1,DATA!$A$3:$F$301,2,FALSE)-VLOOKUP($A26,DATA!$A$3:$F$301,2,FALSE))^2+(VLOOKUP(CU$1,DATA!$A$3:$F$301,3,FALSE)-VLOOKUP($A26,DATA!$A$3:$F$301,3,FALSE))^2),"")</f>
        <v/>
      </c>
      <c r="CV26" s="14" t="str">
        <f>_xlfn.IFNA(SQRT((VLOOKUP(CV$1,DATA!$A$3:$F$301,2,FALSE)-VLOOKUP($A26,DATA!$A$3:$F$301,2,FALSE))^2+(VLOOKUP(CV$1,DATA!$A$3:$F$301,3,FALSE)-VLOOKUP($A26,DATA!$A$3:$F$301,3,FALSE))^2),"")</f>
        <v/>
      </c>
      <c r="CW26" s="14" t="str">
        <f>_xlfn.IFNA(SQRT((VLOOKUP(CW$1,DATA!$A$3:$F$301,2,FALSE)-VLOOKUP($A26,DATA!$A$3:$F$301,2,FALSE))^2+(VLOOKUP(CW$1,DATA!$A$3:$F$301,3,FALSE)-VLOOKUP($A26,DATA!$A$3:$F$301,3,FALSE))^2),"")</f>
        <v/>
      </c>
      <c r="CX26" s="14" t="str">
        <f>_xlfn.IFNA(SQRT((VLOOKUP(CX$1,DATA!$A$3:$F$301,2,FALSE)-VLOOKUP($A26,DATA!$A$3:$F$301,2,FALSE))^2+(VLOOKUP(CX$1,DATA!$A$3:$F$301,3,FALSE)-VLOOKUP($A26,DATA!$A$3:$F$301,3,FALSE))^2),"")</f>
        <v/>
      </c>
    </row>
    <row r="27" spans="1:102">
      <c r="A27" s="13">
        <v>26</v>
      </c>
      <c r="B27" s="14">
        <f>_xlfn.IFNA(SQRT((VLOOKUP(B$1,DATA!$A$3:$F$301,2,FALSE)-VLOOKUP($A27,DATA!$A$3:$F$301,2,FALSE))^2+(VLOOKUP(B$1,DATA!$A$3:$F$301,3,FALSE)-VLOOKUP($A27,DATA!$A$3:$F$301,3,FALSE))^2),"")</f>
        <v>24.596747752497688</v>
      </c>
      <c r="C27" s="14">
        <f>_xlfn.IFNA(SQRT((VLOOKUP(C$1,DATA!$A$3:$F$301,2,FALSE)-VLOOKUP($A27,DATA!$A$3:$F$301,2,FALSE))^2+(VLOOKUP(C$1,DATA!$A$3:$F$301,3,FALSE)-VLOOKUP($A27,DATA!$A$3:$F$301,3,FALSE))^2),"")</f>
        <v>26.40075756488817</v>
      </c>
      <c r="D27" s="14">
        <f>_xlfn.IFNA(SQRT((VLOOKUP(D$1,DATA!$A$3:$F$301,2,FALSE)-VLOOKUP($A27,DATA!$A$3:$F$301,2,FALSE))^2+(VLOOKUP(D$1,DATA!$A$3:$F$301,3,FALSE)-VLOOKUP($A27,DATA!$A$3:$F$301,3,FALSE))^2),"")</f>
        <v>35.735136770411273</v>
      </c>
      <c r="E27" s="14">
        <f>_xlfn.IFNA(SQRT((VLOOKUP(E$1,DATA!$A$3:$F$301,2,FALSE)-VLOOKUP($A27,DATA!$A$3:$F$301,2,FALSE))^2+(VLOOKUP(E$1,DATA!$A$3:$F$301,3,FALSE)-VLOOKUP($A27,DATA!$A$3:$F$301,3,FALSE))^2),"")</f>
        <v>27.892651361962706</v>
      </c>
      <c r="F27" s="14">
        <f>_xlfn.IFNA(SQRT((VLOOKUP(F$1,DATA!$A$3:$F$301,2,FALSE)-VLOOKUP($A27,DATA!$A$3:$F$301,2,FALSE))^2+(VLOOKUP(F$1,DATA!$A$3:$F$301,3,FALSE)-VLOOKUP($A27,DATA!$A$3:$F$301,3,FALSE))^2),"")</f>
        <v>20.09975124224178</v>
      </c>
      <c r="G27" s="14">
        <f>_xlfn.IFNA(SQRT((VLOOKUP(G$1,DATA!$A$3:$F$301,2,FALSE)-VLOOKUP($A27,DATA!$A$3:$F$301,2,FALSE))^2+(VLOOKUP(G$1,DATA!$A$3:$F$301,3,FALSE)-VLOOKUP($A27,DATA!$A$3:$F$301,3,FALSE))^2),"")</f>
        <v>16.401219466856727</v>
      </c>
      <c r="H27" s="14">
        <f>_xlfn.IFNA(SQRT((VLOOKUP(H$1,DATA!$A$3:$F$301,2,FALSE)-VLOOKUP($A27,DATA!$A$3:$F$301,2,FALSE))^2+(VLOOKUP(H$1,DATA!$A$3:$F$301,3,FALSE)-VLOOKUP($A27,DATA!$A$3:$F$301,3,FALSE))^2),"")</f>
        <v>29.832867780352597</v>
      </c>
      <c r="I27" s="14">
        <f>_xlfn.IFNA(SQRT((VLOOKUP(I$1,DATA!$A$3:$F$301,2,FALSE)-VLOOKUP($A27,DATA!$A$3:$F$301,2,FALSE))^2+(VLOOKUP(I$1,DATA!$A$3:$F$301,3,FALSE)-VLOOKUP($A27,DATA!$A$3:$F$301,3,FALSE))^2),"")</f>
        <v>15</v>
      </c>
      <c r="J27" s="14">
        <f>_xlfn.IFNA(SQRT((VLOOKUP(J$1,DATA!$A$3:$F$301,2,FALSE)-VLOOKUP($A27,DATA!$A$3:$F$301,2,FALSE))^2+(VLOOKUP(J$1,DATA!$A$3:$F$301,3,FALSE)-VLOOKUP($A27,DATA!$A$3:$F$301,3,FALSE))^2),"")</f>
        <v>17.262676501632068</v>
      </c>
      <c r="K27" s="14">
        <f>_xlfn.IFNA(SQRT((VLOOKUP(K$1,DATA!$A$3:$F$301,2,FALSE)-VLOOKUP($A27,DATA!$A$3:$F$301,2,FALSE))^2+(VLOOKUP(K$1,DATA!$A$3:$F$301,3,FALSE)-VLOOKUP($A27,DATA!$A$3:$F$301,3,FALSE))^2),"")</f>
        <v>37.589892258425003</v>
      </c>
      <c r="L27" s="14">
        <f>_xlfn.IFNA(SQRT((VLOOKUP(L$1,DATA!$A$3:$F$301,2,FALSE)-VLOOKUP($A27,DATA!$A$3:$F$301,2,FALSE))^2+(VLOOKUP(L$1,DATA!$A$3:$F$301,3,FALSE)-VLOOKUP($A27,DATA!$A$3:$F$301,3,FALSE))^2),"")</f>
        <v>17.464249196572979</v>
      </c>
      <c r="M27" s="14">
        <f>_xlfn.IFNA(SQRT((VLOOKUP(M$1,DATA!$A$3:$F$301,2,FALSE)-VLOOKUP($A27,DATA!$A$3:$F$301,2,FALSE))^2+(VLOOKUP(M$1,DATA!$A$3:$F$301,3,FALSE)-VLOOKUP($A27,DATA!$A$3:$F$301,3,FALSE))^2),"")</f>
        <v>13.45362404707371</v>
      </c>
      <c r="N27" s="14">
        <f>_xlfn.IFNA(SQRT((VLOOKUP(N$1,DATA!$A$3:$F$301,2,FALSE)-VLOOKUP($A27,DATA!$A$3:$F$301,2,FALSE))^2+(VLOOKUP(N$1,DATA!$A$3:$F$301,3,FALSE)-VLOOKUP($A27,DATA!$A$3:$F$301,3,FALSE))^2),"")</f>
        <v>21.587033144922902</v>
      </c>
      <c r="O27" s="14">
        <f>_xlfn.IFNA(SQRT((VLOOKUP(O$1,DATA!$A$3:$F$301,2,FALSE)-VLOOKUP($A27,DATA!$A$3:$F$301,2,FALSE))^2+(VLOOKUP(O$1,DATA!$A$3:$F$301,3,FALSE)-VLOOKUP($A27,DATA!$A$3:$F$301,3,FALSE))^2),"")</f>
        <v>23.769728648009426</v>
      </c>
      <c r="P27" s="14">
        <f>_xlfn.IFNA(SQRT((VLOOKUP(P$1,DATA!$A$3:$F$301,2,FALSE)-VLOOKUP($A27,DATA!$A$3:$F$301,2,FALSE))^2+(VLOOKUP(P$1,DATA!$A$3:$F$301,3,FALSE)-VLOOKUP($A27,DATA!$A$3:$F$301,3,FALSE))^2),"")</f>
        <v>20.615528128088304</v>
      </c>
      <c r="Q27" s="14">
        <f>_xlfn.IFNA(SQRT((VLOOKUP(Q$1,DATA!$A$3:$F$301,2,FALSE)-VLOOKUP($A27,DATA!$A$3:$F$301,2,FALSE))^2+(VLOOKUP(Q$1,DATA!$A$3:$F$301,3,FALSE)-VLOOKUP($A27,DATA!$A$3:$F$301,3,FALSE))^2),"")</f>
        <v>17.691806012954132</v>
      </c>
      <c r="R27" s="14">
        <f>_xlfn.IFNA(SQRT((VLOOKUP(R$1,DATA!$A$3:$F$301,2,FALSE)-VLOOKUP($A27,DATA!$A$3:$F$301,2,FALSE))^2+(VLOOKUP(R$1,DATA!$A$3:$F$301,3,FALSE)-VLOOKUP($A27,DATA!$A$3:$F$301,3,FALSE))^2),"")</f>
        <v>36.878177829171548</v>
      </c>
      <c r="S27" s="14">
        <f>_xlfn.IFNA(SQRT((VLOOKUP(S$1,DATA!$A$3:$F$301,2,FALSE)-VLOOKUP($A27,DATA!$A$3:$F$301,2,FALSE))^2+(VLOOKUP(S$1,DATA!$A$3:$F$301,3,FALSE)-VLOOKUP($A27,DATA!$A$3:$F$301,3,FALSE))^2),"")</f>
        <v>10</v>
      </c>
      <c r="T27" s="14">
        <f>_xlfn.IFNA(SQRT((VLOOKUP(T$1,DATA!$A$3:$F$301,2,FALSE)-VLOOKUP($A27,DATA!$A$3:$F$301,2,FALSE))^2+(VLOOKUP(T$1,DATA!$A$3:$F$301,3,FALSE)-VLOOKUP($A27,DATA!$A$3:$F$301,3,FALSE))^2),"")</f>
        <v>14.422205101855956</v>
      </c>
      <c r="U27" s="14">
        <f>_xlfn.IFNA(SQRT((VLOOKUP(U$1,DATA!$A$3:$F$301,2,FALSE)-VLOOKUP($A27,DATA!$A$3:$F$301,2,FALSE))^2+(VLOOKUP(U$1,DATA!$A$3:$F$301,3,FALSE)-VLOOKUP($A27,DATA!$A$3:$F$301,3,FALSE))^2),"")</f>
        <v>31.144823004794873</v>
      </c>
      <c r="V27" s="14">
        <f>_xlfn.IFNA(SQRT((VLOOKUP(V$1,DATA!$A$3:$F$301,2,FALSE)-VLOOKUP($A27,DATA!$A$3:$F$301,2,FALSE))^2+(VLOOKUP(V$1,DATA!$A$3:$F$301,3,FALSE)-VLOOKUP($A27,DATA!$A$3:$F$301,3,FALSE))^2),"")</f>
        <v>24.186773244895647</v>
      </c>
      <c r="W27" s="14">
        <f>_xlfn.IFNA(SQRT((VLOOKUP(W$1,DATA!$A$3:$F$301,2,FALSE)-VLOOKUP($A27,DATA!$A$3:$F$301,2,FALSE))^2+(VLOOKUP(W$1,DATA!$A$3:$F$301,3,FALSE)-VLOOKUP($A27,DATA!$A$3:$F$301,3,FALSE))^2),"")</f>
        <v>32.249030993194197</v>
      </c>
      <c r="X27" s="14">
        <f>_xlfn.IFNA(SQRT((VLOOKUP(X$1,DATA!$A$3:$F$301,2,FALSE)-VLOOKUP($A27,DATA!$A$3:$F$301,2,FALSE))^2+(VLOOKUP(X$1,DATA!$A$3:$F$301,3,FALSE)-VLOOKUP($A27,DATA!$A$3:$F$301,3,FALSE))^2),"")</f>
        <v>36.400549446402593</v>
      </c>
      <c r="Y27" s="14">
        <f>_xlfn.IFNA(SQRT((VLOOKUP(Y$1,DATA!$A$3:$F$301,2,FALSE)-VLOOKUP($A27,DATA!$A$3:$F$301,2,FALSE))^2+(VLOOKUP(Y$1,DATA!$A$3:$F$301,3,FALSE)-VLOOKUP($A27,DATA!$A$3:$F$301,3,FALSE))^2),"")</f>
        <v>14.035668847618199</v>
      </c>
      <c r="Z27" s="14">
        <f>_xlfn.IFNA(SQRT((VLOOKUP(Z$1,DATA!$A$3:$F$301,2,FALSE)-VLOOKUP($A27,DATA!$A$3:$F$301,2,FALSE))^2+(VLOOKUP(Z$1,DATA!$A$3:$F$301,3,FALSE)-VLOOKUP($A27,DATA!$A$3:$F$301,3,FALSE))^2),"")</f>
        <v>37.483329627982627</v>
      </c>
      <c r="AA27" s="14">
        <f>_xlfn.IFNA(SQRT((VLOOKUP(AA$1,DATA!$A$3:$F$301,2,FALSE)-VLOOKUP($A27,DATA!$A$3:$F$301,2,FALSE))^2+(VLOOKUP(AA$1,DATA!$A$3:$F$301,3,FALSE)-VLOOKUP($A27,DATA!$A$3:$F$301,3,FALSE))^2),"")</f>
        <v>0</v>
      </c>
      <c r="AB27" s="14">
        <f>_xlfn.IFNA(SQRT((VLOOKUP(AB$1,DATA!$A$3:$F$301,2,FALSE)-VLOOKUP($A27,DATA!$A$3:$F$301,2,FALSE))^2+(VLOOKUP(AB$1,DATA!$A$3:$F$301,3,FALSE)-VLOOKUP($A27,DATA!$A$3:$F$301,3,FALSE))^2),"")</f>
        <v>38.275318418009277</v>
      </c>
      <c r="AC27" s="14">
        <f>_xlfn.IFNA(SQRT((VLOOKUP(AC$1,DATA!$A$3:$F$301,2,FALSE)-VLOOKUP($A27,DATA!$A$3:$F$301,2,FALSE))^2+(VLOOKUP(AC$1,DATA!$A$3:$F$301,3,FALSE)-VLOOKUP($A27,DATA!$A$3:$F$301,3,FALSE))^2),"")</f>
        <v>11</v>
      </c>
      <c r="AD27" s="14">
        <f>_xlfn.IFNA(SQRT((VLOOKUP(AD$1,DATA!$A$3:$F$301,2,FALSE)-VLOOKUP($A27,DATA!$A$3:$F$301,2,FALSE))^2+(VLOOKUP(AD$1,DATA!$A$3:$F$301,3,FALSE)-VLOOKUP($A27,DATA!$A$3:$F$301,3,FALSE))^2),"")</f>
        <v>37.735924528226413</v>
      </c>
      <c r="AE27" s="14">
        <f>_xlfn.IFNA(SQRT((VLOOKUP(AE$1,DATA!$A$3:$F$301,2,FALSE)-VLOOKUP($A27,DATA!$A$3:$F$301,2,FALSE))^2+(VLOOKUP(AE$1,DATA!$A$3:$F$301,3,FALSE)-VLOOKUP($A27,DATA!$A$3:$F$301,3,FALSE))^2),"")</f>
        <v>27.018512172212592</v>
      </c>
      <c r="AF27" s="14">
        <f>_xlfn.IFNA(SQRT((VLOOKUP(AF$1,DATA!$A$3:$F$301,2,FALSE)-VLOOKUP($A27,DATA!$A$3:$F$301,2,FALSE))^2+(VLOOKUP(AF$1,DATA!$A$3:$F$301,3,FALSE)-VLOOKUP($A27,DATA!$A$3:$F$301,3,FALSE))^2),"")</f>
        <v>32.280024783137947</v>
      </c>
      <c r="AG27" s="14">
        <f>_xlfn.IFNA(SQRT((VLOOKUP(AG$1,DATA!$A$3:$F$301,2,FALSE)-VLOOKUP($A27,DATA!$A$3:$F$301,2,FALSE))^2+(VLOOKUP(AG$1,DATA!$A$3:$F$301,3,FALSE)-VLOOKUP($A27,DATA!$A$3:$F$301,3,FALSE))^2),"")</f>
        <v>11.180339887498949</v>
      </c>
      <c r="AH27" s="14">
        <f>_xlfn.IFNA(SQRT((VLOOKUP(AH$1,DATA!$A$3:$F$301,2,FALSE)-VLOOKUP($A27,DATA!$A$3:$F$301,2,FALSE))^2+(VLOOKUP(AH$1,DATA!$A$3:$F$301,3,FALSE)-VLOOKUP($A27,DATA!$A$3:$F$301,3,FALSE))^2),"")</f>
        <v>13.152946437965905</v>
      </c>
      <c r="AI27" s="14">
        <f>_xlfn.IFNA(SQRT((VLOOKUP(AI$1,DATA!$A$3:$F$301,2,FALSE)-VLOOKUP($A27,DATA!$A$3:$F$301,2,FALSE))^2+(VLOOKUP(AI$1,DATA!$A$3:$F$301,3,FALSE)-VLOOKUP($A27,DATA!$A$3:$F$301,3,FALSE))^2),"")</f>
        <v>36.345563690772494</v>
      </c>
      <c r="AJ27" s="14">
        <f>_xlfn.IFNA(SQRT((VLOOKUP(AJ$1,DATA!$A$3:$F$301,2,FALSE)-VLOOKUP($A27,DATA!$A$3:$F$301,2,FALSE))^2+(VLOOKUP(AJ$1,DATA!$A$3:$F$301,3,FALSE)-VLOOKUP($A27,DATA!$A$3:$F$301,3,FALSE))^2),"")</f>
        <v>24.839484696748443</v>
      </c>
      <c r="AK27" s="14">
        <f>_xlfn.IFNA(SQRT((VLOOKUP(AK$1,DATA!$A$3:$F$301,2,FALSE)-VLOOKUP($A27,DATA!$A$3:$F$301,2,FALSE))^2+(VLOOKUP(AK$1,DATA!$A$3:$F$301,3,FALSE)-VLOOKUP($A27,DATA!$A$3:$F$301,3,FALSE))^2),"")</f>
        <v>8.0622577482985491</v>
      </c>
      <c r="AL27" s="14">
        <f>_xlfn.IFNA(SQRT((VLOOKUP(AL$1,DATA!$A$3:$F$301,2,FALSE)-VLOOKUP($A27,DATA!$A$3:$F$301,2,FALSE))^2+(VLOOKUP(AL$1,DATA!$A$3:$F$301,3,FALSE)-VLOOKUP($A27,DATA!$A$3:$F$301,3,FALSE))^2),"")</f>
        <v>14.866068747318506</v>
      </c>
      <c r="AM27" s="14">
        <f>_xlfn.IFNA(SQRT((VLOOKUP(AM$1,DATA!$A$3:$F$301,2,FALSE)-VLOOKUP($A27,DATA!$A$3:$F$301,2,FALSE))^2+(VLOOKUP(AM$1,DATA!$A$3:$F$301,3,FALSE)-VLOOKUP($A27,DATA!$A$3:$F$301,3,FALSE))^2),"")</f>
        <v>4.2426406871192848</v>
      </c>
      <c r="AN27" s="14">
        <f>_xlfn.IFNA(SQRT((VLOOKUP(AN$1,DATA!$A$3:$F$301,2,FALSE)-VLOOKUP($A27,DATA!$A$3:$F$301,2,FALSE))^2+(VLOOKUP(AN$1,DATA!$A$3:$F$301,3,FALSE)-VLOOKUP($A27,DATA!$A$3:$F$301,3,FALSE))^2),"")</f>
        <v>38.587562763149478</v>
      </c>
      <c r="AO27" s="14">
        <f>_xlfn.IFNA(SQRT((VLOOKUP(AO$1,DATA!$A$3:$F$301,2,FALSE)-VLOOKUP($A27,DATA!$A$3:$F$301,2,FALSE))^2+(VLOOKUP(AO$1,DATA!$A$3:$F$301,3,FALSE)-VLOOKUP($A27,DATA!$A$3:$F$301,3,FALSE))^2),"")</f>
        <v>8.9442719099991592</v>
      </c>
      <c r="AP27" s="14" t="str">
        <f>_xlfn.IFNA(SQRT((VLOOKUP(AP$1,DATA!$A$3:$F$301,2,FALSE)-VLOOKUP($A27,DATA!$A$3:$F$301,2,FALSE))^2+(VLOOKUP(AP$1,DATA!$A$3:$F$301,3,FALSE)-VLOOKUP($A27,DATA!$A$3:$F$301,3,FALSE))^2),"")</f>
        <v/>
      </c>
      <c r="AQ27" s="14" t="str">
        <f>_xlfn.IFNA(SQRT((VLOOKUP(AQ$1,DATA!$A$3:$F$301,2,FALSE)-VLOOKUP($A27,DATA!$A$3:$F$301,2,FALSE))^2+(VLOOKUP(AQ$1,DATA!$A$3:$F$301,3,FALSE)-VLOOKUP($A27,DATA!$A$3:$F$301,3,FALSE))^2),"")</f>
        <v/>
      </c>
      <c r="AR27" s="14" t="str">
        <f>_xlfn.IFNA(SQRT((VLOOKUP(AR$1,DATA!$A$3:$F$301,2,FALSE)-VLOOKUP($A27,DATA!$A$3:$F$301,2,FALSE))^2+(VLOOKUP(AR$1,DATA!$A$3:$F$301,3,FALSE)-VLOOKUP($A27,DATA!$A$3:$F$301,3,FALSE))^2),"")</f>
        <v/>
      </c>
      <c r="AS27" s="14" t="str">
        <f>_xlfn.IFNA(SQRT((VLOOKUP(AS$1,DATA!$A$3:$F$301,2,FALSE)-VLOOKUP($A27,DATA!$A$3:$F$301,2,FALSE))^2+(VLOOKUP(AS$1,DATA!$A$3:$F$301,3,FALSE)-VLOOKUP($A27,DATA!$A$3:$F$301,3,FALSE))^2),"")</f>
        <v/>
      </c>
      <c r="AT27" s="14" t="str">
        <f>_xlfn.IFNA(SQRT((VLOOKUP(AT$1,DATA!$A$3:$F$301,2,FALSE)-VLOOKUP($A27,DATA!$A$3:$F$301,2,FALSE))^2+(VLOOKUP(AT$1,DATA!$A$3:$F$301,3,FALSE)-VLOOKUP($A27,DATA!$A$3:$F$301,3,FALSE))^2),"")</f>
        <v/>
      </c>
      <c r="AU27" s="14" t="str">
        <f>_xlfn.IFNA(SQRT((VLOOKUP(AU$1,DATA!$A$3:$F$301,2,FALSE)-VLOOKUP($A27,DATA!$A$3:$F$301,2,FALSE))^2+(VLOOKUP(AU$1,DATA!$A$3:$F$301,3,FALSE)-VLOOKUP($A27,DATA!$A$3:$F$301,3,FALSE))^2),"")</f>
        <v/>
      </c>
      <c r="AV27" s="14" t="str">
        <f>_xlfn.IFNA(SQRT((VLOOKUP(AV$1,DATA!$A$3:$F$301,2,FALSE)-VLOOKUP($A27,DATA!$A$3:$F$301,2,FALSE))^2+(VLOOKUP(AV$1,DATA!$A$3:$F$301,3,FALSE)-VLOOKUP($A27,DATA!$A$3:$F$301,3,FALSE))^2),"")</f>
        <v/>
      </c>
      <c r="AW27" s="14" t="str">
        <f>_xlfn.IFNA(SQRT((VLOOKUP(AW$1,DATA!$A$3:$F$301,2,FALSE)-VLOOKUP($A27,DATA!$A$3:$F$301,2,FALSE))^2+(VLOOKUP(AW$1,DATA!$A$3:$F$301,3,FALSE)-VLOOKUP($A27,DATA!$A$3:$F$301,3,FALSE))^2),"")</f>
        <v/>
      </c>
      <c r="AX27" s="14" t="str">
        <f>_xlfn.IFNA(SQRT((VLOOKUP(AX$1,DATA!$A$3:$F$301,2,FALSE)-VLOOKUP($A27,DATA!$A$3:$F$301,2,FALSE))^2+(VLOOKUP(AX$1,DATA!$A$3:$F$301,3,FALSE)-VLOOKUP($A27,DATA!$A$3:$F$301,3,FALSE))^2),"")</f>
        <v/>
      </c>
      <c r="AY27" s="14" t="str">
        <f>_xlfn.IFNA(SQRT((VLOOKUP(AY$1,DATA!$A$3:$F$301,2,FALSE)-VLOOKUP($A27,DATA!$A$3:$F$301,2,FALSE))^2+(VLOOKUP(AY$1,DATA!$A$3:$F$301,3,FALSE)-VLOOKUP($A27,DATA!$A$3:$F$301,3,FALSE))^2),"")</f>
        <v/>
      </c>
      <c r="AZ27" s="14" t="str">
        <f>_xlfn.IFNA(SQRT((VLOOKUP(AZ$1,DATA!$A$3:$F$301,2,FALSE)-VLOOKUP($A27,DATA!$A$3:$F$301,2,FALSE))^2+(VLOOKUP(AZ$1,DATA!$A$3:$F$301,3,FALSE)-VLOOKUP($A27,DATA!$A$3:$F$301,3,FALSE))^2),"")</f>
        <v/>
      </c>
      <c r="BA27" s="14" t="str">
        <f>_xlfn.IFNA(SQRT((VLOOKUP(BA$1,DATA!$A$3:$F$301,2,FALSE)-VLOOKUP($A27,DATA!$A$3:$F$301,2,FALSE))^2+(VLOOKUP(BA$1,DATA!$A$3:$F$301,3,FALSE)-VLOOKUP($A27,DATA!$A$3:$F$301,3,FALSE))^2),"")</f>
        <v/>
      </c>
      <c r="BB27" s="14" t="str">
        <f>_xlfn.IFNA(SQRT((VLOOKUP(BB$1,DATA!$A$3:$F$301,2,FALSE)-VLOOKUP($A27,DATA!$A$3:$F$301,2,FALSE))^2+(VLOOKUP(BB$1,DATA!$A$3:$F$301,3,FALSE)-VLOOKUP($A27,DATA!$A$3:$F$301,3,FALSE))^2),"")</f>
        <v/>
      </c>
      <c r="BC27" s="14" t="str">
        <f>_xlfn.IFNA(SQRT((VLOOKUP(BC$1,DATA!$A$3:$F$301,2,FALSE)-VLOOKUP($A27,DATA!$A$3:$F$301,2,FALSE))^2+(VLOOKUP(BC$1,DATA!$A$3:$F$301,3,FALSE)-VLOOKUP($A27,DATA!$A$3:$F$301,3,FALSE))^2),"")</f>
        <v/>
      </c>
      <c r="BD27" s="14" t="str">
        <f>_xlfn.IFNA(SQRT((VLOOKUP(BD$1,DATA!$A$3:$F$301,2,FALSE)-VLOOKUP($A27,DATA!$A$3:$F$301,2,FALSE))^2+(VLOOKUP(BD$1,DATA!$A$3:$F$301,3,FALSE)-VLOOKUP($A27,DATA!$A$3:$F$301,3,FALSE))^2),"")</f>
        <v/>
      </c>
      <c r="BE27" s="14" t="str">
        <f>_xlfn.IFNA(SQRT((VLOOKUP(BE$1,DATA!$A$3:$F$301,2,FALSE)-VLOOKUP($A27,DATA!$A$3:$F$301,2,FALSE))^2+(VLOOKUP(BE$1,DATA!$A$3:$F$301,3,FALSE)-VLOOKUP($A27,DATA!$A$3:$F$301,3,FALSE))^2),"")</f>
        <v/>
      </c>
      <c r="BF27" s="14" t="str">
        <f>_xlfn.IFNA(SQRT((VLOOKUP(BF$1,DATA!$A$3:$F$301,2,FALSE)-VLOOKUP($A27,DATA!$A$3:$F$301,2,FALSE))^2+(VLOOKUP(BF$1,DATA!$A$3:$F$301,3,FALSE)-VLOOKUP($A27,DATA!$A$3:$F$301,3,FALSE))^2),"")</f>
        <v/>
      </c>
      <c r="BG27" s="14" t="str">
        <f>_xlfn.IFNA(SQRT((VLOOKUP(BG$1,DATA!$A$3:$F$301,2,FALSE)-VLOOKUP($A27,DATA!$A$3:$F$301,2,FALSE))^2+(VLOOKUP(BG$1,DATA!$A$3:$F$301,3,FALSE)-VLOOKUP($A27,DATA!$A$3:$F$301,3,FALSE))^2),"")</f>
        <v/>
      </c>
      <c r="BH27" s="14" t="str">
        <f>_xlfn.IFNA(SQRT((VLOOKUP(BH$1,DATA!$A$3:$F$301,2,FALSE)-VLOOKUP($A27,DATA!$A$3:$F$301,2,FALSE))^2+(VLOOKUP(BH$1,DATA!$A$3:$F$301,3,FALSE)-VLOOKUP($A27,DATA!$A$3:$F$301,3,FALSE))^2),"")</f>
        <v/>
      </c>
      <c r="BI27" s="14" t="str">
        <f>_xlfn.IFNA(SQRT((VLOOKUP(BI$1,DATA!$A$3:$F$301,2,FALSE)-VLOOKUP($A27,DATA!$A$3:$F$301,2,FALSE))^2+(VLOOKUP(BI$1,DATA!$A$3:$F$301,3,FALSE)-VLOOKUP($A27,DATA!$A$3:$F$301,3,FALSE))^2),"")</f>
        <v/>
      </c>
      <c r="BJ27" s="14" t="str">
        <f>_xlfn.IFNA(SQRT((VLOOKUP(BJ$1,DATA!$A$3:$F$301,2,FALSE)-VLOOKUP($A27,DATA!$A$3:$F$301,2,FALSE))^2+(VLOOKUP(BJ$1,DATA!$A$3:$F$301,3,FALSE)-VLOOKUP($A27,DATA!$A$3:$F$301,3,FALSE))^2),"")</f>
        <v/>
      </c>
      <c r="BK27" s="14" t="str">
        <f>_xlfn.IFNA(SQRT((VLOOKUP(BK$1,DATA!$A$3:$F$301,2,FALSE)-VLOOKUP($A27,DATA!$A$3:$F$301,2,FALSE))^2+(VLOOKUP(BK$1,DATA!$A$3:$F$301,3,FALSE)-VLOOKUP($A27,DATA!$A$3:$F$301,3,FALSE))^2),"")</f>
        <v/>
      </c>
      <c r="BL27" s="14" t="str">
        <f>_xlfn.IFNA(SQRT((VLOOKUP(BL$1,DATA!$A$3:$F$301,2,FALSE)-VLOOKUP($A27,DATA!$A$3:$F$301,2,FALSE))^2+(VLOOKUP(BL$1,DATA!$A$3:$F$301,3,FALSE)-VLOOKUP($A27,DATA!$A$3:$F$301,3,FALSE))^2),"")</f>
        <v/>
      </c>
      <c r="BM27" s="14" t="str">
        <f>_xlfn.IFNA(SQRT((VLOOKUP(BM$1,DATA!$A$3:$F$301,2,FALSE)-VLOOKUP($A27,DATA!$A$3:$F$301,2,FALSE))^2+(VLOOKUP(BM$1,DATA!$A$3:$F$301,3,FALSE)-VLOOKUP($A27,DATA!$A$3:$F$301,3,FALSE))^2),"")</f>
        <v/>
      </c>
      <c r="BN27" s="14" t="str">
        <f>_xlfn.IFNA(SQRT((VLOOKUP(BN$1,DATA!$A$3:$F$301,2,FALSE)-VLOOKUP($A27,DATA!$A$3:$F$301,2,FALSE))^2+(VLOOKUP(BN$1,DATA!$A$3:$F$301,3,FALSE)-VLOOKUP($A27,DATA!$A$3:$F$301,3,FALSE))^2),"")</f>
        <v/>
      </c>
      <c r="BO27" s="14" t="str">
        <f>_xlfn.IFNA(SQRT((VLOOKUP(BO$1,DATA!$A$3:$F$301,2,FALSE)-VLOOKUP($A27,DATA!$A$3:$F$301,2,FALSE))^2+(VLOOKUP(BO$1,DATA!$A$3:$F$301,3,FALSE)-VLOOKUP($A27,DATA!$A$3:$F$301,3,FALSE))^2),"")</f>
        <v/>
      </c>
      <c r="BP27" s="14" t="str">
        <f>_xlfn.IFNA(SQRT((VLOOKUP(BP$1,DATA!$A$3:$F$301,2,FALSE)-VLOOKUP($A27,DATA!$A$3:$F$301,2,FALSE))^2+(VLOOKUP(BP$1,DATA!$A$3:$F$301,3,FALSE)-VLOOKUP($A27,DATA!$A$3:$F$301,3,FALSE))^2),"")</f>
        <v/>
      </c>
      <c r="BQ27" s="14" t="str">
        <f>_xlfn.IFNA(SQRT((VLOOKUP(BQ$1,DATA!$A$3:$F$301,2,FALSE)-VLOOKUP($A27,DATA!$A$3:$F$301,2,FALSE))^2+(VLOOKUP(BQ$1,DATA!$A$3:$F$301,3,FALSE)-VLOOKUP($A27,DATA!$A$3:$F$301,3,FALSE))^2),"")</f>
        <v/>
      </c>
      <c r="BR27" s="14" t="str">
        <f>_xlfn.IFNA(SQRT((VLOOKUP(BR$1,DATA!$A$3:$F$301,2,FALSE)-VLOOKUP($A27,DATA!$A$3:$F$301,2,FALSE))^2+(VLOOKUP(BR$1,DATA!$A$3:$F$301,3,FALSE)-VLOOKUP($A27,DATA!$A$3:$F$301,3,FALSE))^2),"")</f>
        <v/>
      </c>
      <c r="BS27" s="14" t="str">
        <f>_xlfn.IFNA(SQRT((VLOOKUP(BS$1,DATA!$A$3:$F$301,2,FALSE)-VLOOKUP($A27,DATA!$A$3:$F$301,2,FALSE))^2+(VLOOKUP(BS$1,DATA!$A$3:$F$301,3,FALSE)-VLOOKUP($A27,DATA!$A$3:$F$301,3,FALSE))^2),"")</f>
        <v/>
      </c>
      <c r="BT27" s="14" t="str">
        <f>_xlfn.IFNA(SQRT((VLOOKUP(BT$1,DATA!$A$3:$F$301,2,FALSE)-VLOOKUP($A27,DATA!$A$3:$F$301,2,FALSE))^2+(VLOOKUP(BT$1,DATA!$A$3:$F$301,3,FALSE)-VLOOKUP($A27,DATA!$A$3:$F$301,3,FALSE))^2),"")</f>
        <v/>
      </c>
      <c r="BU27" s="14" t="str">
        <f>_xlfn.IFNA(SQRT((VLOOKUP(BU$1,DATA!$A$3:$F$301,2,FALSE)-VLOOKUP($A27,DATA!$A$3:$F$301,2,FALSE))^2+(VLOOKUP(BU$1,DATA!$A$3:$F$301,3,FALSE)-VLOOKUP($A27,DATA!$A$3:$F$301,3,FALSE))^2),"")</f>
        <v/>
      </c>
      <c r="BV27" s="14" t="str">
        <f>_xlfn.IFNA(SQRT((VLOOKUP(BV$1,DATA!$A$3:$F$301,2,FALSE)-VLOOKUP($A27,DATA!$A$3:$F$301,2,FALSE))^2+(VLOOKUP(BV$1,DATA!$A$3:$F$301,3,FALSE)-VLOOKUP($A27,DATA!$A$3:$F$301,3,FALSE))^2),"")</f>
        <v/>
      </c>
      <c r="BW27" s="14" t="str">
        <f>_xlfn.IFNA(SQRT((VLOOKUP(BW$1,DATA!$A$3:$F$301,2,FALSE)-VLOOKUP($A27,DATA!$A$3:$F$301,2,FALSE))^2+(VLOOKUP(BW$1,DATA!$A$3:$F$301,3,FALSE)-VLOOKUP($A27,DATA!$A$3:$F$301,3,FALSE))^2),"")</f>
        <v/>
      </c>
      <c r="BX27" s="14" t="str">
        <f>_xlfn.IFNA(SQRT((VLOOKUP(BX$1,DATA!$A$3:$F$301,2,FALSE)-VLOOKUP($A27,DATA!$A$3:$F$301,2,FALSE))^2+(VLOOKUP(BX$1,DATA!$A$3:$F$301,3,FALSE)-VLOOKUP($A27,DATA!$A$3:$F$301,3,FALSE))^2),"")</f>
        <v/>
      </c>
      <c r="BY27" s="14" t="str">
        <f>_xlfn.IFNA(SQRT((VLOOKUP(BY$1,DATA!$A$3:$F$301,2,FALSE)-VLOOKUP($A27,DATA!$A$3:$F$301,2,FALSE))^2+(VLOOKUP(BY$1,DATA!$A$3:$F$301,3,FALSE)-VLOOKUP($A27,DATA!$A$3:$F$301,3,FALSE))^2),"")</f>
        <v/>
      </c>
      <c r="BZ27" s="14" t="str">
        <f>_xlfn.IFNA(SQRT((VLOOKUP(BZ$1,DATA!$A$3:$F$301,2,FALSE)-VLOOKUP($A27,DATA!$A$3:$F$301,2,FALSE))^2+(VLOOKUP(BZ$1,DATA!$A$3:$F$301,3,FALSE)-VLOOKUP($A27,DATA!$A$3:$F$301,3,FALSE))^2),"")</f>
        <v/>
      </c>
      <c r="CA27" s="14" t="str">
        <f>_xlfn.IFNA(SQRT((VLOOKUP(CA$1,DATA!$A$3:$F$301,2,FALSE)-VLOOKUP($A27,DATA!$A$3:$F$301,2,FALSE))^2+(VLOOKUP(CA$1,DATA!$A$3:$F$301,3,FALSE)-VLOOKUP($A27,DATA!$A$3:$F$301,3,FALSE))^2),"")</f>
        <v/>
      </c>
      <c r="CB27" s="14" t="str">
        <f>_xlfn.IFNA(SQRT((VLOOKUP(CB$1,DATA!$A$3:$F$301,2,FALSE)-VLOOKUP($A27,DATA!$A$3:$F$301,2,FALSE))^2+(VLOOKUP(CB$1,DATA!$A$3:$F$301,3,FALSE)-VLOOKUP($A27,DATA!$A$3:$F$301,3,FALSE))^2),"")</f>
        <v/>
      </c>
      <c r="CC27" s="14" t="str">
        <f>_xlfn.IFNA(SQRT((VLOOKUP(CC$1,DATA!$A$3:$F$301,2,FALSE)-VLOOKUP($A27,DATA!$A$3:$F$301,2,FALSE))^2+(VLOOKUP(CC$1,DATA!$A$3:$F$301,3,FALSE)-VLOOKUP($A27,DATA!$A$3:$F$301,3,FALSE))^2),"")</f>
        <v/>
      </c>
      <c r="CD27" s="14" t="str">
        <f>_xlfn.IFNA(SQRT((VLOOKUP(CD$1,DATA!$A$3:$F$301,2,FALSE)-VLOOKUP($A27,DATA!$A$3:$F$301,2,FALSE))^2+(VLOOKUP(CD$1,DATA!$A$3:$F$301,3,FALSE)-VLOOKUP($A27,DATA!$A$3:$F$301,3,FALSE))^2),"")</f>
        <v/>
      </c>
      <c r="CE27" s="14" t="str">
        <f>_xlfn.IFNA(SQRT((VLOOKUP(CE$1,DATA!$A$3:$F$301,2,FALSE)-VLOOKUP($A27,DATA!$A$3:$F$301,2,FALSE))^2+(VLOOKUP(CE$1,DATA!$A$3:$F$301,3,FALSE)-VLOOKUP($A27,DATA!$A$3:$F$301,3,FALSE))^2),"")</f>
        <v/>
      </c>
      <c r="CF27" s="14" t="str">
        <f>_xlfn.IFNA(SQRT((VLOOKUP(CF$1,DATA!$A$3:$F$301,2,FALSE)-VLOOKUP($A27,DATA!$A$3:$F$301,2,FALSE))^2+(VLOOKUP(CF$1,DATA!$A$3:$F$301,3,FALSE)-VLOOKUP($A27,DATA!$A$3:$F$301,3,FALSE))^2),"")</f>
        <v/>
      </c>
      <c r="CG27" s="14" t="str">
        <f>_xlfn.IFNA(SQRT((VLOOKUP(CG$1,DATA!$A$3:$F$301,2,FALSE)-VLOOKUP($A27,DATA!$A$3:$F$301,2,FALSE))^2+(VLOOKUP(CG$1,DATA!$A$3:$F$301,3,FALSE)-VLOOKUP($A27,DATA!$A$3:$F$301,3,FALSE))^2),"")</f>
        <v/>
      </c>
      <c r="CH27" s="14" t="str">
        <f>_xlfn.IFNA(SQRT((VLOOKUP(CH$1,DATA!$A$3:$F$301,2,FALSE)-VLOOKUP($A27,DATA!$A$3:$F$301,2,FALSE))^2+(VLOOKUP(CH$1,DATA!$A$3:$F$301,3,FALSE)-VLOOKUP($A27,DATA!$A$3:$F$301,3,FALSE))^2),"")</f>
        <v/>
      </c>
      <c r="CI27" s="14" t="str">
        <f>_xlfn.IFNA(SQRT((VLOOKUP(CI$1,DATA!$A$3:$F$301,2,FALSE)-VLOOKUP($A27,DATA!$A$3:$F$301,2,FALSE))^2+(VLOOKUP(CI$1,DATA!$A$3:$F$301,3,FALSE)-VLOOKUP($A27,DATA!$A$3:$F$301,3,FALSE))^2),"")</f>
        <v/>
      </c>
      <c r="CJ27" s="14" t="str">
        <f>_xlfn.IFNA(SQRT((VLOOKUP(CJ$1,DATA!$A$3:$F$301,2,FALSE)-VLOOKUP($A27,DATA!$A$3:$F$301,2,FALSE))^2+(VLOOKUP(CJ$1,DATA!$A$3:$F$301,3,FALSE)-VLOOKUP($A27,DATA!$A$3:$F$301,3,FALSE))^2),"")</f>
        <v/>
      </c>
      <c r="CK27" s="14" t="str">
        <f>_xlfn.IFNA(SQRT((VLOOKUP(CK$1,DATA!$A$3:$F$301,2,FALSE)-VLOOKUP($A27,DATA!$A$3:$F$301,2,FALSE))^2+(VLOOKUP(CK$1,DATA!$A$3:$F$301,3,FALSE)-VLOOKUP($A27,DATA!$A$3:$F$301,3,FALSE))^2),"")</f>
        <v/>
      </c>
      <c r="CL27" s="14" t="str">
        <f>_xlfn.IFNA(SQRT((VLOOKUP(CL$1,DATA!$A$3:$F$301,2,FALSE)-VLOOKUP($A27,DATA!$A$3:$F$301,2,FALSE))^2+(VLOOKUP(CL$1,DATA!$A$3:$F$301,3,FALSE)-VLOOKUP($A27,DATA!$A$3:$F$301,3,FALSE))^2),"")</f>
        <v/>
      </c>
      <c r="CM27" s="14" t="str">
        <f>_xlfn.IFNA(SQRT((VLOOKUP(CM$1,DATA!$A$3:$F$301,2,FALSE)-VLOOKUP($A27,DATA!$A$3:$F$301,2,FALSE))^2+(VLOOKUP(CM$1,DATA!$A$3:$F$301,3,FALSE)-VLOOKUP($A27,DATA!$A$3:$F$301,3,FALSE))^2),"")</f>
        <v/>
      </c>
      <c r="CN27" s="14" t="str">
        <f>_xlfn.IFNA(SQRT((VLOOKUP(CN$1,DATA!$A$3:$F$301,2,FALSE)-VLOOKUP($A27,DATA!$A$3:$F$301,2,FALSE))^2+(VLOOKUP(CN$1,DATA!$A$3:$F$301,3,FALSE)-VLOOKUP($A27,DATA!$A$3:$F$301,3,FALSE))^2),"")</f>
        <v/>
      </c>
      <c r="CO27" s="14" t="str">
        <f>_xlfn.IFNA(SQRT((VLOOKUP(CO$1,DATA!$A$3:$F$301,2,FALSE)-VLOOKUP($A27,DATA!$A$3:$F$301,2,FALSE))^2+(VLOOKUP(CO$1,DATA!$A$3:$F$301,3,FALSE)-VLOOKUP($A27,DATA!$A$3:$F$301,3,FALSE))^2),"")</f>
        <v/>
      </c>
      <c r="CP27" s="14" t="str">
        <f>_xlfn.IFNA(SQRT((VLOOKUP(CP$1,DATA!$A$3:$F$301,2,FALSE)-VLOOKUP($A27,DATA!$A$3:$F$301,2,FALSE))^2+(VLOOKUP(CP$1,DATA!$A$3:$F$301,3,FALSE)-VLOOKUP($A27,DATA!$A$3:$F$301,3,FALSE))^2),"")</f>
        <v/>
      </c>
      <c r="CQ27" s="14" t="str">
        <f>_xlfn.IFNA(SQRT((VLOOKUP(CQ$1,DATA!$A$3:$F$301,2,FALSE)-VLOOKUP($A27,DATA!$A$3:$F$301,2,FALSE))^2+(VLOOKUP(CQ$1,DATA!$A$3:$F$301,3,FALSE)-VLOOKUP($A27,DATA!$A$3:$F$301,3,FALSE))^2),"")</f>
        <v/>
      </c>
      <c r="CR27" s="14" t="str">
        <f>_xlfn.IFNA(SQRT((VLOOKUP(CR$1,DATA!$A$3:$F$301,2,FALSE)-VLOOKUP($A27,DATA!$A$3:$F$301,2,FALSE))^2+(VLOOKUP(CR$1,DATA!$A$3:$F$301,3,FALSE)-VLOOKUP($A27,DATA!$A$3:$F$301,3,FALSE))^2),"")</f>
        <v/>
      </c>
      <c r="CS27" s="14" t="str">
        <f>_xlfn.IFNA(SQRT((VLOOKUP(CS$1,DATA!$A$3:$F$301,2,FALSE)-VLOOKUP($A27,DATA!$A$3:$F$301,2,FALSE))^2+(VLOOKUP(CS$1,DATA!$A$3:$F$301,3,FALSE)-VLOOKUP($A27,DATA!$A$3:$F$301,3,FALSE))^2),"")</f>
        <v/>
      </c>
      <c r="CT27" s="14" t="str">
        <f>_xlfn.IFNA(SQRT((VLOOKUP(CT$1,DATA!$A$3:$F$301,2,FALSE)-VLOOKUP($A27,DATA!$A$3:$F$301,2,FALSE))^2+(VLOOKUP(CT$1,DATA!$A$3:$F$301,3,FALSE)-VLOOKUP($A27,DATA!$A$3:$F$301,3,FALSE))^2),"")</f>
        <v/>
      </c>
      <c r="CU27" s="14" t="str">
        <f>_xlfn.IFNA(SQRT((VLOOKUP(CU$1,DATA!$A$3:$F$301,2,FALSE)-VLOOKUP($A27,DATA!$A$3:$F$301,2,FALSE))^2+(VLOOKUP(CU$1,DATA!$A$3:$F$301,3,FALSE)-VLOOKUP($A27,DATA!$A$3:$F$301,3,FALSE))^2),"")</f>
        <v/>
      </c>
      <c r="CV27" s="14" t="str">
        <f>_xlfn.IFNA(SQRT((VLOOKUP(CV$1,DATA!$A$3:$F$301,2,FALSE)-VLOOKUP($A27,DATA!$A$3:$F$301,2,FALSE))^2+(VLOOKUP(CV$1,DATA!$A$3:$F$301,3,FALSE)-VLOOKUP($A27,DATA!$A$3:$F$301,3,FALSE))^2),"")</f>
        <v/>
      </c>
      <c r="CW27" s="14" t="str">
        <f>_xlfn.IFNA(SQRT((VLOOKUP(CW$1,DATA!$A$3:$F$301,2,FALSE)-VLOOKUP($A27,DATA!$A$3:$F$301,2,FALSE))^2+(VLOOKUP(CW$1,DATA!$A$3:$F$301,3,FALSE)-VLOOKUP($A27,DATA!$A$3:$F$301,3,FALSE))^2),"")</f>
        <v/>
      </c>
      <c r="CX27" s="14" t="str">
        <f>_xlfn.IFNA(SQRT((VLOOKUP(CX$1,DATA!$A$3:$F$301,2,FALSE)-VLOOKUP($A27,DATA!$A$3:$F$301,2,FALSE))^2+(VLOOKUP(CX$1,DATA!$A$3:$F$301,3,FALSE)-VLOOKUP($A27,DATA!$A$3:$F$301,3,FALSE))^2),"")</f>
        <v/>
      </c>
    </row>
    <row r="28" spans="1:102">
      <c r="A28" s="13">
        <v>27</v>
      </c>
      <c r="B28" s="14">
        <f>_xlfn.IFNA(SQRT((VLOOKUP(B$1,DATA!$A$3:$F$301,2,FALSE)-VLOOKUP($A28,DATA!$A$3:$F$301,2,FALSE))^2+(VLOOKUP(B$1,DATA!$A$3:$F$301,3,FALSE)-VLOOKUP($A28,DATA!$A$3:$F$301,3,FALSE))^2),"")</f>
        <v>14.142135623730951</v>
      </c>
      <c r="C28" s="14">
        <f>_xlfn.IFNA(SQRT((VLOOKUP(C$1,DATA!$A$3:$F$301,2,FALSE)-VLOOKUP($A28,DATA!$A$3:$F$301,2,FALSE))^2+(VLOOKUP(C$1,DATA!$A$3:$F$301,3,FALSE)-VLOOKUP($A28,DATA!$A$3:$F$301,3,FALSE))^2),"")</f>
        <v>15.297058540778355</v>
      </c>
      <c r="D28" s="14">
        <f>_xlfn.IFNA(SQRT((VLOOKUP(D$1,DATA!$A$3:$F$301,2,FALSE)-VLOOKUP($A28,DATA!$A$3:$F$301,2,FALSE))^2+(VLOOKUP(D$1,DATA!$A$3:$F$301,3,FALSE)-VLOOKUP($A28,DATA!$A$3:$F$301,3,FALSE))^2),"")</f>
        <v>2.8284271247461903</v>
      </c>
      <c r="E28" s="14">
        <f>_xlfn.IFNA(SQRT((VLOOKUP(E$1,DATA!$A$3:$F$301,2,FALSE)-VLOOKUP($A28,DATA!$A$3:$F$301,2,FALSE))^2+(VLOOKUP(E$1,DATA!$A$3:$F$301,3,FALSE)-VLOOKUP($A28,DATA!$A$3:$F$301,3,FALSE))^2),"")</f>
        <v>10.816653826391969</v>
      </c>
      <c r="F28" s="14">
        <f>_xlfn.IFNA(SQRT((VLOOKUP(F$1,DATA!$A$3:$F$301,2,FALSE)-VLOOKUP($A28,DATA!$A$3:$F$301,2,FALSE))^2+(VLOOKUP(F$1,DATA!$A$3:$F$301,3,FALSE)-VLOOKUP($A28,DATA!$A$3:$F$301,3,FALSE))^2),"")</f>
        <v>38.639358172723313</v>
      </c>
      <c r="G28" s="14">
        <f>_xlfn.IFNA(SQRT((VLOOKUP(G$1,DATA!$A$3:$F$301,2,FALSE)-VLOOKUP($A28,DATA!$A$3:$F$301,2,FALSE))^2+(VLOOKUP(G$1,DATA!$A$3:$F$301,3,FALSE)-VLOOKUP($A28,DATA!$A$3:$F$301,3,FALSE))^2),"")</f>
        <v>32.526911934581186</v>
      </c>
      <c r="H28" s="14">
        <f>_xlfn.IFNA(SQRT((VLOOKUP(H$1,DATA!$A$3:$F$301,2,FALSE)-VLOOKUP($A28,DATA!$A$3:$F$301,2,FALSE))^2+(VLOOKUP(H$1,DATA!$A$3:$F$301,3,FALSE)-VLOOKUP($A28,DATA!$A$3:$F$301,3,FALSE))^2),"")</f>
        <v>34.539832078341085</v>
      </c>
      <c r="I28" s="14">
        <f>_xlfn.IFNA(SQRT((VLOOKUP(I$1,DATA!$A$3:$F$301,2,FALSE)-VLOOKUP($A28,DATA!$A$3:$F$301,2,FALSE))^2+(VLOOKUP(I$1,DATA!$A$3:$F$301,3,FALSE)-VLOOKUP($A28,DATA!$A$3:$F$301,3,FALSE))^2),"")</f>
        <v>45.607017003965517</v>
      </c>
      <c r="J28" s="14">
        <f>_xlfn.IFNA(SQRT((VLOOKUP(J$1,DATA!$A$3:$F$301,2,FALSE)-VLOOKUP($A28,DATA!$A$3:$F$301,2,FALSE))^2+(VLOOKUP(J$1,DATA!$A$3:$F$301,3,FALSE)-VLOOKUP($A28,DATA!$A$3:$F$301,3,FALSE))^2),"")</f>
        <v>24.839484696748443</v>
      </c>
      <c r="K28" s="14">
        <f>_xlfn.IFNA(SQRT((VLOOKUP(K$1,DATA!$A$3:$F$301,2,FALSE)-VLOOKUP($A28,DATA!$A$3:$F$301,2,FALSE))^2+(VLOOKUP(K$1,DATA!$A$3:$F$301,3,FALSE)-VLOOKUP($A28,DATA!$A$3:$F$301,3,FALSE))^2),"")</f>
        <v>5.8309518948453007</v>
      </c>
      <c r="L28" s="14">
        <f>_xlfn.IFNA(SQRT((VLOOKUP(L$1,DATA!$A$3:$F$301,2,FALSE)-VLOOKUP($A28,DATA!$A$3:$F$301,2,FALSE))^2+(VLOOKUP(L$1,DATA!$A$3:$F$301,3,FALSE)-VLOOKUP($A28,DATA!$A$3:$F$301,3,FALSE))^2),"")</f>
        <v>41.012193308819754</v>
      </c>
      <c r="M28" s="14">
        <f>_xlfn.IFNA(SQRT((VLOOKUP(M$1,DATA!$A$3:$F$301,2,FALSE)-VLOOKUP($A28,DATA!$A$3:$F$301,2,FALSE))^2+(VLOOKUP(M$1,DATA!$A$3:$F$301,3,FALSE)-VLOOKUP($A28,DATA!$A$3:$F$301,3,FALSE))^2),"")</f>
        <v>26.305892875931811</v>
      </c>
      <c r="N28" s="14">
        <f>_xlfn.IFNA(SQRT((VLOOKUP(N$1,DATA!$A$3:$F$301,2,FALSE)-VLOOKUP($A28,DATA!$A$3:$F$301,2,FALSE))^2+(VLOOKUP(N$1,DATA!$A$3:$F$301,3,FALSE)-VLOOKUP($A28,DATA!$A$3:$F$301,3,FALSE))^2),"")</f>
        <v>17</v>
      </c>
      <c r="O28" s="14">
        <f>_xlfn.IFNA(SQRT((VLOOKUP(O$1,DATA!$A$3:$F$301,2,FALSE)-VLOOKUP($A28,DATA!$A$3:$F$301,2,FALSE))^2+(VLOOKUP(O$1,DATA!$A$3:$F$301,3,FALSE)-VLOOKUP($A28,DATA!$A$3:$F$301,3,FALSE))^2),"")</f>
        <v>45.891175622335062</v>
      </c>
      <c r="P28" s="14">
        <f>_xlfn.IFNA(SQRT((VLOOKUP(P$1,DATA!$A$3:$F$301,2,FALSE)-VLOOKUP($A28,DATA!$A$3:$F$301,2,FALSE))^2+(VLOOKUP(P$1,DATA!$A$3:$F$301,3,FALSE)-VLOOKUP($A28,DATA!$A$3:$F$301,3,FALSE))^2),"")</f>
        <v>54.405882034941776</v>
      </c>
      <c r="Q28" s="14">
        <f>_xlfn.IFNA(SQRT((VLOOKUP(Q$1,DATA!$A$3:$F$301,2,FALSE)-VLOOKUP($A28,DATA!$A$3:$F$301,2,FALSE))^2+(VLOOKUP(Q$1,DATA!$A$3:$F$301,3,FALSE)-VLOOKUP($A28,DATA!$A$3:$F$301,3,FALSE))^2),"")</f>
        <v>33.97057550292606</v>
      </c>
      <c r="R28" s="14">
        <f>_xlfn.IFNA(SQRT((VLOOKUP(R$1,DATA!$A$3:$F$301,2,FALSE)-VLOOKUP($A28,DATA!$A$3:$F$301,2,FALSE))^2+(VLOOKUP(R$1,DATA!$A$3:$F$301,3,FALSE)-VLOOKUP($A28,DATA!$A$3:$F$301,3,FALSE))^2),"")</f>
        <v>21</v>
      </c>
      <c r="S28" s="14">
        <f>_xlfn.IFNA(SQRT((VLOOKUP(S$1,DATA!$A$3:$F$301,2,FALSE)-VLOOKUP($A28,DATA!$A$3:$F$301,2,FALSE))^2+(VLOOKUP(S$1,DATA!$A$3:$F$301,3,FALSE)-VLOOKUP($A28,DATA!$A$3:$F$301,3,FALSE))^2),"")</f>
        <v>33.837848631377263</v>
      </c>
      <c r="T28" s="14">
        <f>_xlfn.IFNA(SQRT((VLOOKUP(T$1,DATA!$A$3:$F$301,2,FALSE)-VLOOKUP($A28,DATA!$A$3:$F$301,2,FALSE))^2+(VLOOKUP(T$1,DATA!$A$3:$F$301,3,FALSE)-VLOOKUP($A28,DATA!$A$3:$F$301,3,FALSE))^2),"")</f>
        <v>44.011362169330773</v>
      </c>
      <c r="U28" s="14">
        <f>_xlfn.IFNA(SQRT((VLOOKUP(U$1,DATA!$A$3:$F$301,2,FALSE)-VLOOKUP($A28,DATA!$A$3:$F$301,2,FALSE))^2+(VLOOKUP(U$1,DATA!$A$3:$F$301,3,FALSE)-VLOOKUP($A28,DATA!$A$3:$F$301,3,FALSE))^2),"")</f>
        <v>16.763054614240211</v>
      </c>
      <c r="V28" s="14">
        <f>_xlfn.IFNA(SQRT((VLOOKUP(V$1,DATA!$A$3:$F$301,2,FALSE)-VLOOKUP($A28,DATA!$A$3:$F$301,2,FALSE))^2+(VLOOKUP(V$1,DATA!$A$3:$F$301,3,FALSE)-VLOOKUP($A28,DATA!$A$3:$F$301,3,FALSE))^2),"")</f>
        <v>29.154759474226502</v>
      </c>
      <c r="W28" s="14">
        <f>_xlfn.IFNA(SQRT((VLOOKUP(W$1,DATA!$A$3:$F$301,2,FALSE)-VLOOKUP($A28,DATA!$A$3:$F$301,2,FALSE))^2+(VLOOKUP(W$1,DATA!$A$3:$F$301,3,FALSE)-VLOOKUP($A28,DATA!$A$3:$F$301,3,FALSE))^2),"")</f>
        <v>30.083217912982647</v>
      </c>
      <c r="X28" s="14">
        <f>_xlfn.IFNA(SQRT((VLOOKUP(X$1,DATA!$A$3:$F$301,2,FALSE)-VLOOKUP($A28,DATA!$A$3:$F$301,2,FALSE))^2+(VLOOKUP(X$1,DATA!$A$3:$F$301,3,FALSE)-VLOOKUP($A28,DATA!$A$3:$F$301,3,FALSE))^2),"")</f>
        <v>35.693136595149497</v>
      </c>
      <c r="Y28" s="14">
        <f>_xlfn.IFNA(SQRT((VLOOKUP(Y$1,DATA!$A$3:$F$301,2,FALSE)-VLOOKUP($A28,DATA!$A$3:$F$301,2,FALSE))^2+(VLOOKUP(Y$1,DATA!$A$3:$F$301,3,FALSE)-VLOOKUP($A28,DATA!$A$3:$F$301,3,FALSE))^2),"")</f>
        <v>44.204072210600685</v>
      </c>
      <c r="Z28" s="14">
        <f>_xlfn.IFNA(SQRT((VLOOKUP(Z$1,DATA!$A$3:$F$301,2,FALSE)-VLOOKUP($A28,DATA!$A$3:$F$301,2,FALSE))^2+(VLOOKUP(Z$1,DATA!$A$3:$F$301,3,FALSE)-VLOOKUP($A28,DATA!$A$3:$F$301,3,FALSE))^2),"")</f>
        <v>19.026297590440446</v>
      </c>
      <c r="AA28" s="14">
        <f>_xlfn.IFNA(SQRT((VLOOKUP(AA$1,DATA!$A$3:$F$301,2,FALSE)-VLOOKUP($A28,DATA!$A$3:$F$301,2,FALSE))^2+(VLOOKUP(AA$1,DATA!$A$3:$F$301,3,FALSE)-VLOOKUP($A28,DATA!$A$3:$F$301,3,FALSE))^2),"")</f>
        <v>38.275318418009277</v>
      </c>
      <c r="AB28" s="14">
        <f>_xlfn.IFNA(SQRT((VLOOKUP(AB$1,DATA!$A$3:$F$301,2,FALSE)-VLOOKUP($A28,DATA!$A$3:$F$301,2,FALSE))^2+(VLOOKUP(AB$1,DATA!$A$3:$F$301,3,FALSE)-VLOOKUP($A28,DATA!$A$3:$F$301,3,FALSE))^2),"")</f>
        <v>0</v>
      </c>
      <c r="AC28" s="14">
        <f>_xlfn.IFNA(SQRT((VLOOKUP(AC$1,DATA!$A$3:$F$301,2,FALSE)-VLOOKUP($A28,DATA!$A$3:$F$301,2,FALSE))^2+(VLOOKUP(AC$1,DATA!$A$3:$F$301,3,FALSE)-VLOOKUP($A28,DATA!$A$3:$F$301,3,FALSE))^2),"")</f>
        <v>36.055512754639892</v>
      </c>
      <c r="AD28" s="14">
        <f>_xlfn.IFNA(SQRT((VLOOKUP(AD$1,DATA!$A$3:$F$301,2,FALSE)-VLOOKUP($A28,DATA!$A$3:$F$301,2,FALSE))^2+(VLOOKUP(AD$1,DATA!$A$3:$F$301,3,FALSE)-VLOOKUP($A28,DATA!$A$3:$F$301,3,FALSE))^2),"")</f>
        <v>33.241540277189323</v>
      </c>
      <c r="AE28" s="14">
        <f>_xlfn.IFNA(SQRT((VLOOKUP(AE$1,DATA!$A$3:$F$301,2,FALSE)-VLOOKUP($A28,DATA!$A$3:$F$301,2,FALSE))^2+(VLOOKUP(AE$1,DATA!$A$3:$F$301,3,FALSE)-VLOOKUP($A28,DATA!$A$3:$F$301,3,FALSE))^2),"")</f>
        <v>37.696153649941529</v>
      </c>
      <c r="AF28" s="14">
        <f>_xlfn.IFNA(SQRT((VLOOKUP(AF$1,DATA!$A$3:$F$301,2,FALSE)-VLOOKUP($A28,DATA!$A$3:$F$301,2,FALSE))^2+(VLOOKUP(AF$1,DATA!$A$3:$F$301,3,FALSE)-VLOOKUP($A28,DATA!$A$3:$F$301,3,FALSE))^2),"")</f>
        <v>22.561028345356956</v>
      </c>
      <c r="AG28" s="14">
        <f>_xlfn.IFNA(SQRT((VLOOKUP(AG$1,DATA!$A$3:$F$301,2,FALSE)-VLOOKUP($A28,DATA!$A$3:$F$301,2,FALSE))^2+(VLOOKUP(AG$1,DATA!$A$3:$F$301,3,FALSE)-VLOOKUP($A28,DATA!$A$3:$F$301,3,FALSE))^2),"")</f>
        <v>34.058772731852805</v>
      </c>
      <c r="AH28" s="14">
        <f>_xlfn.IFNA(SQRT((VLOOKUP(AH$1,DATA!$A$3:$F$301,2,FALSE)-VLOOKUP($A28,DATA!$A$3:$F$301,2,FALSE))^2+(VLOOKUP(AH$1,DATA!$A$3:$F$301,3,FALSE)-VLOOKUP($A28,DATA!$A$3:$F$301,3,FALSE))^2),"")</f>
        <v>27.459060435491963</v>
      </c>
      <c r="AI28" s="14">
        <f>_xlfn.IFNA(SQRT((VLOOKUP(AI$1,DATA!$A$3:$F$301,2,FALSE)-VLOOKUP($A28,DATA!$A$3:$F$301,2,FALSE))^2+(VLOOKUP(AI$1,DATA!$A$3:$F$301,3,FALSE)-VLOOKUP($A28,DATA!$A$3:$F$301,3,FALSE))^2),"")</f>
        <v>18</v>
      </c>
      <c r="AJ28" s="14">
        <f>_xlfn.IFNA(SQRT((VLOOKUP(AJ$1,DATA!$A$3:$F$301,2,FALSE)-VLOOKUP($A28,DATA!$A$3:$F$301,2,FALSE))^2+(VLOOKUP(AJ$1,DATA!$A$3:$F$301,3,FALSE)-VLOOKUP($A28,DATA!$A$3:$F$301,3,FALSE))^2),"")</f>
        <v>37.735924528226413</v>
      </c>
      <c r="AK28" s="14">
        <f>_xlfn.IFNA(SQRT((VLOOKUP(AK$1,DATA!$A$3:$F$301,2,FALSE)-VLOOKUP($A28,DATA!$A$3:$F$301,2,FALSE))^2+(VLOOKUP(AK$1,DATA!$A$3:$F$301,3,FALSE)-VLOOKUP($A28,DATA!$A$3:$F$301,3,FALSE))^2),"")</f>
        <v>30.364452901377952</v>
      </c>
      <c r="AL28" s="14">
        <f>_xlfn.IFNA(SQRT((VLOOKUP(AL$1,DATA!$A$3:$F$301,2,FALSE)-VLOOKUP($A28,DATA!$A$3:$F$301,2,FALSE))^2+(VLOOKUP(AL$1,DATA!$A$3:$F$301,3,FALSE)-VLOOKUP($A28,DATA!$A$3:$F$301,3,FALSE))^2),"")</f>
        <v>51.884487084291386</v>
      </c>
      <c r="AM28" s="14">
        <f>_xlfn.IFNA(SQRT((VLOOKUP(AM$1,DATA!$A$3:$F$301,2,FALSE)-VLOOKUP($A28,DATA!$A$3:$F$301,2,FALSE))^2+(VLOOKUP(AM$1,DATA!$A$3:$F$301,3,FALSE)-VLOOKUP($A28,DATA!$A$3:$F$301,3,FALSE))^2),"")</f>
        <v>40.26164427839479</v>
      </c>
      <c r="AN28" s="14">
        <f>_xlfn.IFNA(SQRT((VLOOKUP(AN$1,DATA!$A$3:$F$301,2,FALSE)-VLOOKUP($A28,DATA!$A$3:$F$301,2,FALSE))^2+(VLOOKUP(AN$1,DATA!$A$3:$F$301,3,FALSE)-VLOOKUP($A28,DATA!$A$3:$F$301,3,FALSE))^2),"")</f>
        <v>33.136083051561783</v>
      </c>
      <c r="AO28" s="14">
        <f>_xlfn.IFNA(SQRT((VLOOKUP(AO$1,DATA!$A$3:$F$301,2,FALSE)-VLOOKUP($A28,DATA!$A$3:$F$301,2,FALSE))^2+(VLOOKUP(AO$1,DATA!$A$3:$F$301,3,FALSE)-VLOOKUP($A28,DATA!$A$3:$F$301,3,FALSE))^2),"")</f>
        <v>29.410882339705484</v>
      </c>
      <c r="AP28" s="14" t="str">
        <f>_xlfn.IFNA(SQRT((VLOOKUP(AP$1,DATA!$A$3:$F$301,2,FALSE)-VLOOKUP($A28,DATA!$A$3:$F$301,2,FALSE))^2+(VLOOKUP(AP$1,DATA!$A$3:$F$301,3,FALSE)-VLOOKUP($A28,DATA!$A$3:$F$301,3,FALSE))^2),"")</f>
        <v/>
      </c>
      <c r="AQ28" s="14" t="str">
        <f>_xlfn.IFNA(SQRT((VLOOKUP(AQ$1,DATA!$A$3:$F$301,2,FALSE)-VLOOKUP($A28,DATA!$A$3:$F$301,2,FALSE))^2+(VLOOKUP(AQ$1,DATA!$A$3:$F$301,3,FALSE)-VLOOKUP($A28,DATA!$A$3:$F$301,3,FALSE))^2),"")</f>
        <v/>
      </c>
      <c r="AR28" s="14" t="str">
        <f>_xlfn.IFNA(SQRT((VLOOKUP(AR$1,DATA!$A$3:$F$301,2,FALSE)-VLOOKUP($A28,DATA!$A$3:$F$301,2,FALSE))^2+(VLOOKUP(AR$1,DATA!$A$3:$F$301,3,FALSE)-VLOOKUP($A28,DATA!$A$3:$F$301,3,FALSE))^2),"")</f>
        <v/>
      </c>
      <c r="AS28" s="14" t="str">
        <f>_xlfn.IFNA(SQRT((VLOOKUP(AS$1,DATA!$A$3:$F$301,2,FALSE)-VLOOKUP($A28,DATA!$A$3:$F$301,2,FALSE))^2+(VLOOKUP(AS$1,DATA!$A$3:$F$301,3,FALSE)-VLOOKUP($A28,DATA!$A$3:$F$301,3,FALSE))^2),"")</f>
        <v/>
      </c>
      <c r="AT28" s="14" t="str">
        <f>_xlfn.IFNA(SQRT((VLOOKUP(AT$1,DATA!$A$3:$F$301,2,FALSE)-VLOOKUP($A28,DATA!$A$3:$F$301,2,FALSE))^2+(VLOOKUP(AT$1,DATA!$A$3:$F$301,3,FALSE)-VLOOKUP($A28,DATA!$A$3:$F$301,3,FALSE))^2),"")</f>
        <v/>
      </c>
      <c r="AU28" s="14" t="str">
        <f>_xlfn.IFNA(SQRT((VLOOKUP(AU$1,DATA!$A$3:$F$301,2,FALSE)-VLOOKUP($A28,DATA!$A$3:$F$301,2,FALSE))^2+(VLOOKUP(AU$1,DATA!$A$3:$F$301,3,FALSE)-VLOOKUP($A28,DATA!$A$3:$F$301,3,FALSE))^2),"")</f>
        <v/>
      </c>
      <c r="AV28" s="14" t="str">
        <f>_xlfn.IFNA(SQRT((VLOOKUP(AV$1,DATA!$A$3:$F$301,2,FALSE)-VLOOKUP($A28,DATA!$A$3:$F$301,2,FALSE))^2+(VLOOKUP(AV$1,DATA!$A$3:$F$301,3,FALSE)-VLOOKUP($A28,DATA!$A$3:$F$301,3,FALSE))^2),"")</f>
        <v/>
      </c>
      <c r="AW28" s="14" t="str">
        <f>_xlfn.IFNA(SQRT((VLOOKUP(AW$1,DATA!$A$3:$F$301,2,FALSE)-VLOOKUP($A28,DATA!$A$3:$F$301,2,FALSE))^2+(VLOOKUP(AW$1,DATA!$A$3:$F$301,3,FALSE)-VLOOKUP($A28,DATA!$A$3:$F$301,3,FALSE))^2),"")</f>
        <v/>
      </c>
      <c r="AX28" s="14" t="str">
        <f>_xlfn.IFNA(SQRT((VLOOKUP(AX$1,DATA!$A$3:$F$301,2,FALSE)-VLOOKUP($A28,DATA!$A$3:$F$301,2,FALSE))^2+(VLOOKUP(AX$1,DATA!$A$3:$F$301,3,FALSE)-VLOOKUP($A28,DATA!$A$3:$F$301,3,FALSE))^2),"")</f>
        <v/>
      </c>
      <c r="AY28" s="14" t="str">
        <f>_xlfn.IFNA(SQRT((VLOOKUP(AY$1,DATA!$A$3:$F$301,2,FALSE)-VLOOKUP($A28,DATA!$A$3:$F$301,2,FALSE))^2+(VLOOKUP(AY$1,DATA!$A$3:$F$301,3,FALSE)-VLOOKUP($A28,DATA!$A$3:$F$301,3,FALSE))^2),"")</f>
        <v/>
      </c>
      <c r="AZ28" s="14" t="str">
        <f>_xlfn.IFNA(SQRT((VLOOKUP(AZ$1,DATA!$A$3:$F$301,2,FALSE)-VLOOKUP($A28,DATA!$A$3:$F$301,2,FALSE))^2+(VLOOKUP(AZ$1,DATA!$A$3:$F$301,3,FALSE)-VLOOKUP($A28,DATA!$A$3:$F$301,3,FALSE))^2),"")</f>
        <v/>
      </c>
      <c r="BA28" s="14" t="str">
        <f>_xlfn.IFNA(SQRT((VLOOKUP(BA$1,DATA!$A$3:$F$301,2,FALSE)-VLOOKUP($A28,DATA!$A$3:$F$301,2,FALSE))^2+(VLOOKUP(BA$1,DATA!$A$3:$F$301,3,FALSE)-VLOOKUP($A28,DATA!$A$3:$F$301,3,FALSE))^2),"")</f>
        <v/>
      </c>
      <c r="BB28" s="14" t="str">
        <f>_xlfn.IFNA(SQRT((VLOOKUP(BB$1,DATA!$A$3:$F$301,2,FALSE)-VLOOKUP($A28,DATA!$A$3:$F$301,2,FALSE))^2+(VLOOKUP(BB$1,DATA!$A$3:$F$301,3,FALSE)-VLOOKUP($A28,DATA!$A$3:$F$301,3,FALSE))^2),"")</f>
        <v/>
      </c>
      <c r="BC28" s="14" t="str">
        <f>_xlfn.IFNA(SQRT((VLOOKUP(BC$1,DATA!$A$3:$F$301,2,FALSE)-VLOOKUP($A28,DATA!$A$3:$F$301,2,FALSE))^2+(VLOOKUP(BC$1,DATA!$A$3:$F$301,3,FALSE)-VLOOKUP($A28,DATA!$A$3:$F$301,3,FALSE))^2),"")</f>
        <v/>
      </c>
      <c r="BD28" s="14" t="str">
        <f>_xlfn.IFNA(SQRT((VLOOKUP(BD$1,DATA!$A$3:$F$301,2,FALSE)-VLOOKUP($A28,DATA!$A$3:$F$301,2,FALSE))^2+(VLOOKUP(BD$1,DATA!$A$3:$F$301,3,FALSE)-VLOOKUP($A28,DATA!$A$3:$F$301,3,FALSE))^2),"")</f>
        <v/>
      </c>
      <c r="BE28" s="14" t="str">
        <f>_xlfn.IFNA(SQRT((VLOOKUP(BE$1,DATA!$A$3:$F$301,2,FALSE)-VLOOKUP($A28,DATA!$A$3:$F$301,2,FALSE))^2+(VLOOKUP(BE$1,DATA!$A$3:$F$301,3,FALSE)-VLOOKUP($A28,DATA!$A$3:$F$301,3,FALSE))^2),"")</f>
        <v/>
      </c>
      <c r="BF28" s="14" t="str">
        <f>_xlfn.IFNA(SQRT((VLOOKUP(BF$1,DATA!$A$3:$F$301,2,FALSE)-VLOOKUP($A28,DATA!$A$3:$F$301,2,FALSE))^2+(VLOOKUP(BF$1,DATA!$A$3:$F$301,3,FALSE)-VLOOKUP($A28,DATA!$A$3:$F$301,3,FALSE))^2),"")</f>
        <v/>
      </c>
      <c r="BG28" s="14" t="str">
        <f>_xlfn.IFNA(SQRT((VLOOKUP(BG$1,DATA!$A$3:$F$301,2,FALSE)-VLOOKUP($A28,DATA!$A$3:$F$301,2,FALSE))^2+(VLOOKUP(BG$1,DATA!$A$3:$F$301,3,FALSE)-VLOOKUP($A28,DATA!$A$3:$F$301,3,FALSE))^2),"")</f>
        <v/>
      </c>
      <c r="BH28" s="14" t="str">
        <f>_xlfn.IFNA(SQRT((VLOOKUP(BH$1,DATA!$A$3:$F$301,2,FALSE)-VLOOKUP($A28,DATA!$A$3:$F$301,2,FALSE))^2+(VLOOKUP(BH$1,DATA!$A$3:$F$301,3,FALSE)-VLOOKUP($A28,DATA!$A$3:$F$301,3,FALSE))^2),"")</f>
        <v/>
      </c>
      <c r="BI28" s="14" t="str">
        <f>_xlfn.IFNA(SQRT((VLOOKUP(BI$1,DATA!$A$3:$F$301,2,FALSE)-VLOOKUP($A28,DATA!$A$3:$F$301,2,FALSE))^2+(VLOOKUP(BI$1,DATA!$A$3:$F$301,3,FALSE)-VLOOKUP($A28,DATA!$A$3:$F$301,3,FALSE))^2),"")</f>
        <v/>
      </c>
      <c r="BJ28" s="14" t="str">
        <f>_xlfn.IFNA(SQRT((VLOOKUP(BJ$1,DATA!$A$3:$F$301,2,FALSE)-VLOOKUP($A28,DATA!$A$3:$F$301,2,FALSE))^2+(VLOOKUP(BJ$1,DATA!$A$3:$F$301,3,FALSE)-VLOOKUP($A28,DATA!$A$3:$F$301,3,FALSE))^2),"")</f>
        <v/>
      </c>
      <c r="BK28" s="14" t="str">
        <f>_xlfn.IFNA(SQRT((VLOOKUP(BK$1,DATA!$A$3:$F$301,2,FALSE)-VLOOKUP($A28,DATA!$A$3:$F$301,2,FALSE))^2+(VLOOKUP(BK$1,DATA!$A$3:$F$301,3,FALSE)-VLOOKUP($A28,DATA!$A$3:$F$301,3,FALSE))^2),"")</f>
        <v/>
      </c>
      <c r="BL28" s="14" t="str">
        <f>_xlfn.IFNA(SQRT((VLOOKUP(BL$1,DATA!$A$3:$F$301,2,FALSE)-VLOOKUP($A28,DATA!$A$3:$F$301,2,FALSE))^2+(VLOOKUP(BL$1,DATA!$A$3:$F$301,3,FALSE)-VLOOKUP($A28,DATA!$A$3:$F$301,3,FALSE))^2),"")</f>
        <v/>
      </c>
      <c r="BM28" s="14" t="str">
        <f>_xlfn.IFNA(SQRT((VLOOKUP(BM$1,DATA!$A$3:$F$301,2,FALSE)-VLOOKUP($A28,DATA!$A$3:$F$301,2,FALSE))^2+(VLOOKUP(BM$1,DATA!$A$3:$F$301,3,FALSE)-VLOOKUP($A28,DATA!$A$3:$F$301,3,FALSE))^2),"")</f>
        <v/>
      </c>
      <c r="BN28" s="14" t="str">
        <f>_xlfn.IFNA(SQRT((VLOOKUP(BN$1,DATA!$A$3:$F$301,2,FALSE)-VLOOKUP($A28,DATA!$A$3:$F$301,2,FALSE))^2+(VLOOKUP(BN$1,DATA!$A$3:$F$301,3,FALSE)-VLOOKUP($A28,DATA!$A$3:$F$301,3,FALSE))^2),"")</f>
        <v/>
      </c>
      <c r="BO28" s="14" t="str">
        <f>_xlfn.IFNA(SQRT((VLOOKUP(BO$1,DATA!$A$3:$F$301,2,FALSE)-VLOOKUP($A28,DATA!$A$3:$F$301,2,FALSE))^2+(VLOOKUP(BO$1,DATA!$A$3:$F$301,3,FALSE)-VLOOKUP($A28,DATA!$A$3:$F$301,3,FALSE))^2),"")</f>
        <v/>
      </c>
      <c r="BP28" s="14" t="str">
        <f>_xlfn.IFNA(SQRT((VLOOKUP(BP$1,DATA!$A$3:$F$301,2,FALSE)-VLOOKUP($A28,DATA!$A$3:$F$301,2,FALSE))^2+(VLOOKUP(BP$1,DATA!$A$3:$F$301,3,FALSE)-VLOOKUP($A28,DATA!$A$3:$F$301,3,FALSE))^2),"")</f>
        <v/>
      </c>
      <c r="BQ28" s="14" t="str">
        <f>_xlfn.IFNA(SQRT((VLOOKUP(BQ$1,DATA!$A$3:$F$301,2,FALSE)-VLOOKUP($A28,DATA!$A$3:$F$301,2,FALSE))^2+(VLOOKUP(BQ$1,DATA!$A$3:$F$301,3,FALSE)-VLOOKUP($A28,DATA!$A$3:$F$301,3,FALSE))^2),"")</f>
        <v/>
      </c>
      <c r="BR28" s="14" t="str">
        <f>_xlfn.IFNA(SQRT((VLOOKUP(BR$1,DATA!$A$3:$F$301,2,FALSE)-VLOOKUP($A28,DATA!$A$3:$F$301,2,FALSE))^2+(VLOOKUP(BR$1,DATA!$A$3:$F$301,3,FALSE)-VLOOKUP($A28,DATA!$A$3:$F$301,3,FALSE))^2),"")</f>
        <v/>
      </c>
      <c r="BS28" s="14" t="str">
        <f>_xlfn.IFNA(SQRT((VLOOKUP(BS$1,DATA!$A$3:$F$301,2,FALSE)-VLOOKUP($A28,DATA!$A$3:$F$301,2,FALSE))^2+(VLOOKUP(BS$1,DATA!$A$3:$F$301,3,FALSE)-VLOOKUP($A28,DATA!$A$3:$F$301,3,FALSE))^2),"")</f>
        <v/>
      </c>
      <c r="BT28" s="14" t="str">
        <f>_xlfn.IFNA(SQRT((VLOOKUP(BT$1,DATA!$A$3:$F$301,2,FALSE)-VLOOKUP($A28,DATA!$A$3:$F$301,2,FALSE))^2+(VLOOKUP(BT$1,DATA!$A$3:$F$301,3,FALSE)-VLOOKUP($A28,DATA!$A$3:$F$301,3,FALSE))^2),"")</f>
        <v/>
      </c>
      <c r="BU28" s="14" t="str">
        <f>_xlfn.IFNA(SQRT((VLOOKUP(BU$1,DATA!$A$3:$F$301,2,FALSE)-VLOOKUP($A28,DATA!$A$3:$F$301,2,FALSE))^2+(VLOOKUP(BU$1,DATA!$A$3:$F$301,3,FALSE)-VLOOKUP($A28,DATA!$A$3:$F$301,3,FALSE))^2),"")</f>
        <v/>
      </c>
      <c r="BV28" s="14" t="str">
        <f>_xlfn.IFNA(SQRT((VLOOKUP(BV$1,DATA!$A$3:$F$301,2,FALSE)-VLOOKUP($A28,DATA!$A$3:$F$301,2,FALSE))^2+(VLOOKUP(BV$1,DATA!$A$3:$F$301,3,FALSE)-VLOOKUP($A28,DATA!$A$3:$F$301,3,FALSE))^2),"")</f>
        <v/>
      </c>
      <c r="BW28" s="14" t="str">
        <f>_xlfn.IFNA(SQRT((VLOOKUP(BW$1,DATA!$A$3:$F$301,2,FALSE)-VLOOKUP($A28,DATA!$A$3:$F$301,2,FALSE))^2+(VLOOKUP(BW$1,DATA!$A$3:$F$301,3,FALSE)-VLOOKUP($A28,DATA!$A$3:$F$301,3,FALSE))^2),"")</f>
        <v/>
      </c>
      <c r="BX28" s="14" t="str">
        <f>_xlfn.IFNA(SQRT((VLOOKUP(BX$1,DATA!$A$3:$F$301,2,FALSE)-VLOOKUP($A28,DATA!$A$3:$F$301,2,FALSE))^2+(VLOOKUP(BX$1,DATA!$A$3:$F$301,3,FALSE)-VLOOKUP($A28,DATA!$A$3:$F$301,3,FALSE))^2),"")</f>
        <v/>
      </c>
      <c r="BY28" s="14" t="str">
        <f>_xlfn.IFNA(SQRT((VLOOKUP(BY$1,DATA!$A$3:$F$301,2,FALSE)-VLOOKUP($A28,DATA!$A$3:$F$301,2,FALSE))^2+(VLOOKUP(BY$1,DATA!$A$3:$F$301,3,FALSE)-VLOOKUP($A28,DATA!$A$3:$F$301,3,FALSE))^2),"")</f>
        <v/>
      </c>
      <c r="BZ28" s="14" t="str">
        <f>_xlfn.IFNA(SQRT((VLOOKUP(BZ$1,DATA!$A$3:$F$301,2,FALSE)-VLOOKUP($A28,DATA!$A$3:$F$301,2,FALSE))^2+(VLOOKUP(BZ$1,DATA!$A$3:$F$301,3,FALSE)-VLOOKUP($A28,DATA!$A$3:$F$301,3,FALSE))^2),"")</f>
        <v/>
      </c>
      <c r="CA28" s="14" t="str">
        <f>_xlfn.IFNA(SQRT((VLOOKUP(CA$1,DATA!$A$3:$F$301,2,FALSE)-VLOOKUP($A28,DATA!$A$3:$F$301,2,FALSE))^2+(VLOOKUP(CA$1,DATA!$A$3:$F$301,3,FALSE)-VLOOKUP($A28,DATA!$A$3:$F$301,3,FALSE))^2),"")</f>
        <v/>
      </c>
      <c r="CB28" s="14" t="str">
        <f>_xlfn.IFNA(SQRT((VLOOKUP(CB$1,DATA!$A$3:$F$301,2,FALSE)-VLOOKUP($A28,DATA!$A$3:$F$301,2,FALSE))^2+(VLOOKUP(CB$1,DATA!$A$3:$F$301,3,FALSE)-VLOOKUP($A28,DATA!$A$3:$F$301,3,FALSE))^2),"")</f>
        <v/>
      </c>
      <c r="CC28" s="14" t="str">
        <f>_xlfn.IFNA(SQRT((VLOOKUP(CC$1,DATA!$A$3:$F$301,2,FALSE)-VLOOKUP($A28,DATA!$A$3:$F$301,2,FALSE))^2+(VLOOKUP(CC$1,DATA!$A$3:$F$301,3,FALSE)-VLOOKUP($A28,DATA!$A$3:$F$301,3,FALSE))^2),"")</f>
        <v/>
      </c>
      <c r="CD28" s="14" t="str">
        <f>_xlfn.IFNA(SQRT((VLOOKUP(CD$1,DATA!$A$3:$F$301,2,FALSE)-VLOOKUP($A28,DATA!$A$3:$F$301,2,FALSE))^2+(VLOOKUP(CD$1,DATA!$A$3:$F$301,3,FALSE)-VLOOKUP($A28,DATA!$A$3:$F$301,3,FALSE))^2),"")</f>
        <v/>
      </c>
      <c r="CE28" s="14" t="str">
        <f>_xlfn.IFNA(SQRT((VLOOKUP(CE$1,DATA!$A$3:$F$301,2,FALSE)-VLOOKUP($A28,DATA!$A$3:$F$301,2,FALSE))^2+(VLOOKUP(CE$1,DATA!$A$3:$F$301,3,FALSE)-VLOOKUP($A28,DATA!$A$3:$F$301,3,FALSE))^2),"")</f>
        <v/>
      </c>
      <c r="CF28" s="14" t="str">
        <f>_xlfn.IFNA(SQRT((VLOOKUP(CF$1,DATA!$A$3:$F$301,2,FALSE)-VLOOKUP($A28,DATA!$A$3:$F$301,2,FALSE))^2+(VLOOKUP(CF$1,DATA!$A$3:$F$301,3,FALSE)-VLOOKUP($A28,DATA!$A$3:$F$301,3,FALSE))^2),"")</f>
        <v/>
      </c>
      <c r="CG28" s="14" t="str">
        <f>_xlfn.IFNA(SQRT((VLOOKUP(CG$1,DATA!$A$3:$F$301,2,FALSE)-VLOOKUP($A28,DATA!$A$3:$F$301,2,FALSE))^2+(VLOOKUP(CG$1,DATA!$A$3:$F$301,3,FALSE)-VLOOKUP($A28,DATA!$A$3:$F$301,3,FALSE))^2),"")</f>
        <v/>
      </c>
      <c r="CH28" s="14" t="str">
        <f>_xlfn.IFNA(SQRT((VLOOKUP(CH$1,DATA!$A$3:$F$301,2,FALSE)-VLOOKUP($A28,DATA!$A$3:$F$301,2,FALSE))^2+(VLOOKUP(CH$1,DATA!$A$3:$F$301,3,FALSE)-VLOOKUP($A28,DATA!$A$3:$F$301,3,FALSE))^2),"")</f>
        <v/>
      </c>
      <c r="CI28" s="14" t="str">
        <f>_xlfn.IFNA(SQRT((VLOOKUP(CI$1,DATA!$A$3:$F$301,2,FALSE)-VLOOKUP($A28,DATA!$A$3:$F$301,2,FALSE))^2+(VLOOKUP(CI$1,DATA!$A$3:$F$301,3,FALSE)-VLOOKUP($A28,DATA!$A$3:$F$301,3,FALSE))^2),"")</f>
        <v/>
      </c>
      <c r="CJ28" s="14" t="str">
        <f>_xlfn.IFNA(SQRT((VLOOKUP(CJ$1,DATA!$A$3:$F$301,2,FALSE)-VLOOKUP($A28,DATA!$A$3:$F$301,2,FALSE))^2+(VLOOKUP(CJ$1,DATA!$A$3:$F$301,3,FALSE)-VLOOKUP($A28,DATA!$A$3:$F$301,3,FALSE))^2),"")</f>
        <v/>
      </c>
      <c r="CK28" s="14" t="str">
        <f>_xlfn.IFNA(SQRT((VLOOKUP(CK$1,DATA!$A$3:$F$301,2,FALSE)-VLOOKUP($A28,DATA!$A$3:$F$301,2,FALSE))^2+(VLOOKUP(CK$1,DATA!$A$3:$F$301,3,FALSE)-VLOOKUP($A28,DATA!$A$3:$F$301,3,FALSE))^2),"")</f>
        <v/>
      </c>
      <c r="CL28" s="14" t="str">
        <f>_xlfn.IFNA(SQRT((VLOOKUP(CL$1,DATA!$A$3:$F$301,2,FALSE)-VLOOKUP($A28,DATA!$A$3:$F$301,2,FALSE))^2+(VLOOKUP(CL$1,DATA!$A$3:$F$301,3,FALSE)-VLOOKUP($A28,DATA!$A$3:$F$301,3,FALSE))^2),"")</f>
        <v/>
      </c>
      <c r="CM28" s="14" t="str">
        <f>_xlfn.IFNA(SQRT((VLOOKUP(CM$1,DATA!$A$3:$F$301,2,FALSE)-VLOOKUP($A28,DATA!$A$3:$F$301,2,FALSE))^2+(VLOOKUP(CM$1,DATA!$A$3:$F$301,3,FALSE)-VLOOKUP($A28,DATA!$A$3:$F$301,3,FALSE))^2),"")</f>
        <v/>
      </c>
      <c r="CN28" s="14" t="str">
        <f>_xlfn.IFNA(SQRT((VLOOKUP(CN$1,DATA!$A$3:$F$301,2,FALSE)-VLOOKUP($A28,DATA!$A$3:$F$301,2,FALSE))^2+(VLOOKUP(CN$1,DATA!$A$3:$F$301,3,FALSE)-VLOOKUP($A28,DATA!$A$3:$F$301,3,FALSE))^2),"")</f>
        <v/>
      </c>
      <c r="CO28" s="14" t="str">
        <f>_xlfn.IFNA(SQRT((VLOOKUP(CO$1,DATA!$A$3:$F$301,2,FALSE)-VLOOKUP($A28,DATA!$A$3:$F$301,2,FALSE))^2+(VLOOKUP(CO$1,DATA!$A$3:$F$301,3,FALSE)-VLOOKUP($A28,DATA!$A$3:$F$301,3,FALSE))^2),"")</f>
        <v/>
      </c>
      <c r="CP28" s="14" t="str">
        <f>_xlfn.IFNA(SQRT((VLOOKUP(CP$1,DATA!$A$3:$F$301,2,FALSE)-VLOOKUP($A28,DATA!$A$3:$F$301,2,FALSE))^2+(VLOOKUP(CP$1,DATA!$A$3:$F$301,3,FALSE)-VLOOKUP($A28,DATA!$A$3:$F$301,3,FALSE))^2),"")</f>
        <v/>
      </c>
      <c r="CQ28" s="14" t="str">
        <f>_xlfn.IFNA(SQRT((VLOOKUP(CQ$1,DATA!$A$3:$F$301,2,FALSE)-VLOOKUP($A28,DATA!$A$3:$F$301,2,FALSE))^2+(VLOOKUP(CQ$1,DATA!$A$3:$F$301,3,FALSE)-VLOOKUP($A28,DATA!$A$3:$F$301,3,FALSE))^2),"")</f>
        <v/>
      </c>
      <c r="CR28" s="14" t="str">
        <f>_xlfn.IFNA(SQRT((VLOOKUP(CR$1,DATA!$A$3:$F$301,2,FALSE)-VLOOKUP($A28,DATA!$A$3:$F$301,2,FALSE))^2+(VLOOKUP(CR$1,DATA!$A$3:$F$301,3,FALSE)-VLOOKUP($A28,DATA!$A$3:$F$301,3,FALSE))^2),"")</f>
        <v/>
      </c>
      <c r="CS28" s="14" t="str">
        <f>_xlfn.IFNA(SQRT((VLOOKUP(CS$1,DATA!$A$3:$F$301,2,FALSE)-VLOOKUP($A28,DATA!$A$3:$F$301,2,FALSE))^2+(VLOOKUP(CS$1,DATA!$A$3:$F$301,3,FALSE)-VLOOKUP($A28,DATA!$A$3:$F$301,3,FALSE))^2),"")</f>
        <v/>
      </c>
      <c r="CT28" s="14" t="str">
        <f>_xlfn.IFNA(SQRT((VLOOKUP(CT$1,DATA!$A$3:$F$301,2,FALSE)-VLOOKUP($A28,DATA!$A$3:$F$301,2,FALSE))^2+(VLOOKUP(CT$1,DATA!$A$3:$F$301,3,FALSE)-VLOOKUP($A28,DATA!$A$3:$F$301,3,FALSE))^2),"")</f>
        <v/>
      </c>
      <c r="CU28" s="14" t="str">
        <f>_xlfn.IFNA(SQRT((VLOOKUP(CU$1,DATA!$A$3:$F$301,2,FALSE)-VLOOKUP($A28,DATA!$A$3:$F$301,2,FALSE))^2+(VLOOKUP(CU$1,DATA!$A$3:$F$301,3,FALSE)-VLOOKUP($A28,DATA!$A$3:$F$301,3,FALSE))^2),"")</f>
        <v/>
      </c>
      <c r="CV28" s="14" t="str">
        <f>_xlfn.IFNA(SQRT((VLOOKUP(CV$1,DATA!$A$3:$F$301,2,FALSE)-VLOOKUP($A28,DATA!$A$3:$F$301,2,FALSE))^2+(VLOOKUP(CV$1,DATA!$A$3:$F$301,3,FALSE)-VLOOKUP($A28,DATA!$A$3:$F$301,3,FALSE))^2),"")</f>
        <v/>
      </c>
      <c r="CW28" s="14" t="str">
        <f>_xlfn.IFNA(SQRT((VLOOKUP(CW$1,DATA!$A$3:$F$301,2,FALSE)-VLOOKUP($A28,DATA!$A$3:$F$301,2,FALSE))^2+(VLOOKUP(CW$1,DATA!$A$3:$F$301,3,FALSE)-VLOOKUP($A28,DATA!$A$3:$F$301,3,FALSE))^2),"")</f>
        <v/>
      </c>
      <c r="CX28" s="14" t="str">
        <f>_xlfn.IFNA(SQRT((VLOOKUP(CX$1,DATA!$A$3:$F$301,2,FALSE)-VLOOKUP($A28,DATA!$A$3:$F$301,2,FALSE))^2+(VLOOKUP(CX$1,DATA!$A$3:$F$301,3,FALSE)-VLOOKUP($A28,DATA!$A$3:$F$301,3,FALSE))^2),"")</f>
        <v/>
      </c>
    </row>
    <row r="29" spans="1:102">
      <c r="A29" s="13">
        <v>28</v>
      </c>
      <c r="B29" s="14">
        <f>_xlfn.IFNA(SQRT((VLOOKUP(B$1,DATA!$A$3:$F$301,2,FALSE)-VLOOKUP($A29,DATA!$A$3:$F$301,2,FALSE))^2+(VLOOKUP(B$1,DATA!$A$3:$F$301,3,FALSE)-VLOOKUP($A29,DATA!$A$3:$F$301,3,FALSE))^2),"")</f>
        <v>22</v>
      </c>
      <c r="C29" s="14">
        <f>_xlfn.IFNA(SQRT((VLOOKUP(C$1,DATA!$A$3:$F$301,2,FALSE)-VLOOKUP($A29,DATA!$A$3:$F$301,2,FALSE))^2+(VLOOKUP(C$1,DATA!$A$3:$F$301,3,FALSE)-VLOOKUP($A29,DATA!$A$3:$F$301,3,FALSE))^2),"")</f>
        <v>21.587033144922902</v>
      </c>
      <c r="D29" s="14">
        <f>_xlfn.IFNA(SQRT((VLOOKUP(D$1,DATA!$A$3:$F$301,2,FALSE)-VLOOKUP($A29,DATA!$A$3:$F$301,2,FALSE))^2+(VLOOKUP(D$1,DATA!$A$3:$F$301,3,FALSE)-VLOOKUP($A29,DATA!$A$3:$F$301,3,FALSE))^2),"")</f>
        <v>34</v>
      </c>
      <c r="E29" s="14">
        <f>_xlfn.IFNA(SQRT((VLOOKUP(E$1,DATA!$A$3:$F$301,2,FALSE)-VLOOKUP($A29,DATA!$A$3:$F$301,2,FALSE))^2+(VLOOKUP(E$1,DATA!$A$3:$F$301,3,FALSE)-VLOOKUP($A29,DATA!$A$3:$F$301,3,FALSE))^2),"")</f>
        <v>27.294688127912362</v>
      </c>
      <c r="F29" s="14">
        <f>_xlfn.IFNA(SQRT((VLOOKUP(F$1,DATA!$A$3:$F$301,2,FALSE)-VLOOKUP($A29,DATA!$A$3:$F$301,2,FALSE))^2+(VLOOKUP(F$1,DATA!$A$3:$F$301,3,FALSE)-VLOOKUP($A29,DATA!$A$3:$F$301,3,FALSE))^2),"")</f>
        <v>9.2195444572928871</v>
      </c>
      <c r="G29" s="14">
        <f>_xlfn.IFNA(SQRT((VLOOKUP(G$1,DATA!$A$3:$F$301,2,FALSE)-VLOOKUP($A29,DATA!$A$3:$F$301,2,FALSE))^2+(VLOOKUP(G$1,DATA!$A$3:$F$301,3,FALSE)-VLOOKUP($A29,DATA!$A$3:$F$301,3,FALSE))^2),"")</f>
        <v>24.698178070456937</v>
      </c>
      <c r="H29" s="14">
        <f>_xlfn.IFNA(SQRT((VLOOKUP(H$1,DATA!$A$3:$F$301,2,FALSE)-VLOOKUP($A29,DATA!$A$3:$F$301,2,FALSE))^2+(VLOOKUP(H$1,DATA!$A$3:$F$301,3,FALSE)-VLOOKUP($A29,DATA!$A$3:$F$301,3,FALSE))^2),"")</f>
        <v>37.802116342871599</v>
      </c>
      <c r="I29" s="14">
        <f>_xlfn.IFNA(SQRT((VLOOKUP(I$1,DATA!$A$3:$F$301,2,FALSE)-VLOOKUP($A29,DATA!$A$3:$F$301,2,FALSE))^2+(VLOOKUP(I$1,DATA!$A$3:$F$301,3,FALSE)-VLOOKUP($A29,DATA!$A$3:$F$301,3,FALSE))^2),"")</f>
        <v>26</v>
      </c>
      <c r="J29" s="14">
        <f>_xlfn.IFNA(SQRT((VLOOKUP(J$1,DATA!$A$3:$F$301,2,FALSE)-VLOOKUP($A29,DATA!$A$3:$F$301,2,FALSE))^2+(VLOOKUP(J$1,DATA!$A$3:$F$301,3,FALSE)-VLOOKUP($A29,DATA!$A$3:$F$301,3,FALSE))^2),"")</f>
        <v>22.022715545545239</v>
      </c>
      <c r="K29" s="14">
        <f>_xlfn.IFNA(SQRT((VLOOKUP(K$1,DATA!$A$3:$F$301,2,FALSE)-VLOOKUP($A29,DATA!$A$3:$F$301,2,FALSE))^2+(VLOOKUP(K$1,DATA!$A$3:$F$301,3,FALSE)-VLOOKUP($A29,DATA!$A$3:$F$301,3,FALSE))^2),"")</f>
        <v>33.734255586865999</v>
      </c>
      <c r="L29" s="14">
        <f>_xlfn.IFNA(SQRT((VLOOKUP(L$1,DATA!$A$3:$F$301,2,FALSE)-VLOOKUP($A29,DATA!$A$3:$F$301,2,FALSE))^2+(VLOOKUP(L$1,DATA!$A$3:$F$301,3,FALSE)-VLOOKUP($A29,DATA!$A$3:$F$301,3,FALSE))^2),"")</f>
        <v>27.892651361962706</v>
      </c>
      <c r="M29" s="14">
        <f>_xlfn.IFNA(SQRT((VLOOKUP(M$1,DATA!$A$3:$F$301,2,FALSE)-VLOOKUP($A29,DATA!$A$3:$F$301,2,FALSE))^2+(VLOOKUP(M$1,DATA!$A$3:$F$301,3,FALSE)-VLOOKUP($A29,DATA!$A$3:$F$301,3,FALSE))^2),"")</f>
        <v>10.198039027185569</v>
      </c>
      <c r="N29" s="14">
        <f>_xlfn.IFNA(SQRT((VLOOKUP(N$1,DATA!$A$3:$F$301,2,FALSE)-VLOOKUP($A29,DATA!$A$3:$F$301,2,FALSE))^2+(VLOOKUP(N$1,DATA!$A$3:$F$301,3,FALSE)-VLOOKUP($A29,DATA!$A$3:$F$301,3,FALSE))^2),"")</f>
        <v>21.840329667841555</v>
      </c>
      <c r="O29" s="14">
        <f>_xlfn.IFNA(SQRT((VLOOKUP(O$1,DATA!$A$3:$F$301,2,FALSE)-VLOOKUP($A29,DATA!$A$3:$F$301,2,FALSE))^2+(VLOOKUP(O$1,DATA!$A$3:$F$301,3,FALSE)-VLOOKUP($A29,DATA!$A$3:$F$301,3,FALSE))^2),"")</f>
        <v>14.212670403551895</v>
      </c>
      <c r="P29" s="14">
        <f>_xlfn.IFNA(SQRT((VLOOKUP(P$1,DATA!$A$3:$F$301,2,FALSE)-VLOOKUP($A29,DATA!$A$3:$F$301,2,FALSE))^2+(VLOOKUP(P$1,DATA!$A$3:$F$301,3,FALSE)-VLOOKUP($A29,DATA!$A$3:$F$301,3,FALSE))^2),"")</f>
        <v>31.048349392520048</v>
      </c>
      <c r="Q29" s="14">
        <f>_xlfn.IFNA(SQRT((VLOOKUP(Q$1,DATA!$A$3:$F$301,2,FALSE)-VLOOKUP($A29,DATA!$A$3:$F$301,2,FALSE))^2+(VLOOKUP(Q$1,DATA!$A$3:$F$301,3,FALSE)-VLOOKUP($A29,DATA!$A$3:$F$301,3,FALSE))^2),"")</f>
        <v>26.419689627245813</v>
      </c>
      <c r="R29" s="14">
        <f>_xlfn.IFNA(SQRT((VLOOKUP(R$1,DATA!$A$3:$F$301,2,FALSE)-VLOOKUP($A29,DATA!$A$3:$F$301,2,FALSE))^2+(VLOOKUP(R$1,DATA!$A$3:$F$301,3,FALSE)-VLOOKUP($A29,DATA!$A$3:$F$301,3,FALSE))^2),"")</f>
        <v>40.70626487409524</v>
      </c>
      <c r="S29" s="14">
        <f>_xlfn.IFNA(SQRT((VLOOKUP(S$1,DATA!$A$3:$F$301,2,FALSE)-VLOOKUP($A29,DATA!$A$3:$F$301,2,FALSE))^2+(VLOOKUP(S$1,DATA!$A$3:$F$301,3,FALSE)-VLOOKUP($A29,DATA!$A$3:$F$301,3,FALSE))^2),"")</f>
        <v>18.788294228055936</v>
      </c>
      <c r="T29" s="14">
        <f>_xlfn.IFNA(SQRT((VLOOKUP(T$1,DATA!$A$3:$F$301,2,FALSE)-VLOOKUP($A29,DATA!$A$3:$F$301,2,FALSE))^2+(VLOOKUP(T$1,DATA!$A$3:$F$301,3,FALSE)-VLOOKUP($A29,DATA!$A$3:$F$301,3,FALSE))^2),"")</f>
        <v>8.0622577482985491</v>
      </c>
      <c r="U29" s="14">
        <f>_xlfn.IFNA(SQRT((VLOOKUP(U$1,DATA!$A$3:$F$301,2,FALSE)-VLOOKUP($A29,DATA!$A$3:$F$301,2,FALSE))^2+(VLOOKUP(U$1,DATA!$A$3:$F$301,3,FALSE)-VLOOKUP($A29,DATA!$A$3:$F$301,3,FALSE))^2),"")</f>
        <v>34.014702703389901</v>
      </c>
      <c r="V29" s="14">
        <f>_xlfn.IFNA(SQRT((VLOOKUP(V$1,DATA!$A$3:$F$301,2,FALSE)-VLOOKUP($A29,DATA!$A$3:$F$301,2,FALSE))^2+(VLOOKUP(V$1,DATA!$A$3:$F$301,3,FALSE)-VLOOKUP($A29,DATA!$A$3:$F$301,3,FALSE))^2),"")</f>
        <v>31.144823004794873</v>
      </c>
      <c r="W29" s="14">
        <f>_xlfn.IFNA(SQRT((VLOOKUP(W$1,DATA!$A$3:$F$301,2,FALSE)-VLOOKUP($A29,DATA!$A$3:$F$301,2,FALSE))^2+(VLOOKUP(W$1,DATA!$A$3:$F$301,3,FALSE)-VLOOKUP($A29,DATA!$A$3:$F$301,3,FALSE))^2),"")</f>
        <v>38.897300677553446</v>
      </c>
      <c r="X29" s="14">
        <f>_xlfn.IFNA(SQRT((VLOOKUP(X$1,DATA!$A$3:$F$301,2,FALSE)-VLOOKUP($A29,DATA!$A$3:$F$301,2,FALSE))^2+(VLOOKUP(X$1,DATA!$A$3:$F$301,3,FALSE)-VLOOKUP($A29,DATA!$A$3:$F$301,3,FALSE))^2),"")</f>
        <v>43.931765272977593</v>
      </c>
      <c r="Y29" s="14">
        <f>_xlfn.IFNA(SQRT((VLOOKUP(Y$1,DATA!$A$3:$F$301,2,FALSE)-VLOOKUP($A29,DATA!$A$3:$F$301,2,FALSE))^2+(VLOOKUP(Y$1,DATA!$A$3:$F$301,3,FALSE)-VLOOKUP($A29,DATA!$A$3:$F$301,3,FALSE))^2),"")</f>
        <v>25.019992006393608</v>
      </c>
      <c r="Z29" s="14">
        <f>_xlfn.IFNA(SQRT((VLOOKUP(Z$1,DATA!$A$3:$F$301,2,FALSE)-VLOOKUP($A29,DATA!$A$3:$F$301,2,FALSE))^2+(VLOOKUP(Z$1,DATA!$A$3:$F$301,3,FALSE)-VLOOKUP($A29,DATA!$A$3:$F$301,3,FALSE))^2),"")</f>
        <v>40.718546143004666</v>
      </c>
      <c r="AA29" s="14">
        <f>_xlfn.IFNA(SQRT((VLOOKUP(AA$1,DATA!$A$3:$F$301,2,FALSE)-VLOOKUP($A29,DATA!$A$3:$F$301,2,FALSE))^2+(VLOOKUP(AA$1,DATA!$A$3:$F$301,3,FALSE)-VLOOKUP($A29,DATA!$A$3:$F$301,3,FALSE))^2),"")</f>
        <v>11</v>
      </c>
      <c r="AB29" s="14">
        <f>_xlfn.IFNA(SQRT((VLOOKUP(AB$1,DATA!$A$3:$F$301,2,FALSE)-VLOOKUP($A29,DATA!$A$3:$F$301,2,FALSE))^2+(VLOOKUP(AB$1,DATA!$A$3:$F$301,3,FALSE)-VLOOKUP($A29,DATA!$A$3:$F$301,3,FALSE))^2),"")</f>
        <v>36.055512754639892</v>
      </c>
      <c r="AC29" s="14">
        <f>_xlfn.IFNA(SQRT((VLOOKUP(AC$1,DATA!$A$3:$F$301,2,FALSE)-VLOOKUP($A29,DATA!$A$3:$F$301,2,FALSE))^2+(VLOOKUP(AC$1,DATA!$A$3:$F$301,3,FALSE)-VLOOKUP($A29,DATA!$A$3:$F$301,3,FALSE))^2),"")</f>
        <v>0</v>
      </c>
      <c r="AD29" s="14">
        <f>_xlfn.IFNA(SQRT((VLOOKUP(AD$1,DATA!$A$3:$F$301,2,FALSE)-VLOOKUP($A29,DATA!$A$3:$F$301,2,FALSE))^2+(VLOOKUP(AD$1,DATA!$A$3:$F$301,3,FALSE)-VLOOKUP($A29,DATA!$A$3:$F$301,3,FALSE))^2),"")</f>
        <v>44.553338819890925</v>
      </c>
      <c r="AE29" s="14">
        <f>_xlfn.IFNA(SQRT((VLOOKUP(AE$1,DATA!$A$3:$F$301,2,FALSE)-VLOOKUP($A29,DATA!$A$3:$F$301,2,FALSE))^2+(VLOOKUP(AE$1,DATA!$A$3:$F$301,3,FALSE)-VLOOKUP($A29,DATA!$A$3:$F$301,3,FALSE))^2),"")</f>
        <v>16.031219541881399</v>
      </c>
      <c r="AF29" s="14">
        <f>_xlfn.IFNA(SQRT((VLOOKUP(AF$1,DATA!$A$3:$F$301,2,FALSE)-VLOOKUP($A29,DATA!$A$3:$F$301,2,FALSE))^2+(VLOOKUP(AF$1,DATA!$A$3:$F$301,3,FALSE)-VLOOKUP($A29,DATA!$A$3:$F$301,3,FALSE))^2),"")</f>
        <v>36.891733491393431</v>
      </c>
      <c r="AG29" s="14">
        <f>_xlfn.IFNA(SQRT((VLOOKUP(AG$1,DATA!$A$3:$F$301,2,FALSE)-VLOOKUP($A29,DATA!$A$3:$F$301,2,FALSE))^2+(VLOOKUP(AG$1,DATA!$A$3:$F$301,3,FALSE)-VLOOKUP($A29,DATA!$A$3:$F$301,3,FALSE))^2),"")</f>
        <v>2</v>
      </c>
      <c r="AH29" s="14">
        <f>_xlfn.IFNA(SQRT((VLOOKUP(AH$1,DATA!$A$3:$F$301,2,FALSE)-VLOOKUP($A29,DATA!$A$3:$F$301,2,FALSE))^2+(VLOOKUP(AH$1,DATA!$A$3:$F$301,3,FALSE)-VLOOKUP($A29,DATA!$A$3:$F$301,3,FALSE))^2),"")</f>
        <v>18.384776310850235</v>
      </c>
      <c r="AI29" s="14">
        <f>_xlfn.IFNA(SQRT((VLOOKUP(AI$1,DATA!$A$3:$F$301,2,FALSE)-VLOOKUP($A29,DATA!$A$3:$F$301,2,FALSE))^2+(VLOOKUP(AI$1,DATA!$A$3:$F$301,3,FALSE)-VLOOKUP($A29,DATA!$A$3:$F$301,3,FALSE))^2),"")</f>
        <v>39.395431207184416</v>
      </c>
      <c r="AJ29" s="14">
        <f>_xlfn.IFNA(SQRT((VLOOKUP(AJ$1,DATA!$A$3:$F$301,2,FALSE)-VLOOKUP($A29,DATA!$A$3:$F$301,2,FALSE))^2+(VLOOKUP(AJ$1,DATA!$A$3:$F$301,3,FALSE)-VLOOKUP($A29,DATA!$A$3:$F$301,3,FALSE))^2),"")</f>
        <v>34</v>
      </c>
      <c r="AK29" s="14">
        <f>_xlfn.IFNA(SQRT((VLOOKUP(AK$1,DATA!$A$3:$F$301,2,FALSE)-VLOOKUP($A29,DATA!$A$3:$F$301,2,FALSE))^2+(VLOOKUP(AK$1,DATA!$A$3:$F$301,3,FALSE)-VLOOKUP($A29,DATA!$A$3:$F$301,3,FALSE))^2),"")</f>
        <v>9.8994949366116654</v>
      </c>
      <c r="AL29" s="14">
        <f>_xlfn.IFNA(SQRT((VLOOKUP(AL$1,DATA!$A$3:$F$301,2,FALSE)-VLOOKUP($A29,DATA!$A$3:$F$301,2,FALSE))^2+(VLOOKUP(AL$1,DATA!$A$3:$F$301,3,FALSE)-VLOOKUP($A29,DATA!$A$3:$F$301,3,FALSE))^2),"")</f>
        <v>24.166091947189145</v>
      </c>
      <c r="AM29" s="14">
        <f>_xlfn.IFNA(SQRT((VLOOKUP(AM$1,DATA!$A$3:$F$301,2,FALSE)-VLOOKUP($A29,DATA!$A$3:$F$301,2,FALSE))^2+(VLOOKUP(AM$1,DATA!$A$3:$F$301,3,FALSE)-VLOOKUP($A29,DATA!$A$3:$F$301,3,FALSE))^2),"")</f>
        <v>8.5440037453175304</v>
      </c>
      <c r="AN29" s="14">
        <f>_xlfn.IFNA(SQRT((VLOOKUP(AN$1,DATA!$A$3:$F$301,2,FALSE)-VLOOKUP($A29,DATA!$A$3:$F$301,2,FALSE))^2+(VLOOKUP(AN$1,DATA!$A$3:$F$301,3,FALSE)-VLOOKUP($A29,DATA!$A$3:$F$301,3,FALSE))^2),"")</f>
        <v>45.276925690687087</v>
      </c>
      <c r="AO29" s="14">
        <f>_xlfn.IFNA(SQRT((VLOOKUP(AO$1,DATA!$A$3:$F$301,2,FALSE)-VLOOKUP($A29,DATA!$A$3:$F$301,2,FALSE))^2+(VLOOKUP(AO$1,DATA!$A$3:$F$301,3,FALSE)-VLOOKUP($A29,DATA!$A$3:$F$301,3,FALSE))^2),"")</f>
        <v>10.63014581273465</v>
      </c>
      <c r="AP29" s="14" t="str">
        <f>_xlfn.IFNA(SQRT((VLOOKUP(AP$1,DATA!$A$3:$F$301,2,FALSE)-VLOOKUP($A29,DATA!$A$3:$F$301,2,FALSE))^2+(VLOOKUP(AP$1,DATA!$A$3:$F$301,3,FALSE)-VLOOKUP($A29,DATA!$A$3:$F$301,3,FALSE))^2),"")</f>
        <v/>
      </c>
      <c r="AQ29" s="14" t="str">
        <f>_xlfn.IFNA(SQRT((VLOOKUP(AQ$1,DATA!$A$3:$F$301,2,FALSE)-VLOOKUP($A29,DATA!$A$3:$F$301,2,FALSE))^2+(VLOOKUP(AQ$1,DATA!$A$3:$F$301,3,FALSE)-VLOOKUP($A29,DATA!$A$3:$F$301,3,FALSE))^2),"")</f>
        <v/>
      </c>
      <c r="AR29" s="14" t="str">
        <f>_xlfn.IFNA(SQRT((VLOOKUP(AR$1,DATA!$A$3:$F$301,2,FALSE)-VLOOKUP($A29,DATA!$A$3:$F$301,2,FALSE))^2+(VLOOKUP(AR$1,DATA!$A$3:$F$301,3,FALSE)-VLOOKUP($A29,DATA!$A$3:$F$301,3,FALSE))^2),"")</f>
        <v/>
      </c>
      <c r="AS29" s="14" t="str">
        <f>_xlfn.IFNA(SQRT((VLOOKUP(AS$1,DATA!$A$3:$F$301,2,FALSE)-VLOOKUP($A29,DATA!$A$3:$F$301,2,FALSE))^2+(VLOOKUP(AS$1,DATA!$A$3:$F$301,3,FALSE)-VLOOKUP($A29,DATA!$A$3:$F$301,3,FALSE))^2),"")</f>
        <v/>
      </c>
      <c r="AT29" s="14" t="str">
        <f>_xlfn.IFNA(SQRT((VLOOKUP(AT$1,DATA!$A$3:$F$301,2,FALSE)-VLOOKUP($A29,DATA!$A$3:$F$301,2,FALSE))^2+(VLOOKUP(AT$1,DATA!$A$3:$F$301,3,FALSE)-VLOOKUP($A29,DATA!$A$3:$F$301,3,FALSE))^2),"")</f>
        <v/>
      </c>
      <c r="AU29" s="14" t="str">
        <f>_xlfn.IFNA(SQRT((VLOOKUP(AU$1,DATA!$A$3:$F$301,2,FALSE)-VLOOKUP($A29,DATA!$A$3:$F$301,2,FALSE))^2+(VLOOKUP(AU$1,DATA!$A$3:$F$301,3,FALSE)-VLOOKUP($A29,DATA!$A$3:$F$301,3,FALSE))^2),"")</f>
        <v/>
      </c>
      <c r="AV29" s="14" t="str">
        <f>_xlfn.IFNA(SQRT((VLOOKUP(AV$1,DATA!$A$3:$F$301,2,FALSE)-VLOOKUP($A29,DATA!$A$3:$F$301,2,FALSE))^2+(VLOOKUP(AV$1,DATA!$A$3:$F$301,3,FALSE)-VLOOKUP($A29,DATA!$A$3:$F$301,3,FALSE))^2),"")</f>
        <v/>
      </c>
      <c r="AW29" s="14" t="str">
        <f>_xlfn.IFNA(SQRT((VLOOKUP(AW$1,DATA!$A$3:$F$301,2,FALSE)-VLOOKUP($A29,DATA!$A$3:$F$301,2,FALSE))^2+(VLOOKUP(AW$1,DATA!$A$3:$F$301,3,FALSE)-VLOOKUP($A29,DATA!$A$3:$F$301,3,FALSE))^2),"")</f>
        <v/>
      </c>
      <c r="AX29" s="14" t="str">
        <f>_xlfn.IFNA(SQRT((VLOOKUP(AX$1,DATA!$A$3:$F$301,2,FALSE)-VLOOKUP($A29,DATA!$A$3:$F$301,2,FALSE))^2+(VLOOKUP(AX$1,DATA!$A$3:$F$301,3,FALSE)-VLOOKUP($A29,DATA!$A$3:$F$301,3,FALSE))^2),"")</f>
        <v/>
      </c>
      <c r="AY29" s="14" t="str">
        <f>_xlfn.IFNA(SQRT((VLOOKUP(AY$1,DATA!$A$3:$F$301,2,FALSE)-VLOOKUP($A29,DATA!$A$3:$F$301,2,FALSE))^2+(VLOOKUP(AY$1,DATA!$A$3:$F$301,3,FALSE)-VLOOKUP($A29,DATA!$A$3:$F$301,3,FALSE))^2),"")</f>
        <v/>
      </c>
      <c r="AZ29" s="14" t="str">
        <f>_xlfn.IFNA(SQRT((VLOOKUP(AZ$1,DATA!$A$3:$F$301,2,FALSE)-VLOOKUP($A29,DATA!$A$3:$F$301,2,FALSE))^2+(VLOOKUP(AZ$1,DATA!$A$3:$F$301,3,FALSE)-VLOOKUP($A29,DATA!$A$3:$F$301,3,FALSE))^2),"")</f>
        <v/>
      </c>
      <c r="BA29" s="14" t="str">
        <f>_xlfn.IFNA(SQRT((VLOOKUP(BA$1,DATA!$A$3:$F$301,2,FALSE)-VLOOKUP($A29,DATA!$A$3:$F$301,2,FALSE))^2+(VLOOKUP(BA$1,DATA!$A$3:$F$301,3,FALSE)-VLOOKUP($A29,DATA!$A$3:$F$301,3,FALSE))^2),"")</f>
        <v/>
      </c>
      <c r="BB29" s="14" t="str">
        <f>_xlfn.IFNA(SQRT((VLOOKUP(BB$1,DATA!$A$3:$F$301,2,FALSE)-VLOOKUP($A29,DATA!$A$3:$F$301,2,FALSE))^2+(VLOOKUP(BB$1,DATA!$A$3:$F$301,3,FALSE)-VLOOKUP($A29,DATA!$A$3:$F$301,3,FALSE))^2),"")</f>
        <v/>
      </c>
      <c r="BC29" s="14" t="str">
        <f>_xlfn.IFNA(SQRT((VLOOKUP(BC$1,DATA!$A$3:$F$301,2,FALSE)-VLOOKUP($A29,DATA!$A$3:$F$301,2,FALSE))^2+(VLOOKUP(BC$1,DATA!$A$3:$F$301,3,FALSE)-VLOOKUP($A29,DATA!$A$3:$F$301,3,FALSE))^2),"")</f>
        <v/>
      </c>
      <c r="BD29" s="14" t="str">
        <f>_xlfn.IFNA(SQRT((VLOOKUP(BD$1,DATA!$A$3:$F$301,2,FALSE)-VLOOKUP($A29,DATA!$A$3:$F$301,2,FALSE))^2+(VLOOKUP(BD$1,DATA!$A$3:$F$301,3,FALSE)-VLOOKUP($A29,DATA!$A$3:$F$301,3,FALSE))^2),"")</f>
        <v/>
      </c>
      <c r="BE29" s="14" t="str">
        <f>_xlfn.IFNA(SQRT((VLOOKUP(BE$1,DATA!$A$3:$F$301,2,FALSE)-VLOOKUP($A29,DATA!$A$3:$F$301,2,FALSE))^2+(VLOOKUP(BE$1,DATA!$A$3:$F$301,3,FALSE)-VLOOKUP($A29,DATA!$A$3:$F$301,3,FALSE))^2),"")</f>
        <v/>
      </c>
      <c r="BF29" s="14" t="str">
        <f>_xlfn.IFNA(SQRT((VLOOKUP(BF$1,DATA!$A$3:$F$301,2,FALSE)-VLOOKUP($A29,DATA!$A$3:$F$301,2,FALSE))^2+(VLOOKUP(BF$1,DATA!$A$3:$F$301,3,FALSE)-VLOOKUP($A29,DATA!$A$3:$F$301,3,FALSE))^2),"")</f>
        <v/>
      </c>
      <c r="BG29" s="14" t="str">
        <f>_xlfn.IFNA(SQRT((VLOOKUP(BG$1,DATA!$A$3:$F$301,2,FALSE)-VLOOKUP($A29,DATA!$A$3:$F$301,2,FALSE))^2+(VLOOKUP(BG$1,DATA!$A$3:$F$301,3,FALSE)-VLOOKUP($A29,DATA!$A$3:$F$301,3,FALSE))^2),"")</f>
        <v/>
      </c>
      <c r="BH29" s="14" t="str">
        <f>_xlfn.IFNA(SQRT((VLOOKUP(BH$1,DATA!$A$3:$F$301,2,FALSE)-VLOOKUP($A29,DATA!$A$3:$F$301,2,FALSE))^2+(VLOOKUP(BH$1,DATA!$A$3:$F$301,3,FALSE)-VLOOKUP($A29,DATA!$A$3:$F$301,3,FALSE))^2),"")</f>
        <v/>
      </c>
      <c r="BI29" s="14" t="str">
        <f>_xlfn.IFNA(SQRT((VLOOKUP(BI$1,DATA!$A$3:$F$301,2,FALSE)-VLOOKUP($A29,DATA!$A$3:$F$301,2,FALSE))^2+(VLOOKUP(BI$1,DATA!$A$3:$F$301,3,FALSE)-VLOOKUP($A29,DATA!$A$3:$F$301,3,FALSE))^2),"")</f>
        <v/>
      </c>
      <c r="BJ29" s="14" t="str">
        <f>_xlfn.IFNA(SQRT((VLOOKUP(BJ$1,DATA!$A$3:$F$301,2,FALSE)-VLOOKUP($A29,DATA!$A$3:$F$301,2,FALSE))^2+(VLOOKUP(BJ$1,DATA!$A$3:$F$301,3,FALSE)-VLOOKUP($A29,DATA!$A$3:$F$301,3,FALSE))^2),"")</f>
        <v/>
      </c>
      <c r="BK29" s="14" t="str">
        <f>_xlfn.IFNA(SQRT((VLOOKUP(BK$1,DATA!$A$3:$F$301,2,FALSE)-VLOOKUP($A29,DATA!$A$3:$F$301,2,FALSE))^2+(VLOOKUP(BK$1,DATA!$A$3:$F$301,3,FALSE)-VLOOKUP($A29,DATA!$A$3:$F$301,3,FALSE))^2),"")</f>
        <v/>
      </c>
      <c r="BL29" s="14" t="str">
        <f>_xlfn.IFNA(SQRT((VLOOKUP(BL$1,DATA!$A$3:$F$301,2,FALSE)-VLOOKUP($A29,DATA!$A$3:$F$301,2,FALSE))^2+(VLOOKUP(BL$1,DATA!$A$3:$F$301,3,FALSE)-VLOOKUP($A29,DATA!$A$3:$F$301,3,FALSE))^2),"")</f>
        <v/>
      </c>
      <c r="BM29" s="14" t="str">
        <f>_xlfn.IFNA(SQRT((VLOOKUP(BM$1,DATA!$A$3:$F$301,2,FALSE)-VLOOKUP($A29,DATA!$A$3:$F$301,2,FALSE))^2+(VLOOKUP(BM$1,DATA!$A$3:$F$301,3,FALSE)-VLOOKUP($A29,DATA!$A$3:$F$301,3,FALSE))^2),"")</f>
        <v/>
      </c>
      <c r="BN29" s="14" t="str">
        <f>_xlfn.IFNA(SQRT((VLOOKUP(BN$1,DATA!$A$3:$F$301,2,FALSE)-VLOOKUP($A29,DATA!$A$3:$F$301,2,FALSE))^2+(VLOOKUP(BN$1,DATA!$A$3:$F$301,3,FALSE)-VLOOKUP($A29,DATA!$A$3:$F$301,3,FALSE))^2),"")</f>
        <v/>
      </c>
      <c r="BO29" s="14" t="str">
        <f>_xlfn.IFNA(SQRT((VLOOKUP(BO$1,DATA!$A$3:$F$301,2,FALSE)-VLOOKUP($A29,DATA!$A$3:$F$301,2,FALSE))^2+(VLOOKUP(BO$1,DATA!$A$3:$F$301,3,FALSE)-VLOOKUP($A29,DATA!$A$3:$F$301,3,FALSE))^2),"")</f>
        <v/>
      </c>
      <c r="BP29" s="14" t="str">
        <f>_xlfn.IFNA(SQRT((VLOOKUP(BP$1,DATA!$A$3:$F$301,2,FALSE)-VLOOKUP($A29,DATA!$A$3:$F$301,2,FALSE))^2+(VLOOKUP(BP$1,DATA!$A$3:$F$301,3,FALSE)-VLOOKUP($A29,DATA!$A$3:$F$301,3,FALSE))^2),"")</f>
        <v/>
      </c>
      <c r="BQ29" s="14" t="str">
        <f>_xlfn.IFNA(SQRT((VLOOKUP(BQ$1,DATA!$A$3:$F$301,2,FALSE)-VLOOKUP($A29,DATA!$A$3:$F$301,2,FALSE))^2+(VLOOKUP(BQ$1,DATA!$A$3:$F$301,3,FALSE)-VLOOKUP($A29,DATA!$A$3:$F$301,3,FALSE))^2),"")</f>
        <v/>
      </c>
      <c r="BR29" s="14" t="str">
        <f>_xlfn.IFNA(SQRT((VLOOKUP(BR$1,DATA!$A$3:$F$301,2,FALSE)-VLOOKUP($A29,DATA!$A$3:$F$301,2,FALSE))^2+(VLOOKUP(BR$1,DATA!$A$3:$F$301,3,FALSE)-VLOOKUP($A29,DATA!$A$3:$F$301,3,FALSE))^2),"")</f>
        <v/>
      </c>
      <c r="BS29" s="14" t="str">
        <f>_xlfn.IFNA(SQRT((VLOOKUP(BS$1,DATA!$A$3:$F$301,2,FALSE)-VLOOKUP($A29,DATA!$A$3:$F$301,2,FALSE))^2+(VLOOKUP(BS$1,DATA!$A$3:$F$301,3,FALSE)-VLOOKUP($A29,DATA!$A$3:$F$301,3,FALSE))^2),"")</f>
        <v/>
      </c>
      <c r="BT29" s="14" t="str">
        <f>_xlfn.IFNA(SQRT((VLOOKUP(BT$1,DATA!$A$3:$F$301,2,FALSE)-VLOOKUP($A29,DATA!$A$3:$F$301,2,FALSE))^2+(VLOOKUP(BT$1,DATA!$A$3:$F$301,3,FALSE)-VLOOKUP($A29,DATA!$A$3:$F$301,3,FALSE))^2),"")</f>
        <v/>
      </c>
      <c r="BU29" s="14" t="str">
        <f>_xlfn.IFNA(SQRT((VLOOKUP(BU$1,DATA!$A$3:$F$301,2,FALSE)-VLOOKUP($A29,DATA!$A$3:$F$301,2,FALSE))^2+(VLOOKUP(BU$1,DATA!$A$3:$F$301,3,FALSE)-VLOOKUP($A29,DATA!$A$3:$F$301,3,FALSE))^2),"")</f>
        <v/>
      </c>
      <c r="BV29" s="14" t="str">
        <f>_xlfn.IFNA(SQRT((VLOOKUP(BV$1,DATA!$A$3:$F$301,2,FALSE)-VLOOKUP($A29,DATA!$A$3:$F$301,2,FALSE))^2+(VLOOKUP(BV$1,DATA!$A$3:$F$301,3,FALSE)-VLOOKUP($A29,DATA!$A$3:$F$301,3,FALSE))^2),"")</f>
        <v/>
      </c>
      <c r="BW29" s="14" t="str">
        <f>_xlfn.IFNA(SQRT((VLOOKUP(BW$1,DATA!$A$3:$F$301,2,FALSE)-VLOOKUP($A29,DATA!$A$3:$F$301,2,FALSE))^2+(VLOOKUP(BW$1,DATA!$A$3:$F$301,3,FALSE)-VLOOKUP($A29,DATA!$A$3:$F$301,3,FALSE))^2),"")</f>
        <v/>
      </c>
      <c r="BX29" s="14" t="str">
        <f>_xlfn.IFNA(SQRT((VLOOKUP(BX$1,DATA!$A$3:$F$301,2,FALSE)-VLOOKUP($A29,DATA!$A$3:$F$301,2,FALSE))^2+(VLOOKUP(BX$1,DATA!$A$3:$F$301,3,FALSE)-VLOOKUP($A29,DATA!$A$3:$F$301,3,FALSE))^2),"")</f>
        <v/>
      </c>
      <c r="BY29" s="14" t="str">
        <f>_xlfn.IFNA(SQRT((VLOOKUP(BY$1,DATA!$A$3:$F$301,2,FALSE)-VLOOKUP($A29,DATA!$A$3:$F$301,2,FALSE))^2+(VLOOKUP(BY$1,DATA!$A$3:$F$301,3,FALSE)-VLOOKUP($A29,DATA!$A$3:$F$301,3,FALSE))^2),"")</f>
        <v/>
      </c>
      <c r="BZ29" s="14" t="str">
        <f>_xlfn.IFNA(SQRT((VLOOKUP(BZ$1,DATA!$A$3:$F$301,2,FALSE)-VLOOKUP($A29,DATA!$A$3:$F$301,2,FALSE))^2+(VLOOKUP(BZ$1,DATA!$A$3:$F$301,3,FALSE)-VLOOKUP($A29,DATA!$A$3:$F$301,3,FALSE))^2),"")</f>
        <v/>
      </c>
      <c r="CA29" s="14" t="str">
        <f>_xlfn.IFNA(SQRT((VLOOKUP(CA$1,DATA!$A$3:$F$301,2,FALSE)-VLOOKUP($A29,DATA!$A$3:$F$301,2,FALSE))^2+(VLOOKUP(CA$1,DATA!$A$3:$F$301,3,FALSE)-VLOOKUP($A29,DATA!$A$3:$F$301,3,FALSE))^2),"")</f>
        <v/>
      </c>
      <c r="CB29" s="14" t="str">
        <f>_xlfn.IFNA(SQRT((VLOOKUP(CB$1,DATA!$A$3:$F$301,2,FALSE)-VLOOKUP($A29,DATA!$A$3:$F$301,2,FALSE))^2+(VLOOKUP(CB$1,DATA!$A$3:$F$301,3,FALSE)-VLOOKUP($A29,DATA!$A$3:$F$301,3,FALSE))^2),"")</f>
        <v/>
      </c>
      <c r="CC29" s="14" t="str">
        <f>_xlfn.IFNA(SQRT((VLOOKUP(CC$1,DATA!$A$3:$F$301,2,FALSE)-VLOOKUP($A29,DATA!$A$3:$F$301,2,FALSE))^2+(VLOOKUP(CC$1,DATA!$A$3:$F$301,3,FALSE)-VLOOKUP($A29,DATA!$A$3:$F$301,3,FALSE))^2),"")</f>
        <v/>
      </c>
      <c r="CD29" s="14" t="str">
        <f>_xlfn.IFNA(SQRT((VLOOKUP(CD$1,DATA!$A$3:$F$301,2,FALSE)-VLOOKUP($A29,DATA!$A$3:$F$301,2,FALSE))^2+(VLOOKUP(CD$1,DATA!$A$3:$F$301,3,FALSE)-VLOOKUP($A29,DATA!$A$3:$F$301,3,FALSE))^2),"")</f>
        <v/>
      </c>
      <c r="CE29" s="14" t="str">
        <f>_xlfn.IFNA(SQRT((VLOOKUP(CE$1,DATA!$A$3:$F$301,2,FALSE)-VLOOKUP($A29,DATA!$A$3:$F$301,2,FALSE))^2+(VLOOKUP(CE$1,DATA!$A$3:$F$301,3,FALSE)-VLOOKUP($A29,DATA!$A$3:$F$301,3,FALSE))^2),"")</f>
        <v/>
      </c>
      <c r="CF29" s="14" t="str">
        <f>_xlfn.IFNA(SQRT((VLOOKUP(CF$1,DATA!$A$3:$F$301,2,FALSE)-VLOOKUP($A29,DATA!$A$3:$F$301,2,FALSE))^2+(VLOOKUP(CF$1,DATA!$A$3:$F$301,3,FALSE)-VLOOKUP($A29,DATA!$A$3:$F$301,3,FALSE))^2),"")</f>
        <v/>
      </c>
      <c r="CG29" s="14" t="str">
        <f>_xlfn.IFNA(SQRT((VLOOKUP(CG$1,DATA!$A$3:$F$301,2,FALSE)-VLOOKUP($A29,DATA!$A$3:$F$301,2,FALSE))^2+(VLOOKUP(CG$1,DATA!$A$3:$F$301,3,FALSE)-VLOOKUP($A29,DATA!$A$3:$F$301,3,FALSE))^2),"")</f>
        <v/>
      </c>
      <c r="CH29" s="14" t="str">
        <f>_xlfn.IFNA(SQRT((VLOOKUP(CH$1,DATA!$A$3:$F$301,2,FALSE)-VLOOKUP($A29,DATA!$A$3:$F$301,2,FALSE))^2+(VLOOKUP(CH$1,DATA!$A$3:$F$301,3,FALSE)-VLOOKUP($A29,DATA!$A$3:$F$301,3,FALSE))^2),"")</f>
        <v/>
      </c>
      <c r="CI29" s="14" t="str">
        <f>_xlfn.IFNA(SQRT((VLOOKUP(CI$1,DATA!$A$3:$F$301,2,FALSE)-VLOOKUP($A29,DATA!$A$3:$F$301,2,FALSE))^2+(VLOOKUP(CI$1,DATA!$A$3:$F$301,3,FALSE)-VLOOKUP($A29,DATA!$A$3:$F$301,3,FALSE))^2),"")</f>
        <v/>
      </c>
      <c r="CJ29" s="14" t="str">
        <f>_xlfn.IFNA(SQRT((VLOOKUP(CJ$1,DATA!$A$3:$F$301,2,FALSE)-VLOOKUP($A29,DATA!$A$3:$F$301,2,FALSE))^2+(VLOOKUP(CJ$1,DATA!$A$3:$F$301,3,FALSE)-VLOOKUP($A29,DATA!$A$3:$F$301,3,FALSE))^2),"")</f>
        <v/>
      </c>
      <c r="CK29" s="14" t="str">
        <f>_xlfn.IFNA(SQRT((VLOOKUP(CK$1,DATA!$A$3:$F$301,2,FALSE)-VLOOKUP($A29,DATA!$A$3:$F$301,2,FALSE))^2+(VLOOKUP(CK$1,DATA!$A$3:$F$301,3,FALSE)-VLOOKUP($A29,DATA!$A$3:$F$301,3,FALSE))^2),"")</f>
        <v/>
      </c>
      <c r="CL29" s="14" t="str">
        <f>_xlfn.IFNA(SQRT((VLOOKUP(CL$1,DATA!$A$3:$F$301,2,FALSE)-VLOOKUP($A29,DATA!$A$3:$F$301,2,FALSE))^2+(VLOOKUP(CL$1,DATA!$A$3:$F$301,3,FALSE)-VLOOKUP($A29,DATA!$A$3:$F$301,3,FALSE))^2),"")</f>
        <v/>
      </c>
      <c r="CM29" s="14" t="str">
        <f>_xlfn.IFNA(SQRT((VLOOKUP(CM$1,DATA!$A$3:$F$301,2,FALSE)-VLOOKUP($A29,DATA!$A$3:$F$301,2,FALSE))^2+(VLOOKUP(CM$1,DATA!$A$3:$F$301,3,FALSE)-VLOOKUP($A29,DATA!$A$3:$F$301,3,FALSE))^2),"")</f>
        <v/>
      </c>
      <c r="CN29" s="14" t="str">
        <f>_xlfn.IFNA(SQRT((VLOOKUP(CN$1,DATA!$A$3:$F$301,2,FALSE)-VLOOKUP($A29,DATA!$A$3:$F$301,2,FALSE))^2+(VLOOKUP(CN$1,DATA!$A$3:$F$301,3,FALSE)-VLOOKUP($A29,DATA!$A$3:$F$301,3,FALSE))^2),"")</f>
        <v/>
      </c>
      <c r="CO29" s="14" t="str">
        <f>_xlfn.IFNA(SQRT((VLOOKUP(CO$1,DATA!$A$3:$F$301,2,FALSE)-VLOOKUP($A29,DATA!$A$3:$F$301,2,FALSE))^2+(VLOOKUP(CO$1,DATA!$A$3:$F$301,3,FALSE)-VLOOKUP($A29,DATA!$A$3:$F$301,3,FALSE))^2),"")</f>
        <v/>
      </c>
      <c r="CP29" s="14" t="str">
        <f>_xlfn.IFNA(SQRT((VLOOKUP(CP$1,DATA!$A$3:$F$301,2,FALSE)-VLOOKUP($A29,DATA!$A$3:$F$301,2,FALSE))^2+(VLOOKUP(CP$1,DATA!$A$3:$F$301,3,FALSE)-VLOOKUP($A29,DATA!$A$3:$F$301,3,FALSE))^2),"")</f>
        <v/>
      </c>
      <c r="CQ29" s="14" t="str">
        <f>_xlfn.IFNA(SQRT((VLOOKUP(CQ$1,DATA!$A$3:$F$301,2,FALSE)-VLOOKUP($A29,DATA!$A$3:$F$301,2,FALSE))^2+(VLOOKUP(CQ$1,DATA!$A$3:$F$301,3,FALSE)-VLOOKUP($A29,DATA!$A$3:$F$301,3,FALSE))^2),"")</f>
        <v/>
      </c>
      <c r="CR29" s="14" t="str">
        <f>_xlfn.IFNA(SQRT((VLOOKUP(CR$1,DATA!$A$3:$F$301,2,FALSE)-VLOOKUP($A29,DATA!$A$3:$F$301,2,FALSE))^2+(VLOOKUP(CR$1,DATA!$A$3:$F$301,3,FALSE)-VLOOKUP($A29,DATA!$A$3:$F$301,3,FALSE))^2),"")</f>
        <v/>
      </c>
      <c r="CS29" s="14" t="str">
        <f>_xlfn.IFNA(SQRT((VLOOKUP(CS$1,DATA!$A$3:$F$301,2,FALSE)-VLOOKUP($A29,DATA!$A$3:$F$301,2,FALSE))^2+(VLOOKUP(CS$1,DATA!$A$3:$F$301,3,FALSE)-VLOOKUP($A29,DATA!$A$3:$F$301,3,FALSE))^2),"")</f>
        <v/>
      </c>
      <c r="CT29" s="14" t="str">
        <f>_xlfn.IFNA(SQRT((VLOOKUP(CT$1,DATA!$A$3:$F$301,2,FALSE)-VLOOKUP($A29,DATA!$A$3:$F$301,2,FALSE))^2+(VLOOKUP(CT$1,DATA!$A$3:$F$301,3,FALSE)-VLOOKUP($A29,DATA!$A$3:$F$301,3,FALSE))^2),"")</f>
        <v/>
      </c>
      <c r="CU29" s="14" t="str">
        <f>_xlfn.IFNA(SQRT((VLOOKUP(CU$1,DATA!$A$3:$F$301,2,FALSE)-VLOOKUP($A29,DATA!$A$3:$F$301,2,FALSE))^2+(VLOOKUP(CU$1,DATA!$A$3:$F$301,3,FALSE)-VLOOKUP($A29,DATA!$A$3:$F$301,3,FALSE))^2),"")</f>
        <v/>
      </c>
      <c r="CV29" s="14" t="str">
        <f>_xlfn.IFNA(SQRT((VLOOKUP(CV$1,DATA!$A$3:$F$301,2,FALSE)-VLOOKUP($A29,DATA!$A$3:$F$301,2,FALSE))^2+(VLOOKUP(CV$1,DATA!$A$3:$F$301,3,FALSE)-VLOOKUP($A29,DATA!$A$3:$F$301,3,FALSE))^2),"")</f>
        <v/>
      </c>
      <c r="CW29" s="14" t="str">
        <f>_xlfn.IFNA(SQRT((VLOOKUP(CW$1,DATA!$A$3:$F$301,2,FALSE)-VLOOKUP($A29,DATA!$A$3:$F$301,2,FALSE))^2+(VLOOKUP(CW$1,DATA!$A$3:$F$301,3,FALSE)-VLOOKUP($A29,DATA!$A$3:$F$301,3,FALSE))^2),"")</f>
        <v/>
      </c>
      <c r="CX29" s="14" t="str">
        <f>_xlfn.IFNA(SQRT((VLOOKUP(CX$1,DATA!$A$3:$F$301,2,FALSE)-VLOOKUP($A29,DATA!$A$3:$F$301,2,FALSE))^2+(VLOOKUP(CX$1,DATA!$A$3:$F$301,3,FALSE)-VLOOKUP($A29,DATA!$A$3:$F$301,3,FALSE))^2),"")</f>
        <v/>
      </c>
    </row>
    <row r="30" spans="1:102">
      <c r="A30" s="13">
        <v>29</v>
      </c>
      <c r="B30" s="14">
        <f>_xlfn.IFNA(SQRT((VLOOKUP(B$1,DATA!$A$3:$F$301,2,FALSE)-VLOOKUP($A30,DATA!$A$3:$F$301,2,FALSE))^2+(VLOOKUP(B$1,DATA!$A$3:$F$301,3,FALSE)-VLOOKUP($A30,DATA!$A$3:$F$301,3,FALSE))^2),"")</f>
        <v>32.572994949804659</v>
      </c>
      <c r="C30" s="14">
        <f>_xlfn.IFNA(SQRT((VLOOKUP(C$1,DATA!$A$3:$F$301,2,FALSE)-VLOOKUP($A30,DATA!$A$3:$F$301,2,FALSE))^2+(VLOOKUP(C$1,DATA!$A$3:$F$301,3,FALSE)-VLOOKUP($A30,DATA!$A$3:$F$301,3,FALSE))^2),"")</f>
        <v>37.643060449437421</v>
      </c>
      <c r="D30" s="14">
        <f>_xlfn.IFNA(SQRT((VLOOKUP(D$1,DATA!$A$3:$F$301,2,FALSE)-VLOOKUP($A30,DATA!$A$3:$F$301,2,FALSE))^2+(VLOOKUP(D$1,DATA!$A$3:$F$301,3,FALSE)-VLOOKUP($A30,DATA!$A$3:$F$301,3,FALSE))^2),"")</f>
        <v>31.064449134018133</v>
      </c>
      <c r="E30" s="14">
        <f>_xlfn.IFNA(SQRT((VLOOKUP(E$1,DATA!$A$3:$F$301,2,FALSE)-VLOOKUP($A30,DATA!$A$3:$F$301,2,FALSE))^2+(VLOOKUP(E$1,DATA!$A$3:$F$301,3,FALSE)-VLOOKUP($A30,DATA!$A$3:$F$301,3,FALSE))^2),"")</f>
        <v>27.459060435491963</v>
      </c>
      <c r="F30" s="14">
        <f>_xlfn.IFNA(SQRT((VLOOKUP(F$1,DATA!$A$3:$F$301,2,FALSE)-VLOOKUP($A30,DATA!$A$3:$F$301,2,FALSE))^2+(VLOOKUP(F$1,DATA!$A$3:$F$301,3,FALSE)-VLOOKUP($A30,DATA!$A$3:$F$301,3,FALSE))^2),"")</f>
        <v>52.497618993626752</v>
      </c>
      <c r="G30" s="14">
        <f>_xlfn.IFNA(SQRT((VLOOKUP(G$1,DATA!$A$3:$F$301,2,FALSE)-VLOOKUP($A30,DATA!$A$3:$F$301,2,FALSE))^2+(VLOOKUP(G$1,DATA!$A$3:$F$301,3,FALSE)-VLOOKUP($A30,DATA!$A$3:$F$301,3,FALSE))^2),"")</f>
        <v>21.470910553583888</v>
      </c>
      <c r="H30" s="14">
        <f>_xlfn.IFNA(SQRT((VLOOKUP(H$1,DATA!$A$3:$F$301,2,FALSE)-VLOOKUP($A30,DATA!$A$3:$F$301,2,FALSE))^2+(VLOOKUP(H$1,DATA!$A$3:$F$301,3,FALSE)-VLOOKUP($A30,DATA!$A$3:$F$301,3,FALSE))^2),"")</f>
        <v>9.0553851381374173</v>
      </c>
      <c r="I30" s="14">
        <f>_xlfn.IFNA(SQRT((VLOOKUP(I$1,DATA!$A$3:$F$301,2,FALSE)-VLOOKUP($A30,DATA!$A$3:$F$301,2,FALSE))^2+(VLOOKUP(I$1,DATA!$A$3:$F$301,3,FALSE)-VLOOKUP($A30,DATA!$A$3:$F$301,3,FALSE))^2),"")</f>
        <v>32.388269481403292</v>
      </c>
      <c r="J30" s="14">
        <f>_xlfn.IFNA(SQRT((VLOOKUP(J$1,DATA!$A$3:$F$301,2,FALSE)-VLOOKUP($A30,DATA!$A$3:$F$301,2,FALSE))^2+(VLOOKUP(J$1,DATA!$A$3:$F$301,3,FALSE)-VLOOKUP($A30,DATA!$A$3:$F$301,3,FALSE))^2),"")</f>
        <v>22.671568097509269</v>
      </c>
      <c r="K30" s="14">
        <f>_xlfn.IFNA(SQRT((VLOOKUP(K$1,DATA!$A$3:$F$301,2,FALSE)-VLOOKUP($A30,DATA!$A$3:$F$301,2,FALSE))^2+(VLOOKUP(K$1,DATA!$A$3:$F$301,3,FALSE)-VLOOKUP($A30,DATA!$A$3:$F$301,3,FALSE))^2),"")</f>
        <v>38.013155617496423</v>
      </c>
      <c r="L30" s="14">
        <f>_xlfn.IFNA(SQRT((VLOOKUP(L$1,DATA!$A$3:$F$301,2,FALSE)-VLOOKUP($A30,DATA!$A$3:$F$301,2,FALSE))^2+(VLOOKUP(L$1,DATA!$A$3:$F$301,3,FALSE)-VLOOKUP($A30,DATA!$A$3:$F$301,3,FALSE))^2),"")</f>
        <v>25.317977802344327</v>
      </c>
      <c r="M30" s="14">
        <f>_xlfn.IFNA(SQRT((VLOOKUP(M$1,DATA!$A$3:$F$301,2,FALSE)-VLOOKUP($A30,DATA!$A$3:$F$301,2,FALSE))^2+(VLOOKUP(M$1,DATA!$A$3:$F$301,3,FALSE)-VLOOKUP($A30,DATA!$A$3:$F$301,3,FALSE))^2),"")</f>
        <v>36.400549446402593</v>
      </c>
      <c r="N30" s="14">
        <f>_xlfn.IFNA(SQRT((VLOOKUP(N$1,DATA!$A$3:$F$301,2,FALSE)-VLOOKUP($A30,DATA!$A$3:$F$301,2,FALSE))^2+(VLOOKUP(N$1,DATA!$A$3:$F$301,3,FALSE)-VLOOKUP($A30,DATA!$A$3:$F$301,3,FALSE))^2),"")</f>
        <v>27.313000567495326</v>
      </c>
      <c r="O30" s="14">
        <f>_xlfn.IFNA(SQRT((VLOOKUP(O$1,DATA!$A$3:$F$301,2,FALSE)-VLOOKUP($A30,DATA!$A$3:$F$301,2,FALSE))^2+(VLOOKUP(O$1,DATA!$A$3:$F$301,3,FALSE)-VLOOKUP($A30,DATA!$A$3:$F$301,3,FALSE))^2),"")</f>
        <v>58.694122363316758</v>
      </c>
      <c r="P30" s="14">
        <f>_xlfn.IFNA(SQRT((VLOOKUP(P$1,DATA!$A$3:$F$301,2,FALSE)-VLOOKUP($A30,DATA!$A$3:$F$301,2,FALSE))^2+(VLOOKUP(P$1,DATA!$A$3:$F$301,3,FALSE)-VLOOKUP($A30,DATA!$A$3:$F$301,3,FALSE))^2),"")</f>
        <v>40.01249804748511</v>
      </c>
      <c r="Q30" s="14">
        <f>_xlfn.IFNA(SQRT((VLOOKUP(Q$1,DATA!$A$3:$F$301,2,FALSE)-VLOOKUP($A30,DATA!$A$3:$F$301,2,FALSE))^2+(VLOOKUP(Q$1,DATA!$A$3:$F$301,3,FALSE)-VLOOKUP($A30,DATA!$A$3:$F$301,3,FALSE))^2),"")</f>
        <v>20.615528128088304</v>
      </c>
      <c r="R30" s="14">
        <f>_xlfn.IFNA(SQRT((VLOOKUP(R$1,DATA!$A$3:$F$301,2,FALSE)-VLOOKUP($A30,DATA!$A$3:$F$301,2,FALSE))^2+(VLOOKUP(R$1,DATA!$A$3:$F$301,3,FALSE)-VLOOKUP($A30,DATA!$A$3:$F$301,3,FALSE))^2),"")</f>
        <v>12.649110640673518</v>
      </c>
      <c r="S30" s="14">
        <f>_xlfn.IFNA(SQRT((VLOOKUP(S$1,DATA!$A$3:$F$301,2,FALSE)-VLOOKUP($A30,DATA!$A$3:$F$301,2,FALSE))^2+(VLOOKUP(S$1,DATA!$A$3:$F$301,3,FALSE)-VLOOKUP($A30,DATA!$A$3:$F$301,3,FALSE))^2),"")</f>
        <v>27.784887978899608</v>
      </c>
      <c r="T30" s="14">
        <f>_xlfn.IFNA(SQRT((VLOOKUP(T$1,DATA!$A$3:$F$301,2,FALSE)-VLOOKUP($A30,DATA!$A$3:$F$301,2,FALSE))^2+(VLOOKUP(T$1,DATA!$A$3:$F$301,3,FALSE)-VLOOKUP($A30,DATA!$A$3:$F$301,3,FALSE))^2),"")</f>
        <v>51.224993899462788</v>
      </c>
      <c r="U30" s="14">
        <f>_xlfn.IFNA(SQRT((VLOOKUP(U$1,DATA!$A$3:$F$301,2,FALSE)-VLOOKUP($A30,DATA!$A$3:$F$301,2,FALSE))^2+(VLOOKUP(U$1,DATA!$A$3:$F$301,3,FALSE)-VLOOKUP($A30,DATA!$A$3:$F$301,3,FALSE))^2),"")</f>
        <v>17.029386365926403</v>
      </c>
      <c r="V30" s="14">
        <f>_xlfn.IFNA(SQRT((VLOOKUP(V$1,DATA!$A$3:$F$301,2,FALSE)-VLOOKUP($A30,DATA!$A$3:$F$301,2,FALSE))^2+(VLOOKUP(V$1,DATA!$A$3:$F$301,3,FALSE)-VLOOKUP($A30,DATA!$A$3:$F$301,3,FALSE))^2),"")</f>
        <v>13.601470508735444</v>
      </c>
      <c r="W30" s="14">
        <f>_xlfn.IFNA(SQRT((VLOOKUP(W$1,DATA!$A$3:$F$301,2,FALSE)-VLOOKUP($A30,DATA!$A$3:$F$301,2,FALSE))^2+(VLOOKUP(W$1,DATA!$A$3:$F$301,3,FALSE)-VLOOKUP($A30,DATA!$A$3:$F$301,3,FALSE))^2),"")</f>
        <v>5.6568542494923806</v>
      </c>
      <c r="X30" s="14">
        <f>_xlfn.IFNA(SQRT((VLOOKUP(X$1,DATA!$A$3:$F$301,2,FALSE)-VLOOKUP($A30,DATA!$A$3:$F$301,2,FALSE))^2+(VLOOKUP(X$1,DATA!$A$3:$F$301,3,FALSE)-VLOOKUP($A30,DATA!$A$3:$F$301,3,FALSE))^2),"")</f>
        <v>3.6055512754639891</v>
      </c>
      <c r="Y30" s="14">
        <f>_xlfn.IFNA(SQRT((VLOOKUP(Y$1,DATA!$A$3:$F$301,2,FALSE)-VLOOKUP($A30,DATA!$A$3:$F$301,2,FALSE))^2+(VLOOKUP(Y$1,DATA!$A$3:$F$301,3,FALSE)-VLOOKUP($A30,DATA!$A$3:$F$301,3,FALSE))^2),"")</f>
        <v>31.575306807693888</v>
      </c>
      <c r="Z30" s="14">
        <f>_xlfn.IFNA(SQRT((VLOOKUP(Z$1,DATA!$A$3:$F$301,2,FALSE)-VLOOKUP($A30,DATA!$A$3:$F$301,2,FALSE))^2+(VLOOKUP(Z$1,DATA!$A$3:$F$301,3,FALSE)-VLOOKUP($A30,DATA!$A$3:$F$301,3,FALSE))^2),"")</f>
        <v>14.866068747318506</v>
      </c>
      <c r="AA30" s="14">
        <f>_xlfn.IFNA(SQRT((VLOOKUP(AA$1,DATA!$A$3:$F$301,2,FALSE)-VLOOKUP($A30,DATA!$A$3:$F$301,2,FALSE))^2+(VLOOKUP(AA$1,DATA!$A$3:$F$301,3,FALSE)-VLOOKUP($A30,DATA!$A$3:$F$301,3,FALSE))^2),"")</f>
        <v>37.735924528226413</v>
      </c>
      <c r="AB30" s="14">
        <f>_xlfn.IFNA(SQRT((VLOOKUP(AB$1,DATA!$A$3:$F$301,2,FALSE)-VLOOKUP($A30,DATA!$A$3:$F$301,2,FALSE))^2+(VLOOKUP(AB$1,DATA!$A$3:$F$301,3,FALSE)-VLOOKUP($A30,DATA!$A$3:$F$301,3,FALSE))^2),"")</f>
        <v>33.241540277189323</v>
      </c>
      <c r="AC30" s="14">
        <f>_xlfn.IFNA(SQRT((VLOOKUP(AC$1,DATA!$A$3:$F$301,2,FALSE)-VLOOKUP($A30,DATA!$A$3:$F$301,2,FALSE))^2+(VLOOKUP(AC$1,DATA!$A$3:$F$301,3,FALSE)-VLOOKUP($A30,DATA!$A$3:$F$301,3,FALSE))^2),"")</f>
        <v>44.553338819890925</v>
      </c>
      <c r="AD30" s="14">
        <f>_xlfn.IFNA(SQRT((VLOOKUP(AD$1,DATA!$A$3:$F$301,2,FALSE)-VLOOKUP($A30,DATA!$A$3:$F$301,2,FALSE))^2+(VLOOKUP(AD$1,DATA!$A$3:$F$301,3,FALSE)-VLOOKUP($A30,DATA!$A$3:$F$301,3,FALSE))^2),"")</f>
        <v>0</v>
      </c>
      <c r="AE30" s="14">
        <f>_xlfn.IFNA(SQRT((VLOOKUP(AE$1,DATA!$A$3:$F$301,2,FALSE)-VLOOKUP($A30,DATA!$A$3:$F$301,2,FALSE))^2+(VLOOKUP(AE$1,DATA!$A$3:$F$301,3,FALSE)-VLOOKUP($A30,DATA!$A$3:$F$301,3,FALSE))^2),"")</f>
        <v>56.302753041036986</v>
      </c>
      <c r="AF30" s="14">
        <f>_xlfn.IFNA(SQRT((VLOOKUP(AF$1,DATA!$A$3:$F$301,2,FALSE)-VLOOKUP($A30,DATA!$A$3:$F$301,2,FALSE))^2+(VLOOKUP(AF$1,DATA!$A$3:$F$301,3,FALSE)-VLOOKUP($A30,DATA!$A$3:$F$301,3,FALSE))^2),"")</f>
        <v>11.045361017187261</v>
      </c>
      <c r="AG30" s="14">
        <f>_xlfn.IFNA(SQRT((VLOOKUP(AG$1,DATA!$A$3:$F$301,2,FALSE)-VLOOKUP($A30,DATA!$A$3:$F$301,2,FALSE))^2+(VLOOKUP(AG$1,DATA!$A$3:$F$301,3,FALSE)-VLOOKUP($A30,DATA!$A$3:$F$301,3,FALSE))^2),"")</f>
        <v>43.139309220245984</v>
      </c>
      <c r="AH30" s="14">
        <f>_xlfn.IFNA(SQRT((VLOOKUP(AH$1,DATA!$A$3:$F$301,2,FALSE)-VLOOKUP($A30,DATA!$A$3:$F$301,2,FALSE))^2+(VLOOKUP(AH$1,DATA!$A$3:$F$301,3,FALSE)-VLOOKUP($A30,DATA!$A$3:$F$301,3,FALSE))^2),"")</f>
        <v>26.172504656604801</v>
      </c>
      <c r="AI30" s="14">
        <f>_xlfn.IFNA(SQRT((VLOOKUP(AI$1,DATA!$A$3:$F$301,2,FALSE)-VLOOKUP($A30,DATA!$A$3:$F$301,2,FALSE))^2+(VLOOKUP(AI$1,DATA!$A$3:$F$301,3,FALSE)-VLOOKUP($A30,DATA!$A$3:$F$301,3,FALSE))^2),"")</f>
        <v>15.524174696260024</v>
      </c>
      <c r="AJ30" s="14">
        <f>_xlfn.IFNA(SQRT((VLOOKUP(AJ$1,DATA!$A$3:$F$301,2,FALSE)-VLOOKUP($A30,DATA!$A$3:$F$301,2,FALSE))^2+(VLOOKUP(AJ$1,DATA!$A$3:$F$301,3,FALSE)-VLOOKUP($A30,DATA!$A$3:$F$301,3,FALSE))^2),"")</f>
        <v>16.031219541881399</v>
      </c>
      <c r="AK30" s="14">
        <f>_xlfn.IFNA(SQRT((VLOOKUP(AK$1,DATA!$A$3:$F$301,2,FALSE)-VLOOKUP($A30,DATA!$A$3:$F$301,2,FALSE))^2+(VLOOKUP(AK$1,DATA!$A$3:$F$301,3,FALSE)-VLOOKUP($A30,DATA!$A$3:$F$301,3,FALSE))^2),"")</f>
        <v>34.655446902326915</v>
      </c>
      <c r="AL30" s="14">
        <f>_xlfn.IFNA(SQRT((VLOOKUP(AL$1,DATA!$A$3:$F$301,2,FALSE)-VLOOKUP($A30,DATA!$A$3:$F$301,2,FALSE))^2+(VLOOKUP(AL$1,DATA!$A$3:$F$301,3,FALSE)-VLOOKUP($A30,DATA!$A$3:$F$301,3,FALSE))^2),"")</f>
        <v>42.953463189829058</v>
      </c>
      <c r="AM30" s="14">
        <f>_xlfn.IFNA(SQRT((VLOOKUP(AM$1,DATA!$A$3:$F$301,2,FALSE)-VLOOKUP($A30,DATA!$A$3:$F$301,2,FALSE))^2+(VLOOKUP(AM$1,DATA!$A$3:$F$301,3,FALSE)-VLOOKUP($A30,DATA!$A$3:$F$301,3,FALSE))^2),"")</f>
        <v>41.880783182743848</v>
      </c>
      <c r="AN30" s="14">
        <f>_xlfn.IFNA(SQRT((VLOOKUP(AN$1,DATA!$A$3:$F$301,2,FALSE)-VLOOKUP($A30,DATA!$A$3:$F$301,2,FALSE))^2+(VLOOKUP(AN$1,DATA!$A$3:$F$301,3,FALSE)-VLOOKUP($A30,DATA!$A$3:$F$301,3,FALSE))^2),"")</f>
        <v>1</v>
      </c>
      <c r="AO30" s="14">
        <f>_xlfn.IFNA(SQRT((VLOOKUP(AO$1,DATA!$A$3:$F$301,2,FALSE)-VLOOKUP($A30,DATA!$A$3:$F$301,2,FALSE))^2+(VLOOKUP(AO$1,DATA!$A$3:$F$301,3,FALSE)-VLOOKUP($A30,DATA!$A$3:$F$301,3,FALSE))^2),"")</f>
        <v>33.941125496954278</v>
      </c>
      <c r="AP30" s="14" t="str">
        <f>_xlfn.IFNA(SQRT((VLOOKUP(AP$1,DATA!$A$3:$F$301,2,FALSE)-VLOOKUP($A30,DATA!$A$3:$F$301,2,FALSE))^2+(VLOOKUP(AP$1,DATA!$A$3:$F$301,3,FALSE)-VLOOKUP($A30,DATA!$A$3:$F$301,3,FALSE))^2),"")</f>
        <v/>
      </c>
      <c r="AQ30" s="14" t="str">
        <f>_xlfn.IFNA(SQRT((VLOOKUP(AQ$1,DATA!$A$3:$F$301,2,FALSE)-VLOOKUP($A30,DATA!$A$3:$F$301,2,FALSE))^2+(VLOOKUP(AQ$1,DATA!$A$3:$F$301,3,FALSE)-VLOOKUP($A30,DATA!$A$3:$F$301,3,FALSE))^2),"")</f>
        <v/>
      </c>
      <c r="AR30" s="14" t="str">
        <f>_xlfn.IFNA(SQRT((VLOOKUP(AR$1,DATA!$A$3:$F$301,2,FALSE)-VLOOKUP($A30,DATA!$A$3:$F$301,2,FALSE))^2+(VLOOKUP(AR$1,DATA!$A$3:$F$301,3,FALSE)-VLOOKUP($A30,DATA!$A$3:$F$301,3,FALSE))^2),"")</f>
        <v/>
      </c>
      <c r="AS30" s="14" t="str">
        <f>_xlfn.IFNA(SQRT((VLOOKUP(AS$1,DATA!$A$3:$F$301,2,FALSE)-VLOOKUP($A30,DATA!$A$3:$F$301,2,FALSE))^2+(VLOOKUP(AS$1,DATA!$A$3:$F$301,3,FALSE)-VLOOKUP($A30,DATA!$A$3:$F$301,3,FALSE))^2),"")</f>
        <v/>
      </c>
      <c r="AT30" s="14" t="str">
        <f>_xlfn.IFNA(SQRT((VLOOKUP(AT$1,DATA!$A$3:$F$301,2,FALSE)-VLOOKUP($A30,DATA!$A$3:$F$301,2,FALSE))^2+(VLOOKUP(AT$1,DATA!$A$3:$F$301,3,FALSE)-VLOOKUP($A30,DATA!$A$3:$F$301,3,FALSE))^2),"")</f>
        <v/>
      </c>
      <c r="AU30" s="14" t="str">
        <f>_xlfn.IFNA(SQRT((VLOOKUP(AU$1,DATA!$A$3:$F$301,2,FALSE)-VLOOKUP($A30,DATA!$A$3:$F$301,2,FALSE))^2+(VLOOKUP(AU$1,DATA!$A$3:$F$301,3,FALSE)-VLOOKUP($A30,DATA!$A$3:$F$301,3,FALSE))^2),"")</f>
        <v/>
      </c>
      <c r="AV30" s="14" t="str">
        <f>_xlfn.IFNA(SQRT((VLOOKUP(AV$1,DATA!$A$3:$F$301,2,FALSE)-VLOOKUP($A30,DATA!$A$3:$F$301,2,FALSE))^2+(VLOOKUP(AV$1,DATA!$A$3:$F$301,3,FALSE)-VLOOKUP($A30,DATA!$A$3:$F$301,3,FALSE))^2),"")</f>
        <v/>
      </c>
      <c r="AW30" s="14" t="str">
        <f>_xlfn.IFNA(SQRT((VLOOKUP(AW$1,DATA!$A$3:$F$301,2,FALSE)-VLOOKUP($A30,DATA!$A$3:$F$301,2,FALSE))^2+(VLOOKUP(AW$1,DATA!$A$3:$F$301,3,FALSE)-VLOOKUP($A30,DATA!$A$3:$F$301,3,FALSE))^2),"")</f>
        <v/>
      </c>
      <c r="AX30" s="14" t="str">
        <f>_xlfn.IFNA(SQRT((VLOOKUP(AX$1,DATA!$A$3:$F$301,2,FALSE)-VLOOKUP($A30,DATA!$A$3:$F$301,2,FALSE))^2+(VLOOKUP(AX$1,DATA!$A$3:$F$301,3,FALSE)-VLOOKUP($A30,DATA!$A$3:$F$301,3,FALSE))^2),"")</f>
        <v/>
      </c>
      <c r="AY30" s="14" t="str">
        <f>_xlfn.IFNA(SQRT((VLOOKUP(AY$1,DATA!$A$3:$F$301,2,FALSE)-VLOOKUP($A30,DATA!$A$3:$F$301,2,FALSE))^2+(VLOOKUP(AY$1,DATA!$A$3:$F$301,3,FALSE)-VLOOKUP($A30,DATA!$A$3:$F$301,3,FALSE))^2),"")</f>
        <v/>
      </c>
      <c r="AZ30" s="14" t="str">
        <f>_xlfn.IFNA(SQRT((VLOOKUP(AZ$1,DATA!$A$3:$F$301,2,FALSE)-VLOOKUP($A30,DATA!$A$3:$F$301,2,FALSE))^2+(VLOOKUP(AZ$1,DATA!$A$3:$F$301,3,FALSE)-VLOOKUP($A30,DATA!$A$3:$F$301,3,FALSE))^2),"")</f>
        <v/>
      </c>
      <c r="BA30" s="14" t="str">
        <f>_xlfn.IFNA(SQRT((VLOOKUP(BA$1,DATA!$A$3:$F$301,2,FALSE)-VLOOKUP($A30,DATA!$A$3:$F$301,2,FALSE))^2+(VLOOKUP(BA$1,DATA!$A$3:$F$301,3,FALSE)-VLOOKUP($A30,DATA!$A$3:$F$301,3,FALSE))^2),"")</f>
        <v/>
      </c>
      <c r="BB30" s="14" t="str">
        <f>_xlfn.IFNA(SQRT((VLOOKUP(BB$1,DATA!$A$3:$F$301,2,FALSE)-VLOOKUP($A30,DATA!$A$3:$F$301,2,FALSE))^2+(VLOOKUP(BB$1,DATA!$A$3:$F$301,3,FALSE)-VLOOKUP($A30,DATA!$A$3:$F$301,3,FALSE))^2),"")</f>
        <v/>
      </c>
      <c r="BC30" s="14" t="str">
        <f>_xlfn.IFNA(SQRT((VLOOKUP(BC$1,DATA!$A$3:$F$301,2,FALSE)-VLOOKUP($A30,DATA!$A$3:$F$301,2,FALSE))^2+(VLOOKUP(BC$1,DATA!$A$3:$F$301,3,FALSE)-VLOOKUP($A30,DATA!$A$3:$F$301,3,FALSE))^2),"")</f>
        <v/>
      </c>
      <c r="BD30" s="14" t="str">
        <f>_xlfn.IFNA(SQRT((VLOOKUP(BD$1,DATA!$A$3:$F$301,2,FALSE)-VLOOKUP($A30,DATA!$A$3:$F$301,2,FALSE))^2+(VLOOKUP(BD$1,DATA!$A$3:$F$301,3,FALSE)-VLOOKUP($A30,DATA!$A$3:$F$301,3,FALSE))^2),"")</f>
        <v/>
      </c>
      <c r="BE30" s="14" t="str">
        <f>_xlfn.IFNA(SQRT((VLOOKUP(BE$1,DATA!$A$3:$F$301,2,FALSE)-VLOOKUP($A30,DATA!$A$3:$F$301,2,FALSE))^2+(VLOOKUP(BE$1,DATA!$A$3:$F$301,3,FALSE)-VLOOKUP($A30,DATA!$A$3:$F$301,3,FALSE))^2),"")</f>
        <v/>
      </c>
      <c r="BF30" s="14" t="str">
        <f>_xlfn.IFNA(SQRT((VLOOKUP(BF$1,DATA!$A$3:$F$301,2,FALSE)-VLOOKUP($A30,DATA!$A$3:$F$301,2,FALSE))^2+(VLOOKUP(BF$1,DATA!$A$3:$F$301,3,FALSE)-VLOOKUP($A30,DATA!$A$3:$F$301,3,FALSE))^2),"")</f>
        <v/>
      </c>
      <c r="BG30" s="14" t="str">
        <f>_xlfn.IFNA(SQRT((VLOOKUP(BG$1,DATA!$A$3:$F$301,2,FALSE)-VLOOKUP($A30,DATA!$A$3:$F$301,2,FALSE))^2+(VLOOKUP(BG$1,DATA!$A$3:$F$301,3,FALSE)-VLOOKUP($A30,DATA!$A$3:$F$301,3,FALSE))^2),"")</f>
        <v/>
      </c>
      <c r="BH30" s="14" t="str">
        <f>_xlfn.IFNA(SQRT((VLOOKUP(BH$1,DATA!$A$3:$F$301,2,FALSE)-VLOOKUP($A30,DATA!$A$3:$F$301,2,FALSE))^2+(VLOOKUP(BH$1,DATA!$A$3:$F$301,3,FALSE)-VLOOKUP($A30,DATA!$A$3:$F$301,3,FALSE))^2),"")</f>
        <v/>
      </c>
      <c r="BI30" s="14" t="str">
        <f>_xlfn.IFNA(SQRT((VLOOKUP(BI$1,DATA!$A$3:$F$301,2,FALSE)-VLOOKUP($A30,DATA!$A$3:$F$301,2,FALSE))^2+(VLOOKUP(BI$1,DATA!$A$3:$F$301,3,FALSE)-VLOOKUP($A30,DATA!$A$3:$F$301,3,FALSE))^2),"")</f>
        <v/>
      </c>
      <c r="BJ30" s="14" t="str">
        <f>_xlfn.IFNA(SQRT((VLOOKUP(BJ$1,DATA!$A$3:$F$301,2,FALSE)-VLOOKUP($A30,DATA!$A$3:$F$301,2,FALSE))^2+(VLOOKUP(BJ$1,DATA!$A$3:$F$301,3,FALSE)-VLOOKUP($A30,DATA!$A$3:$F$301,3,FALSE))^2),"")</f>
        <v/>
      </c>
      <c r="BK30" s="14" t="str">
        <f>_xlfn.IFNA(SQRT((VLOOKUP(BK$1,DATA!$A$3:$F$301,2,FALSE)-VLOOKUP($A30,DATA!$A$3:$F$301,2,FALSE))^2+(VLOOKUP(BK$1,DATA!$A$3:$F$301,3,FALSE)-VLOOKUP($A30,DATA!$A$3:$F$301,3,FALSE))^2),"")</f>
        <v/>
      </c>
      <c r="BL30" s="14" t="str">
        <f>_xlfn.IFNA(SQRT((VLOOKUP(BL$1,DATA!$A$3:$F$301,2,FALSE)-VLOOKUP($A30,DATA!$A$3:$F$301,2,FALSE))^2+(VLOOKUP(BL$1,DATA!$A$3:$F$301,3,FALSE)-VLOOKUP($A30,DATA!$A$3:$F$301,3,FALSE))^2),"")</f>
        <v/>
      </c>
      <c r="BM30" s="14" t="str">
        <f>_xlfn.IFNA(SQRT((VLOOKUP(BM$1,DATA!$A$3:$F$301,2,FALSE)-VLOOKUP($A30,DATA!$A$3:$F$301,2,FALSE))^2+(VLOOKUP(BM$1,DATA!$A$3:$F$301,3,FALSE)-VLOOKUP($A30,DATA!$A$3:$F$301,3,FALSE))^2),"")</f>
        <v/>
      </c>
      <c r="BN30" s="14" t="str">
        <f>_xlfn.IFNA(SQRT((VLOOKUP(BN$1,DATA!$A$3:$F$301,2,FALSE)-VLOOKUP($A30,DATA!$A$3:$F$301,2,FALSE))^2+(VLOOKUP(BN$1,DATA!$A$3:$F$301,3,FALSE)-VLOOKUP($A30,DATA!$A$3:$F$301,3,FALSE))^2),"")</f>
        <v/>
      </c>
      <c r="BO30" s="14" t="str">
        <f>_xlfn.IFNA(SQRT((VLOOKUP(BO$1,DATA!$A$3:$F$301,2,FALSE)-VLOOKUP($A30,DATA!$A$3:$F$301,2,FALSE))^2+(VLOOKUP(BO$1,DATA!$A$3:$F$301,3,FALSE)-VLOOKUP($A30,DATA!$A$3:$F$301,3,FALSE))^2),"")</f>
        <v/>
      </c>
      <c r="BP30" s="14" t="str">
        <f>_xlfn.IFNA(SQRT((VLOOKUP(BP$1,DATA!$A$3:$F$301,2,FALSE)-VLOOKUP($A30,DATA!$A$3:$F$301,2,FALSE))^2+(VLOOKUP(BP$1,DATA!$A$3:$F$301,3,FALSE)-VLOOKUP($A30,DATA!$A$3:$F$301,3,FALSE))^2),"")</f>
        <v/>
      </c>
      <c r="BQ30" s="14" t="str">
        <f>_xlfn.IFNA(SQRT((VLOOKUP(BQ$1,DATA!$A$3:$F$301,2,FALSE)-VLOOKUP($A30,DATA!$A$3:$F$301,2,FALSE))^2+(VLOOKUP(BQ$1,DATA!$A$3:$F$301,3,FALSE)-VLOOKUP($A30,DATA!$A$3:$F$301,3,FALSE))^2),"")</f>
        <v/>
      </c>
      <c r="BR30" s="14" t="str">
        <f>_xlfn.IFNA(SQRT((VLOOKUP(BR$1,DATA!$A$3:$F$301,2,FALSE)-VLOOKUP($A30,DATA!$A$3:$F$301,2,FALSE))^2+(VLOOKUP(BR$1,DATA!$A$3:$F$301,3,FALSE)-VLOOKUP($A30,DATA!$A$3:$F$301,3,FALSE))^2),"")</f>
        <v/>
      </c>
      <c r="BS30" s="14" t="str">
        <f>_xlfn.IFNA(SQRT((VLOOKUP(BS$1,DATA!$A$3:$F$301,2,FALSE)-VLOOKUP($A30,DATA!$A$3:$F$301,2,FALSE))^2+(VLOOKUP(BS$1,DATA!$A$3:$F$301,3,FALSE)-VLOOKUP($A30,DATA!$A$3:$F$301,3,FALSE))^2),"")</f>
        <v/>
      </c>
      <c r="BT30" s="14" t="str">
        <f>_xlfn.IFNA(SQRT((VLOOKUP(BT$1,DATA!$A$3:$F$301,2,FALSE)-VLOOKUP($A30,DATA!$A$3:$F$301,2,FALSE))^2+(VLOOKUP(BT$1,DATA!$A$3:$F$301,3,FALSE)-VLOOKUP($A30,DATA!$A$3:$F$301,3,FALSE))^2),"")</f>
        <v/>
      </c>
      <c r="BU30" s="14" t="str">
        <f>_xlfn.IFNA(SQRT((VLOOKUP(BU$1,DATA!$A$3:$F$301,2,FALSE)-VLOOKUP($A30,DATA!$A$3:$F$301,2,FALSE))^2+(VLOOKUP(BU$1,DATA!$A$3:$F$301,3,FALSE)-VLOOKUP($A30,DATA!$A$3:$F$301,3,FALSE))^2),"")</f>
        <v/>
      </c>
      <c r="BV30" s="14" t="str">
        <f>_xlfn.IFNA(SQRT((VLOOKUP(BV$1,DATA!$A$3:$F$301,2,FALSE)-VLOOKUP($A30,DATA!$A$3:$F$301,2,FALSE))^2+(VLOOKUP(BV$1,DATA!$A$3:$F$301,3,FALSE)-VLOOKUP($A30,DATA!$A$3:$F$301,3,FALSE))^2),"")</f>
        <v/>
      </c>
      <c r="BW30" s="14" t="str">
        <f>_xlfn.IFNA(SQRT((VLOOKUP(BW$1,DATA!$A$3:$F$301,2,FALSE)-VLOOKUP($A30,DATA!$A$3:$F$301,2,FALSE))^2+(VLOOKUP(BW$1,DATA!$A$3:$F$301,3,FALSE)-VLOOKUP($A30,DATA!$A$3:$F$301,3,FALSE))^2),"")</f>
        <v/>
      </c>
      <c r="BX30" s="14" t="str">
        <f>_xlfn.IFNA(SQRT((VLOOKUP(BX$1,DATA!$A$3:$F$301,2,FALSE)-VLOOKUP($A30,DATA!$A$3:$F$301,2,FALSE))^2+(VLOOKUP(BX$1,DATA!$A$3:$F$301,3,FALSE)-VLOOKUP($A30,DATA!$A$3:$F$301,3,FALSE))^2),"")</f>
        <v/>
      </c>
      <c r="BY30" s="14" t="str">
        <f>_xlfn.IFNA(SQRT((VLOOKUP(BY$1,DATA!$A$3:$F$301,2,FALSE)-VLOOKUP($A30,DATA!$A$3:$F$301,2,FALSE))^2+(VLOOKUP(BY$1,DATA!$A$3:$F$301,3,FALSE)-VLOOKUP($A30,DATA!$A$3:$F$301,3,FALSE))^2),"")</f>
        <v/>
      </c>
      <c r="BZ30" s="14" t="str">
        <f>_xlfn.IFNA(SQRT((VLOOKUP(BZ$1,DATA!$A$3:$F$301,2,FALSE)-VLOOKUP($A30,DATA!$A$3:$F$301,2,FALSE))^2+(VLOOKUP(BZ$1,DATA!$A$3:$F$301,3,FALSE)-VLOOKUP($A30,DATA!$A$3:$F$301,3,FALSE))^2),"")</f>
        <v/>
      </c>
      <c r="CA30" s="14" t="str">
        <f>_xlfn.IFNA(SQRT((VLOOKUP(CA$1,DATA!$A$3:$F$301,2,FALSE)-VLOOKUP($A30,DATA!$A$3:$F$301,2,FALSE))^2+(VLOOKUP(CA$1,DATA!$A$3:$F$301,3,FALSE)-VLOOKUP($A30,DATA!$A$3:$F$301,3,FALSE))^2),"")</f>
        <v/>
      </c>
      <c r="CB30" s="14" t="str">
        <f>_xlfn.IFNA(SQRT((VLOOKUP(CB$1,DATA!$A$3:$F$301,2,FALSE)-VLOOKUP($A30,DATA!$A$3:$F$301,2,FALSE))^2+(VLOOKUP(CB$1,DATA!$A$3:$F$301,3,FALSE)-VLOOKUP($A30,DATA!$A$3:$F$301,3,FALSE))^2),"")</f>
        <v/>
      </c>
      <c r="CC30" s="14" t="str">
        <f>_xlfn.IFNA(SQRT((VLOOKUP(CC$1,DATA!$A$3:$F$301,2,FALSE)-VLOOKUP($A30,DATA!$A$3:$F$301,2,FALSE))^2+(VLOOKUP(CC$1,DATA!$A$3:$F$301,3,FALSE)-VLOOKUP($A30,DATA!$A$3:$F$301,3,FALSE))^2),"")</f>
        <v/>
      </c>
      <c r="CD30" s="14" t="str">
        <f>_xlfn.IFNA(SQRT((VLOOKUP(CD$1,DATA!$A$3:$F$301,2,FALSE)-VLOOKUP($A30,DATA!$A$3:$F$301,2,FALSE))^2+(VLOOKUP(CD$1,DATA!$A$3:$F$301,3,FALSE)-VLOOKUP($A30,DATA!$A$3:$F$301,3,FALSE))^2),"")</f>
        <v/>
      </c>
      <c r="CE30" s="14" t="str">
        <f>_xlfn.IFNA(SQRT((VLOOKUP(CE$1,DATA!$A$3:$F$301,2,FALSE)-VLOOKUP($A30,DATA!$A$3:$F$301,2,FALSE))^2+(VLOOKUP(CE$1,DATA!$A$3:$F$301,3,FALSE)-VLOOKUP($A30,DATA!$A$3:$F$301,3,FALSE))^2),"")</f>
        <v/>
      </c>
      <c r="CF30" s="14" t="str">
        <f>_xlfn.IFNA(SQRT((VLOOKUP(CF$1,DATA!$A$3:$F$301,2,FALSE)-VLOOKUP($A30,DATA!$A$3:$F$301,2,FALSE))^2+(VLOOKUP(CF$1,DATA!$A$3:$F$301,3,FALSE)-VLOOKUP($A30,DATA!$A$3:$F$301,3,FALSE))^2),"")</f>
        <v/>
      </c>
      <c r="CG30" s="14" t="str">
        <f>_xlfn.IFNA(SQRT((VLOOKUP(CG$1,DATA!$A$3:$F$301,2,FALSE)-VLOOKUP($A30,DATA!$A$3:$F$301,2,FALSE))^2+(VLOOKUP(CG$1,DATA!$A$3:$F$301,3,FALSE)-VLOOKUP($A30,DATA!$A$3:$F$301,3,FALSE))^2),"")</f>
        <v/>
      </c>
      <c r="CH30" s="14" t="str">
        <f>_xlfn.IFNA(SQRT((VLOOKUP(CH$1,DATA!$A$3:$F$301,2,FALSE)-VLOOKUP($A30,DATA!$A$3:$F$301,2,FALSE))^2+(VLOOKUP(CH$1,DATA!$A$3:$F$301,3,FALSE)-VLOOKUP($A30,DATA!$A$3:$F$301,3,FALSE))^2),"")</f>
        <v/>
      </c>
      <c r="CI30" s="14" t="str">
        <f>_xlfn.IFNA(SQRT((VLOOKUP(CI$1,DATA!$A$3:$F$301,2,FALSE)-VLOOKUP($A30,DATA!$A$3:$F$301,2,FALSE))^2+(VLOOKUP(CI$1,DATA!$A$3:$F$301,3,FALSE)-VLOOKUP($A30,DATA!$A$3:$F$301,3,FALSE))^2),"")</f>
        <v/>
      </c>
      <c r="CJ30" s="14" t="str">
        <f>_xlfn.IFNA(SQRT((VLOOKUP(CJ$1,DATA!$A$3:$F$301,2,FALSE)-VLOOKUP($A30,DATA!$A$3:$F$301,2,FALSE))^2+(VLOOKUP(CJ$1,DATA!$A$3:$F$301,3,FALSE)-VLOOKUP($A30,DATA!$A$3:$F$301,3,FALSE))^2),"")</f>
        <v/>
      </c>
      <c r="CK30" s="14" t="str">
        <f>_xlfn.IFNA(SQRT((VLOOKUP(CK$1,DATA!$A$3:$F$301,2,FALSE)-VLOOKUP($A30,DATA!$A$3:$F$301,2,FALSE))^2+(VLOOKUP(CK$1,DATA!$A$3:$F$301,3,FALSE)-VLOOKUP($A30,DATA!$A$3:$F$301,3,FALSE))^2),"")</f>
        <v/>
      </c>
      <c r="CL30" s="14" t="str">
        <f>_xlfn.IFNA(SQRT((VLOOKUP(CL$1,DATA!$A$3:$F$301,2,FALSE)-VLOOKUP($A30,DATA!$A$3:$F$301,2,FALSE))^2+(VLOOKUP(CL$1,DATA!$A$3:$F$301,3,FALSE)-VLOOKUP($A30,DATA!$A$3:$F$301,3,FALSE))^2),"")</f>
        <v/>
      </c>
      <c r="CM30" s="14" t="str">
        <f>_xlfn.IFNA(SQRT((VLOOKUP(CM$1,DATA!$A$3:$F$301,2,FALSE)-VLOOKUP($A30,DATA!$A$3:$F$301,2,FALSE))^2+(VLOOKUP(CM$1,DATA!$A$3:$F$301,3,FALSE)-VLOOKUP($A30,DATA!$A$3:$F$301,3,FALSE))^2),"")</f>
        <v/>
      </c>
      <c r="CN30" s="14" t="str">
        <f>_xlfn.IFNA(SQRT((VLOOKUP(CN$1,DATA!$A$3:$F$301,2,FALSE)-VLOOKUP($A30,DATA!$A$3:$F$301,2,FALSE))^2+(VLOOKUP(CN$1,DATA!$A$3:$F$301,3,FALSE)-VLOOKUP($A30,DATA!$A$3:$F$301,3,FALSE))^2),"")</f>
        <v/>
      </c>
      <c r="CO30" s="14" t="str">
        <f>_xlfn.IFNA(SQRT((VLOOKUP(CO$1,DATA!$A$3:$F$301,2,FALSE)-VLOOKUP($A30,DATA!$A$3:$F$301,2,FALSE))^2+(VLOOKUP(CO$1,DATA!$A$3:$F$301,3,FALSE)-VLOOKUP($A30,DATA!$A$3:$F$301,3,FALSE))^2),"")</f>
        <v/>
      </c>
      <c r="CP30" s="14" t="str">
        <f>_xlfn.IFNA(SQRT((VLOOKUP(CP$1,DATA!$A$3:$F$301,2,FALSE)-VLOOKUP($A30,DATA!$A$3:$F$301,2,FALSE))^2+(VLOOKUP(CP$1,DATA!$A$3:$F$301,3,FALSE)-VLOOKUP($A30,DATA!$A$3:$F$301,3,FALSE))^2),"")</f>
        <v/>
      </c>
      <c r="CQ30" s="14" t="str">
        <f>_xlfn.IFNA(SQRT((VLOOKUP(CQ$1,DATA!$A$3:$F$301,2,FALSE)-VLOOKUP($A30,DATA!$A$3:$F$301,2,FALSE))^2+(VLOOKUP(CQ$1,DATA!$A$3:$F$301,3,FALSE)-VLOOKUP($A30,DATA!$A$3:$F$301,3,FALSE))^2),"")</f>
        <v/>
      </c>
      <c r="CR30" s="14" t="str">
        <f>_xlfn.IFNA(SQRT((VLOOKUP(CR$1,DATA!$A$3:$F$301,2,FALSE)-VLOOKUP($A30,DATA!$A$3:$F$301,2,FALSE))^2+(VLOOKUP(CR$1,DATA!$A$3:$F$301,3,FALSE)-VLOOKUP($A30,DATA!$A$3:$F$301,3,FALSE))^2),"")</f>
        <v/>
      </c>
      <c r="CS30" s="14" t="str">
        <f>_xlfn.IFNA(SQRT((VLOOKUP(CS$1,DATA!$A$3:$F$301,2,FALSE)-VLOOKUP($A30,DATA!$A$3:$F$301,2,FALSE))^2+(VLOOKUP(CS$1,DATA!$A$3:$F$301,3,FALSE)-VLOOKUP($A30,DATA!$A$3:$F$301,3,FALSE))^2),"")</f>
        <v/>
      </c>
      <c r="CT30" s="14" t="str">
        <f>_xlfn.IFNA(SQRT((VLOOKUP(CT$1,DATA!$A$3:$F$301,2,FALSE)-VLOOKUP($A30,DATA!$A$3:$F$301,2,FALSE))^2+(VLOOKUP(CT$1,DATA!$A$3:$F$301,3,FALSE)-VLOOKUP($A30,DATA!$A$3:$F$301,3,FALSE))^2),"")</f>
        <v/>
      </c>
      <c r="CU30" s="14" t="str">
        <f>_xlfn.IFNA(SQRT((VLOOKUP(CU$1,DATA!$A$3:$F$301,2,FALSE)-VLOOKUP($A30,DATA!$A$3:$F$301,2,FALSE))^2+(VLOOKUP(CU$1,DATA!$A$3:$F$301,3,FALSE)-VLOOKUP($A30,DATA!$A$3:$F$301,3,FALSE))^2),"")</f>
        <v/>
      </c>
      <c r="CV30" s="14" t="str">
        <f>_xlfn.IFNA(SQRT((VLOOKUP(CV$1,DATA!$A$3:$F$301,2,FALSE)-VLOOKUP($A30,DATA!$A$3:$F$301,2,FALSE))^2+(VLOOKUP(CV$1,DATA!$A$3:$F$301,3,FALSE)-VLOOKUP($A30,DATA!$A$3:$F$301,3,FALSE))^2),"")</f>
        <v/>
      </c>
      <c r="CW30" s="14" t="str">
        <f>_xlfn.IFNA(SQRT((VLOOKUP(CW$1,DATA!$A$3:$F$301,2,FALSE)-VLOOKUP($A30,DATA!$A$3:$F$301,2,FALSE))^2+(VLOOKUP(CW$1,DATA!$A$3:$F$301,3,FALSE)-VLOOKUP($A30,DATA!$A$3:$F$301,3,FALSE))^2),"")</f>
        <v/>
      </c>
      <c r="CX30" s="14" t="str">
        <f>_xlfn.IFNA(SQRT((VLOOKUP(CX$1,DATA!$A$3:$F$301,2,FALSE)-VLOOKUP($A30,DATA!$A$3:$F$301,2,FALSE))^2+(VLOOKUP(CX$1,DATA!$A$3:$F$301,3,FALSE)-VLOOKUP($A30,DATA!$A$3:$F$301,3,FALSE))^2),"")</f>
        <v/>
      </c>
    </row>
    <row r="31" spans="1:102">
      <c r="A31" s="13">
        <v>30</v>
      </c>
      <c r="B31" s="14">
        <f>_xlfn.IFNA(SQRT((VLOOKUP(B$1,DATA!$A$3:$F$301,2,FALSE)-VLOOKUP($A31,DATA!$A$3:$F$301,2,FALSE))^2+(VLOOKUP(B$1,DATA!$A$3:$F$301,3,FALSE)-VLOOKUP($A31,DATA!$A$3:$F$301,3,FALSE))^2),"")</f>
        <v>26.40075756488817</v>
      </c>
      <c r="C31" s="14">
        <f>_xlfn.IFNA(SQRT((VLOOKUP(C$1,DATA!$A$3:$F$301,2,FALSE)-VLOOKUP($A31,DATA!$A$3:$F$301,2,FALSE))^2+(VLOOKUP(C$1,DATA!$A$3:$F$301,3,FALSE)-VLOOKUP($A31,DATA!$A$3:$F$301,3,FALSE))^2),"")</f>
        <v>22.825424421026653</v>
      </c>
      <c r="D31" s="14">
        <f>_xlfn.IFNA(SQRT((VLOOKUP(D$1,DATA!$A$3:$F$301,2,FALSE)-VLOOKUP($A31,DATA!$A$3:$F$301,2,FALSE))^2+(VLOOKUP(D$1,DATA!$A$3:$F$301,3,FALSE)-VLOOKUP($A31,DATA!$A$3:$F$301,3,FALSE))^2),"")</f>
        <v>36.674241641784498</v>
      </c>
      <c r="E31" s="14">
        <f>_xlfn.IFNA(SQRT((VLOOKUP(E$1,DATA!$A$3:$F$301,2,FALSE)-VLOOKUP($A31,DATA!$A$3:$F$301,2,FALSE))^2+(VLOOKUP(E$1,DATA!$A$3:$F$301,3,FALSE)-VLOOKUP($A31,DATA!$A$3:$F$301,3,FALSE))^2),"")</f>
        <v>32.802438933713454</v>
      </c>
      <c r="F31" s="14">
        <f>_xlfn.IFNA(SQRT((VLOOKUP(F$1,DATA!$A$3:$F$301,2,FALSE)-VLOOKUP($A31,DATA!$A$3:$F$301,2,FALSE))^2+(VLOOKUP(F$1,DATA!$A$3:$F$301,3,FALSE)-VLOOKUP($A31,DATA!$A$3:$F$301,3,FALSE))^2),"")</f>
        <v>7.6157731058639087</v>
      </c>
      <c r="G31" s="14">
        <f>_xlfn.IFNA(SQRT((VLOOKUP(G$1,DATA!$A$3:$F$301,2,FALSE)-VLOOKUP($A31,DATA!$A$3:$F$301,2,FALSE))^2+(VLOOKUP(G$1,DATA!$A$3:$F$301,3,FALSE)-VLOOKUP($A31,DATA!$A$3:$F$301,3,FALSE))^2),"")</f>
        <v>38.897300677553446</v>
      </c>
      <c r="H31" s="14">
        <f>_xlfn.IFNA(SQRT((VLOOKUP(H$1,DATA!$A$3:$F$301,2,FALSE)-VLOOKUP($A31,DATA!$A$3:$F$301,2,FALSE))^2+(VLOOKUP(H$1,DATA!$A$3:$F$301,3,FALSE)-VLOOKUP($A31,DATA!$A$3:$F$301,3,FALSE))^2),"")</f>
        <v>50.990195135927848</v>
      </c>
      <c r="I31" s="14">
        <f>_xlfn.IFNA(SQRT((VLOOKUP(I$1,DATA!$A$3:$F$301,2,FALSE)-VLOOKUP($A31,DATA!$A$3:$F$301,2,FALSE))^2+(VLOOKUP(I$1,DATA!$A$3:$F$301,3,FALSE)-VLOOKUP($A31,DATA!$A$3:$F$301,3,FALSE))^2),"")</f>
        <v>42.01190307520001</v>
      </c>
      <c r="J31" s="14">
        <f>_xlfn.IFNA(SQRT((VLOOKUP(J$1,DATA!$A$3:$F$301,2,FALSE)-VLOOKUP($A31,DATA!$A$3:$F$301,2,FALSE))^2+(VLOOKUP(J$1,DATA!$A$3:$F$301,3,FALSE)-VLOOKUP($A31,DATA!$A$3:$F$301,3,FALSE))^2),"")</f>
        <v>34</v>
      </c>
      <c r="K31" s="14">
        <f>_xlfn.IFNA(SQRT((VLOOKUP(K$1,DATA!$A$3:$F$301,2,FALSE)-VLOOKUP($A31,DATA!$A$3:$F$301,2,FALSE))^2+(VLOOKUP(K$1,DATA!$A$3:$F$301,3,FALSE)-VLOOKUP($A31,DATA!$A$3:$F$301,3,FALSE))^2),"")</f>
        <v>33.241540277189323</v>
      </c>
      <c r="L31" s="14">
        <f>_xlfn.IFNA(SQRT((VLOOKUP(L$1,DATA!$A$3:$F$301,2,FALSE)-VLOOKUP($A31,DATA!$A$3:$F$301,2,FALSE))^2+(VLOOKUP(L$1,DATA!$A$3:$F$301,3,FALSE)-VLOOKUP($A31,DATA!$A$3:$F$301,3,FALSE))^2),"")</f>
        <v>43.416586692184822</v>
      </c>
      <c r="M31" s="14">
        <f>_xlfn.IFNA(SQRT((VLOOKUP(M$1,DATA!$A$3:$F$301,2,FALSE)-VLOOKUP($A31,DATA!$A$3:$F$301,2,FALSE))^2+(VLOOKUP(M$1,DATA!$A$3:$F$301,3,FALSE)-VLOOKUP($A31,DATA!$A$3:$F$301,3,FALSE))^2),"")</f>
        <v>20.124611797498108</v>
      </c>
      <c r="N31" s="14">
        <f>_xlfn.IFNA(SQRT((VLOOKUP(N$1,DATA!$A$3:$F$301,2,FALSE)-VLOOKUP($A31,DATA!$A$3:$F$301,2,FALSE))^2+(VLOOKUP(N$1,DATA!$A$3:$F$301,3,FALSE)-VLOOKUP($A31,DATA!$A$3:$F$301,3,FALSE))^2),"")</f>
        <v>29.732137494637012</v>
      </c>
      <c r="O31" s="14">
        <f>_xlfn.IFNA(SQRT((VLOOKUP(O$1,DATA!$A$3:$F$301,2,FALSE)-VLOOKUP($A31,DATA!$A$3:$F$301,2,FALSE))^2+(VLOOKUP(O$1,DATA!$A$3:$F$301,3,FALSE)-VLOOKUP($A31,DATA!$A$3:$F$301,3,FALSE))^2),"")</f>
        <v>11.180339887498949</v>
      </c>
      <c r="P31" s="14">
        <f>_xlfn.IFNA(SQRT((VLOOKUP(P$1,DATA!$A$3:$F$301,2,FALSE)-VLOOKUP($A31,DATA!$A$3:$F$301,2,FALSE))^2+(VLOOKUP(P$1,DATA!$A$3:$F$301,3,FALSE)-VLOOKUP($A31,DATA!$A$3:$F$301,3,FALSE))^2),"")</f>
        <v>46.872166581031863</v>
      </c>
      <c r="Q31" s="14">
        <f>_xlfn.IFNA(SQRT((VLOOKUP(Q$1,DATA!$A$3:$F$301,2,FALSE)-VLOOKUP($A31,DATA!$A$3:$F$301,2,FALSE))^2+(VLOOKUP(Q$1,DATA!$A$3:$F$301,3,FALSE)-VLOOKUP($A31,DATA!$A$3:$F$301,3,FALSE))^2),"")</f>
        <v>40.80441152620633</v>
      </c>
      <c r="R31" s="14">
        <f>_xlfn.IFNA(SQRT((VLOOKUP(R$1,DATA!$A$3:$F$301,2,FALSE)-VLOOKUP($A31,DATA!$A$3:$F$301,2,FALSE))^2+(VLOOKUP(R$1,DATA!$A$3:$F$301,3,FALSE)-VLOOKUP($A31,DATA!$A$3:$F$301,3,FALSE))^2),"")</f>
        <v>49.497474683058329</v>
      </c>
      <c r="S31" s="14">
        <f>_xlfn.IFNA(SQRT((VLOOKUP(S$1,DATA!$A$3:$F$301,2,FALSE)-VLOOKUP($A31,DATA!$A$3:$F$301,2,FALSE))^2+(VLOOKUP(S$1,DATA!$A$3:$F$301,3,FALSE)-VLOOKUP($A31,DATA!$A$3:$F$301,3,FALSE))^2),"")</f>
        <v>33.734255586865999</v>
      </c>
      <c r="T31" s="14">
        <f>_xlfn.IFNA(SQRT((VLOOKUP(T$1,DATA!$A$3:$F$301,2,FALSE)-VLOOKUP($A31,DATA!$A$3:$F$301,2,FALSE))^2+(VLOOKUP(T$1,DATA!$A$3:$F$301,3,FALSE)-VLOOKUP($A31,DATA!$A$3:$F$301,3,FALSE))^2),"")</f>
        <v>17.4928556845359</v>
      </c>
      <c r="U31" s="14">
        <f>_xlfn.IFNA(SQRT((VLOOKUP(U$1,DATA!$A$3:$F$301,2,FALSE)-VLOOKUP($A31,DATA!$A$3:$F$301,2,FALSE))^2+(VLOOKUP(U$1,DATA!$A$3:$F$301,3,FALSE)-VLOOKUP($A31,DATA!$A$3:$F$301,3,FALSE))^2),"")</f>
        <v>42.426406871192853</v>
      </c>
      <c r="V31" s="14">
        <f>_xlfn.IFNA(SQRT((VLOOKUP(V$1,DATA!$A$3:$F$301,2,FALSE)-VLOOKUP($A31,DATA!$A$3:$F$301,2,FALSE))^2+(VLOOKUP(V$1,DATA!$A$3:$F$301,3,FALSE)-VLOOKUP($A31,DATA!$A$3:$F$301,3,FALSE))^2),"")</f>
        <v>43.829214001622255</v>
      </c>
      <c r="W31" s="14">
        <f>_xlfn.IFNA(SQRT((VLOOKUP(W$1,DATA!$A$3:$F$301,2,FALSE)-VLOOKUP($A31,DATA!$A$3:$F$301,2,FALSE))^2+(VLOOKUP(W$1,DATA!$A$3:$F$301,3,FALSE)-VLOOKUP($A31,DATA!$A$3:$F$301,3,FALSE))^2),"")</f>
        <v>50.774009099144415</v>
      </c>
      <c r="X31" s="14">
        <f>_xlfn.IFNA(SQRT((VLOOKUP(X$1,DATA!$A$3:$F$301,2,FALSE)-VLOOKUP($A31,DATA!$A$3:$F$301,2,FALSE))^2+(VLOOKUP(X$1,DATA!$A$3:$F$301,3,FALSE)-VLOOKUP($A31,DATA!$A$3:$F$301,3,FALSE))^2),"")</f>
        <v>56.435804238089851</v>
      </c>
      <c r="Y31" s="14">
        <f>_xlfn.IFNA(SQRT((VLOOKUP(Y$1,DATA!$A$3:$F$301,2,FALSE)-VLOOKUP($A31,DATA!$A$3:$F$301,2,FALSE))^2+(VLOOKUP(Y$1,DATA!$A$3:$F$301,3,FALSE)-VLOOKUP($A31,DATA!$A$3:$F$301,3,FALSE))^2),"")</f>
        <v>41</v>
      </c>
      <c r="Z31" s="14">
        <f>_xlfn.IFNA(SQRT((VLOOKUP(Z$1,DATA!$A$3:$F$301,2,FALSE)-VLOOKUP($A31,DATA!$A$3:$F$301,2,FALSE))^2+(VLOOKUP(Z$1,DATA!$A$3:$F$301,3,FALSE)-VLOOKUP($A31,DATA!$A$3:$F$301,3,FALSE))^2),"")</f>
        <v>48.836461788299118</v>
      </c>
      <c r="AA31" s="14">
        <f>_xlfn.IFNA(SQRT((VLOOKUP(AA$1,DATA!$A$3:$F$301,2,FALSE)-VLOOKUP($A31,DATA!$A$3:$F$301,2,FALSE))^2+(VLOOKUP(AA$1,DATA!$A$3:$F$301,3,FALSE)-VLOOKUP($A31,DATA!$A$3:$F$301,3,FALSE))^2),"")</f>
        <v>27.018512172212592</v>
      </c>
      <c r="AB31" s="14">
        <f>_xlfn.IFNA(SQRT((VLOOKUP(AB$1,DATA!$A$3:$F$301,2,FALSE)-VLOOKUP($A31,DATA!$A$3:$F$301,2,FALSE))^2+(VLOOKUP(AB$1,DATA!$A$3:$F$301,3,FALSE)-VLOOKUP($A31,DATA!$A$3:$F$301,3,FALSE))^2),"")</f>
        <v>37.696153649941529</v>
      </c>
      <c r="AC31" s="14">
        <f>_xlfn.IFNA(SQRT((VLOOKUP(AC$1,DATA!$A$3:$F$301,2,FALSE)-VLOOKUP($A31,DATA!$A$3:$F$301,2,FALSE))^2+(VLOOKUP(AC$1,DATA!$A$3:$F$301,3,FALSE)-VLOOKUP($A31,DATA!$A$3:$F$301,3,FALSE))^2),"")</f>
        <v>16.031219541881399</v>
      </c>
      <c r="AD31" s="14">
        <f>_xlfn.IFNA(SQRT((VLOOKUP(AD$1,DATA!$A$3:$F$301,2,FALSE)-VLOOKUP($A31,DATA!$A$3:$F$301,2,FALSE))^2+(VLOOKUP(AD$1,DATA!$A$3:$F$301,3,FALSE)-VLOOKUP($A31,DATA!$A$3:$F$301,3,FALSE))^2),"")</f>
        <v>56.302753041036986</v>
      </c>
      <c r="AE31" s="14">
        <f>_xlfn.IFNA(SQRT((VLOOKUP(AE$1,DATA!$A$3:$F$301,2,FALSE)-VLOOKUP($A31,DATA!$A$3:$F$301,2,FALSE))^2+(VLOOKUP(AE$1,DATA!$A$3:$F$301,3,FALSE)-VLOOKUP($A31,DATA!$A$3:$F$301,3,FALSE))^2),"")</f>
        <v>0</v>
      </c>
      <c r="AF31" s="14">
        <f>_xlfn.IFNA(SQRT((VLOOKUP(AF$1,DATA!$A$3:$F$301,2,FALSE)-VLOOKUP($A31,DATA!$A$3:$F$301,2,FALSE))^2+(VLOOKUP(AF$1,DATA!$A$3:$F$301,3,FALSE)-VLOOKUP($A31,DATA!$A$3:$F$301,3,FALSE))^2),"")</f>
        <v>46.861498055439924</v>
      </c>
      <c r="AG31" s="14">
        <f>_xlfn.IFNA(SQRT((VLOOKUP(AG$1,DATA!$A$3:$F$301,2,FALSE)-VLOOKUP($A31,DATA!$A$3:$F$301,2,FALSE))^2+(VLOOKUP(AG$1,DATA!$A$3:$F$301,3,FALSE)-VLOOKUP($A31,DATA!$A$3:$F$301,3,FALSE))^2),"")</f>
        <v>16.031219541881399</v>
      </c>
      <c r="AH31" s="14">
        <f>_xlfn.IFNA(SQRT((VLOOKUP(AH$1,DATA!$A$3:$F$301,2,FALSE)-VLOOKUP($A31,DATA!$A$3:$F$301,2,FALSE))^2+(VLOOKUP(AH$1,DATA!$A$3:$F$301,3,FALSE)-VLOOKUP($A31,DATA!$A$3:$F$301,3,FALSE))^2),"")</f>
        <v>31.384709652950431</v>
      </c>
      <c r="AI31" s="14">
        <f>_xlfn.IFNA(SQRT((VLOOKUP(AI$1,DATA!$A$3:$F$301,2,FALSE)-VLOOKUP($A31,DATA!$A$3:$F$301,2,FALSE))^2+(VLOOKUP(AI$1,DATA!$A$3:$F$301,3,FALSE)-VLOOKUP($A31,DATA!$A$3:$F$301,3,FALSE))^2),"")</f>
        <v>47.423622805517503</v>
      </c>
      <c r="AJ31" s="14">
        <f>_xlfn.IFNA(SQRT((VLOOKUP(AJ$1,DATA!$A$3:$F$301,2,FALSE)-VLOOKUP($A31,DATA!$A$3:$F$301,2,FALSE))^2+(VLOOKUP(AJ$1,DATA!$A$3:$F$301,3,FALSE)-VLOOKUP($A31,DATA!$A$3:$F$301,3,FALSE))^2),"")</f>
        <v>48.383881613611777</v>
      </c>
      <c r="AK31" s="14">
        <f>_xlfn.IFNA(SQRT((VLOOKUP(AK$1,DATA!$A$3:$F$301,2,FALSE)-VLOOKUP($A31,DATA!$A$3:$F$301,2,FALSE))^2+(VLOOKUP(AK$1,DATA!$A$3:$F$301,3,FALSE)-VLOOKUP($A31,DATA!$A$3:$F$301,3,FALSE))^2),"")</f>
        <v>23.769728648009426</v>
      </c>
      <c r="AL31" s="14">
        <f>_xlfn.IFNA(SQRT((VLOOKUP(AL$1,DATA!$A$3:$F$301,2,FALSE)-VLOOKUP($A31,DATA!$A$3:$F$301,2,FALSE))^2+(VLOOKUP(AL$1,DATA!$A$3:$F$301,3,FALSE)-VLOOKUP($A31,DATA!$A$3:$F$301,3,FALSE))^2),"")</f>
        <v>39.560080889704963</v>
      </c>
      <c r="AM31" s="14">
        <f>_xlfn.IFNA(SQRT((VLOOKUP(AM$1,DATA!$A$3:$F$301,2,FALSE)-VLOOKUP($A31,DATA!$A$3:$F$301,2,FALSE))^2+(VLOOKUP(AM$1,DATA!$A$3:$F$301,3,FALSE)-VLOOKUP($A31,DATA!$A$3:$F$301,3,FALSE))^2),"")</f>
        <v>24.331050121192877</v>
      </c>
      <c r="AN31" s="14">
        <f>_xlfn.IFNA(SQRT((VLOOKUP(AN$1,DATA!$A$3:$F$301,2,FALSE)-VLOOKUP($A31,DATA!$A$3:$F$301,2,FALSE))^2+(VLOOKUP(AN$1,DATA!$A$3:$F$301,3,FALSE)-VLOOKUP($A31,DATA!$A$3:$F$301,3,FALSE))^2),"")</f>
        <v>56.859475903318</v>
      </c>
      <c r="AO31" s="14">
        <f>_xlfn.IFNA(SQRT((VLOOKUP(AO$1,DATA!$A$3:$F$301,2,FALSE)-VLOOKUP($A31,DATA!$A$3:$F$301,2,FALSE))^2+(VLOOKUP(AO$1,DATA!$A$3:$F$301,3,FALSE)-VLOOKUP($A31,DATA!$A$3:$F$301,3,FALSE))^2),"")</f>
        <v>24.041630560342615</v>
      </c>
      <c r="AP31" s="14" t="str">
        <f>_xlfn.IFNA(SQRT((VLOOKUP(AP$1,DATA!$A$3:$F$301,2,FALSE)-VLOOKUP($A31,DATA!$A$3:$F$301,2,FALSE))^2+(VLOOKUP(AP$1,DATA!$A$3:$F$301,3,FALSE)-VLOOKUP($A31,DATA!$A$3:$F$301,3,FALSE))^2),"")</f>
        <v/>
      </c>
      <c r="AQ31" s="14" t="str">
        <f>_xlfn.IFNA(SQRT((VLOOKUP(AQ$1,DATA!$A$3:$F$301,2,FALSE)-VLOOKUP($A31,DATA!$A$3:$F$301,2,FALSE))^2+(VLOOKUP(AQ$1,DATA!$A$3:$F$301,3,FALSE)-VLOOKUP($A31,DATA!$A$3:$F$301,3,FALSE))^2),"")</f>
        <v/>
      </c>
      <c r="AR31" s="14" t="str">
        <f>_xlfn.IFNA(SQRT((VLOOKUP(AR$1,DATA!$A$3:$F$301,2,FALSE)-VLOOKUP($A31,DATA!$A$3:$F$301,2,FALSE))^2+(VLOOKUP(AR$1,DATA!$A$3:$F$301,3,FALSE)-VLOOKUP($A31,DATA!$A$3:$F$301,3,FALSE))^2),"")</f>
        <v/>
      </c>
      <c r="AS31" s="14" t="str">
        <f>_xlfn.IFNA(SQRT((VLOOKUP(AS$1,DATA!$A$3:$F$301,2,FALSE)-VLOOKUP($A31,DATA!$A$3:$F$301,2,FALSE))^2+(VLOOKUP(AS$1,DATA!$A$3:$F$301,3,FALSE)-VLOOKUP($A31,DATA!$A$3:$F$301,3,FALSE))^2),"")</f>
        <v/>
      </c>
      <c r="AT31" s="14" t="str">
        <f>_xlfn.IFNA(SQRT((VLOOKUP(AT$1,DATA!$A$3:$F$301,2,FALSE)-VLOOKUP($A31,DATA!$A$3:$F$301,2,FALSE))^2+(VLOOKUP(AT$1,DATA!$A$3:$F$301,3,FALSE)-VLOOKUP($A31,DATA!$A$3:$F$301,3,FALSE))^2),"")</f>
        <v/>
      </c>
      <c r="AU31" s="14" t="str">
        <f>_xlfn.IFNA(SQRT((VLOOKUP(AU$1,DATA!$A$3:$F$301,2,FALSE)-VLOOKUP($A31,DATA!$A$3:$F$301,2,FALSE))^2+(VLOOKUP(AU$1,DATA!$A$3:$F$301,3,FALSE)-VLOOKUP($A31,DATA!$A$3:$F$301,3,FALSE))^2),"")</f>
        <v/>
      </c>
      <c r="AV31" s="14" t="str">
        <f>_xlfn.IFNA(SQRT((VLOOKUP(AV$1,DATA!$A$3:$F$301,2,FALSE)-VLOOKUP($A31,DATA!$A$3:$F$301,2,FALSE))^2+(VLOOKUP(AV$1,DATA!$A$3:$F$301,3,FALSE)-VLOOKUP($A31,DATA!$A$3:$F$301,3,FALSE))^2),"")</f>
        <v/>
      </c>
      <c r="AW31" s="14" t="str">
        <f>_xlfn.IFNA(SQRT((VLOOKUP(AW$1,DATA!$A$3:$F$301,2,FALSE)-VLOOKUP($A31,DATA!$A$3:$F$301,2,FALSE))^2+(VLOOKUP(AW$1,DATA!$A$3:$F$301,3,FALSE)-VLOOKUP($A31,DATA!$A$3:$F$301,3,FALSE))^2),"")</f>
        <v/>
      </c>
      <c r="AX31" s="14" t="str">
        <f>_xlfn.IFNA(SQRT((VLOOKUP(AX$1,DATA!$A$3:$F$301,2,FALSE)-VLOOKUP($A31,DATA!$A$3:$F$301,2,FALSE))^2+(VLOOKUP(AX$1,DATA!$A$3:$F$301,3,FALSE)-VLOOKUP($A31,DATA!$A$3:$F$301,3,FALSE))^2),"")</f>
        <v/>
      </c>
      <c r="AY31" s="14" t="str">
        <f>_xlfn.IFNA(SQRT((VLOOKUP(AY$1,DATA!$A$3:$F$301,2,FALSE)-VLOOKUP($A31,DATA!$A$3:$F$301,2,FALSE))^2+(VLOOKUP(AY$1,DATA!$A$3:$F$301,3,FALSE)-VLOOKUP($A31,DATA!$A$3:$F$301,3,FALSE))^2),"")</f>
        <v/>
      </c>
      <c r="AZ31" s="14" t="str">
        <f>_xlfn.IFNA(SQRT((VLOOKUP(AZ$1,DATA!$A$3:$F$301,2,FALSE)-VLOOKUP($A31,DATA!$A$3:$F$301,2,FALSE))^2+(VLOOKUP(AZ$1,DATA!$A$3:$F$301,3,FALSE)-VLOOKUP($A31,DATA!$A$3:$F$301,3,FALSE))^2),"")</f>
        <v/>
      </c>
      <c r="BA31" s="14" t="str">
        <f>_xlfn.IFNA(SQRT((VLOOKUP(BA$1,DATA!$A$3:$F$301,2,FALSE)-VLOOKUP($A31,DATA!$A$3:$F$301,2,FALSE))^2+(VLOOKUP(BA$1,DATA!$A$3:$F$301,3,FALSE)-VLOOKUP($A31,DATA!$A$3:$F$301,3,FALSE))^2),"")</f>
        <v/>
      </c>
      <c r="BB31" s="14" t="str">
        <f>_xlfn.IFNA(SQRT((VLOOKUP(BB$1,DATA!$A$3:$F$301,2,FALSE)-VLOOKUP($A31,DATA!$A$3:$F$301,2,FALSE))^2+(VLOOKUP(BB$1,DATA!$A$3:$F$301,3,FALSE)-VLOOKUP($A31,DATA!$A$3:$F$301,3,FALSE))^2),"")</f>
        <v/>
      </c>
      <c r="BC31" s="14" t="str">
        <f>_xlfn.IFNA(SQRT((VLOOKUP(BC$1,DATA!$A$3:$F$301,2,FALSE)-VLOOKUP($A31,DATA!$A$3:$F$301,2,FALSE))^2+(VLOOKUP(BC$1,DATA!$A$3:$F$301,3,FALSE)-VLOOKUP($A31,DATA!$A$3:$F$301,3,FALSE))^2),"")</f>
        <v/>
      </c>
      <c r="BD31" s="14" t="str">
        <f>_xlfn.IFNA(SQRT((VLOOKUP(BD$1,DATA!$A$3:$F$301,2,FALSE)-VLOOKUP($A31,DATA!$A$3:$F$301,2,FALSE))^2+(VLOOKUP(BD$1,DATA!$A$3:$F$301,3,FALSE)-VLOOKUP($A31,DATA!$A$3:$F$301,3,FALSE))^2),"")</f>
        <v/>
      </c>
      <c r="BE31" s="14" t="str">
        <f>_xlfn.IFNA(SQRT((VLOOKUP(BE$1,DATA!$A$3:$F$301,2,FALSE)-VLOOKUP($A31,DATA!$A$3:$F$301,2,FALSE))^2+(VLOOKUP(BE$1,DATA!$A$3:$F$301,3,FALSE)-VLOOKUP($A31,DATA!$A$3:$F$301,3,FALSE))^2),"")</f>
        <v/>
      </c>
      <c r="BF31" s="14" t="str">
        <f>_xlfn.IFNA(SQRT((VLOOKUP(BF$1,DATA!$A$3:$F$301,2,FALSE)-VLOOKUP($A31,DATA!$A$3:$F$301,2,FALSE))^2+(VLOOKUP(BF$1,DATA!$A$3:$F$301,3,FALSE)-VLOOKUP($A31,DATA!$A$3:$F$301,3,FALSE))^2),"")</f>
        <v/>
      </c>
      <c r="BG31" s="14" t="str">
        <f>_xlfn.IFNA(SQRT((VLOOKUP(BG$1,DATA!$A$3:$F$301,2,FALSE)-VLOOKUP($A31,DATA!$A$3:$F$301,2,FALSE))^2+(VLOOKUP(BG$1,DATA!$A$3:$F$301,3,FALSE)-VLOOKUP($A31,DATA!$A$3:$F$301,3,FALSE))^2),"")</f>
        <v/>
      </c>
      <c r="BH31" s="14" t="str">
        <f>_xlfn.IFNA(SQRT((VLOOKUP(BH$1,DATA!$A$3:$F$301,2,FALSE)-VLOOKUP($A31,DATA!$A$3:$F$301,2,FALSE))^2+(VLOOKUP(BH$1,DATA!$A$3:$F$301,3,FALSE)-VLOOKUP($A31,DATA!$A$3:$F$301,3,FALSE))^2),"")</f>
        <v/>
      </c>
      <c r="BI31" s="14" t="str">
        <f>_xlfn.IFNA(SQRT((VLOOKUP(BI$1,DATA!$A$3:$F$301,2,FALSE)-VLOOKUP($A31,DATA!$A$3:$F$301,2,FALSE))^2+(VLOOKUP(BI$1,DATA!$A$3:$F$301,3,FALSE)-VLOOKUP($A31,DATA!$A$3:$F$301,3,FALSE))^2),"")</f>
        <v/>
      </c>
      <c r="BJ31" s="14" t="str">
        <f>_xlfn.IFNA(SQRT((VLOOKUP(BJ$1,DATA!$A$3:$F$301,2,FALSE)-VLOOKUP($A31,DATA!$A$3:$F$301,2,FALSE))^2+(VLOOKUP(BJ$1,DATA!$A$3:$F$301,3,FALSE)-VLOOKUP($A31,DATA!$A$3:$F$301,3,FALSE))^2),"")</f>
        <v/>
      </c>
      <c r="BK31" s="14" t="str">
        <f>_xlfn.IFNA(SQRT((VLOOKUP(BK$1,DATA!$A$3:$F$301,2,FALSE)-VLOOKUP($A31,DATA!$A$3:$F$301,2,FALSE))^2+(VLOOKUP(BK$1,DATA!$A$3:$F$301,3,FALSE)-VLOOKUP($A31,DATA!$A$3:$F$301,3,FALSE))^2),"")</f>
        <v/>
      </c>
      <c r="BL31" s="14" t="str">
        <f>_xlfn.IFNA(SQRT((VLOOKUP(BL$1,DATA!$A$3:$F$301,2,FALSE)-VLOOKUP($A31,DATA!$A$3:$F$301,2,FALSE))^2+(VLOOKUP(BL$1,DATA!$A$3:$F$301,3,FALSE)-VLOOKUP($A31,DATA!$A$3:$F$301,3,FALSE))^2),"")</f>
        <v/>
      </c>
      <c r="BM31" s="14" t="str">
        <f>_xlfn.IFNA(SQRT((VLOOKUP(BM$1,DATA!$A$3:$F$301,2,FALSE)-VLOOKUP($A31,DATA!$A$3:$F$301,2,FALSE))^2+(VLOOKUP(BM$1,DATA!$A$3:$F$301,3,FALSE)-VLOOKUP($A31,DATA!$A$3:$F$301,3,FALSE))^2),"")</f>
        <v/>
      </c>
      <c r="BN31" s="14" t="str">
        <f>_xlfn.IFNA(SQRT((VLOOKUP(BN$1,DATA!$A$3:$F$301,2,FALSE)-VLOOKUP($A31,DATA!$A$3:$F$301,2,FALSE))^2+(VLOOKUP(BN$1,DATA!$A$3:$F$301,3,FALSE)-VLOOKUP($A31,DATA!$A$3:$F$301,3,FALSE))^2),"")</f>
        <v/>
      </c>
      <c r="BO31" s="14" t="str">
        <f>_xlfn.IFNA(SQRT((VLOOKUP(BO$1,DATA!$A$3:$F$301,2,FALSE)-VLOOKUP($A31,DATA!$A$3:$F$301,2,FALSE))^2+(VLOOKUP(BO$1,DATA!$A$3:$F$301,3,FALSE)-VLOOKUP($A31,DATA!$A$3:$F$301,3,FALSE))^2),"")</f>
        <v/>
      </c>
      <c r="BP31" s="14" t="str">
        <f>_xlfn.IFNA(SQRT((VLOOKUP(BP$1,DATA!$A$3:$F$301,2,FALSE)-VLOOKUP($A31,DATA!$A$3:$F$301,2,FALSE))^2+(VLOOKUP(BP$1,DATA!$A$3:$F$301,3,FALSE)-VLOOKUP($A31,DATA!$A$3:$F$301,3,FALSE))^2),"")</f>
        <v/>
      </c>
      <c r="BQ31" s="14" t="str">
        <f>_xlfn.IFNA(SQRT((VLOOKUP(BQ$1,DATA!$A$3:$F$301,2,FALSE)-VLOOKUP($A31,DATA!$A$3:$F$301,2,FALSE))^2+(VLOOKUP(BQ$1,DATA!$A$3:$F$301,3,FALSE)-VLOOKUP($A31,DATA!$A$3:$F$301,3,FALSE))^2),"")</f>
        <v/>
      </c>
      <c r="BR31" s="14" t="str">
        <f>_xlfn.IFNA(SQRT((VLOOKUP(BR$1,DATA!$A$3:$F$301,2,FALSE)-VLOOKUP($A31,DATA!$A$3:$F$301,2,FALSE))^2+(VLOOKUP(BR$1,DATA!$A$3:$F$301,3,FALSE)-VLOOKUP($A31,DATA!$A$3:$F$301,3,FALSE))^2),"")</f>
        <v/>
      </c>
      <c r="BS31" s="14" t="str">
        <f>_xlfn.IFNA(SQRT((VLOOKUP(BS$1,DATA!$A$3:$F$301,2,FALSE)-VLOOKUP($A31,DATA!$A$3:$F$301,2,FALSE))^2+(VLOOKUP(BS$1,DATA!$A$3:$F$301,3,FALSE)-VLOOKUP($A31,DATA!$A$3:$F$301,3,FALSE))^2),"")</f>
        <v/>
      </c>
      <c r="BT31" s="14" t="str">
        <f>_xlfn.IFNA(SQRT((VLOOKUP(BT$1,DATA!$A$3:$F$301,2,FALSE)-VLOOKUP($A31,DATA!$A$3:$F$301,2,FALSE))^2+(VLOOKUP(BT$1,DATA!$A$3:$F$301,3,FALSE)-VLOOKUP($A31,DATA!$A$3:$F$301,3,FALSE))^2),"")</f>
        <v/>
      </c>
      <c r="BU31" s="14" t="str">
        <f>_xlfn.IFNA(SQRT((VLOOKUP(BU$1,DATA!$A$3:$F$301,2,FALSE)-VLOOKUP($A31,DATA!$A$3:$F$301,2,FALSE))^2+(VLOOKUP(BU$1,DATA!$A$3:$F$301,3,FALSE)-VLOOKUP($A31,DATA!$A$3:$F$301,3,FALSE))^2),"")</f>
        <v/>
      </c>
      <c r="BV31" s="14" t="str">
        <f>_xlfn.IFNA(SQRT((VLOOKUP(BV$1,DATA!$A$3:$F$301,2,FALSE)-VLOOKUP($A31,DATA!$A$3:$F$301,2,FALSE))^2+(VLOOKUP(BV$1,DATA!$A$3:$F$301,3,FALSE)-VLOOKUP($A31,DATA!$A$3:$F$301,3,FALSE))^2),"")</f>
        <v/>
      </c>
      <c r="BW31" s="14" t="str">
        <f>_xlfn.IFNA(SQRT((VLOOKUP(BW$1,DATA!$A$3:$F$301,2,FALSE)-VLOOKUP($A31,DATA!$A$3:$F$301,2,FALSE))^2+(VLOOKUP(BW$1,DATA!$A$3:$F$301,3,FALSE)-VLOOKUP($A31,DATA!$A$3:$F$301,3,FALSE))^2),"")</f>
        <v/>
      </c>
      <c r="BX31" s="14" t="str">
        <f>_xlfn.IFNA(SQRT((VLOOKUP(BX$1,DATA!$A$3:$F$301,2,FALSE)-VLOOKUP($A31,DATA!$A$3:$F$301,2,FALSE))^2+(VLOOKUP(BX$1,DATA!$A$3:$F$301,3,FALSE)-VLOOKUP($A31,DATA!$A$3:$F$301,3,FALSE))^2),"")</f>
        <v/>
      </c>
      <c r="BY31" s="14" t="str">
        <f>_xlfn.IFNA(SQRT((VLOOKUP(BY$1,DATA!$A$3:$F$301,2,FALSE)-VLOOKUP($A31,DATA!$A$3:$F$301,2,FALSE))^2+(VLOOKUP(BY$1,DATA!$A$3:$F$301,3,FALSE)-VLOOKUP($A31,DATA!$A$3:$F$301,3,FALSE))^2),"")</f>
        <v/>
      </c>
      <c r="BZ31" s="14" t="str">
        <f>_xlfn.IFNA(SQRT((VLOOKUP(BZ$1,DATA!$A$3:$F$301,2,FALSE)-VLOOKUP($A31,DATA!$A$3:$F$301,2,FALSE))^2+(VLOOKUP(BZ$1,DATA!$A$3:$F$301,3,FALSE)-VLOOKUP($A31,DATA!$A$3:$F$301,3,FALSE))^2),"")</f>
        <v/>
      </c>
      <c r="CA31" s="14" t="str">
        <f>_xlfn.IFNA(SQRT((VLOOKUP(CA$1,DATA!$A$3:$F$301,2,FALSE)-VLOOKUP($A31,DATA!$A$3:$F$301,2,FALSE))^2+(VLOOKUP(CA$1,DATA!$A$3:$F$301,3,FALSE)-VLOOKUP($A31,DATA!$A$3:$F$301,3,FALSE))^2),"")</f>
        <v/>
      </c>
      <c r="CB31" s="14" t="str">
        <f>_xlfn.IFNA(SQRT((VLOOKUP(CB$1,DATA!$A$3:$F$301,2,FALSE)-VLOOKUP($A31,DATA!$A$3:$F$301,2,FALSE))^2+(VLOOKUP(CB$1,DATA!$A$3:$F$301,3,FALSE)-VLOOKUP($A31,DATA!$A$3:$F$301,3,FALSE))^2),"")</f>
        <v/>
      </c>
      <c r="CC31" s="14" t="str">
        <f>_xlfn.IFNA(SQRT((VLOOKUP(CC$1,DATA!$A$3:$F$301,2,FALSE)-VLOOKUP($A31,DATA!$A$3:$F$301,2,FALSE))^2+(VLOOKUP(CC$1,DATA!$A$3:$F$301,3,FALSE)-VLOOKUP($A31,DATA!$A$3:$F$301,3,FALSE))^2),"")</f>
        <v/>
      </c>
      <c r="CD31" s="14" t="str">
        <f>_xlfn.IFNA(SQRT((VLOOKUP(CD$1,DATA!$A$3:$F$301,2,FALSE)-VLOOKUP($A31,DATA!$A$3:$F$301,2,FALSE))^2+(VLOOKUP(CD$1,DATA!$A$3:$F$301,3,FALSE)-VLOOKUP($A31,DATA!$A$3:$F$301,3,FALSE))^2),"")</f>
        <v/>
      </c>
      <c r="CE31" s="14" t="str">
        <f>_xlfn.IFNA(SQRT((VLOOKUP(CE$1,DATA!$A$3:$F$301,2,FALSE)-VLOOKUP($A31,DATA!$A$3:$F$301,2,FALSE))^2+(VLOOKUP(CE$1,DATA!$A$3:$F$301,3,FALSE)-VLOOKUP($A31,DATA!$A$3:$F$301,3,FALSE))^2),"")</f>
        <v/>
      </c>
      <c r="CF31" s="14" t="str">
        <f>_xlfn.IFNA(SQRT((VLOOKUP(CF$1,DATA!$A$3:$F$301,2,FALSE)-VLOOKUP($A31,DATA!$A$3:$F$301,2,FALSE))^2+(VLOOKUP(CF$1,DATA!$A$3:$F$301,3,FALSE)-VLOOKUP($A31,DATA!$A$3:$F$301,3,FALSE))^2),"")</f>
        <v/>
      </c>
      <c r="CG31" s="14" t="str">
        <f>_xlfn.IFNA(SQRT((VLOOKUP(CG$1,DATA!$A$3:$F$301,2,FALSE)-VLOOKUP($A31,DATA!$A$3:$F$301,2,FALSE))^2+(VLOOKUP(CG$1,DATA!$A$3:$F$301,3,FALSE)-VLOOKUP($A31,DATA!$A$3:$F$301,3,FALSE))^2),"")</f>
        <v/>
      </c>
      <c r="CH31" s="14" t="str">
        <f>_xlfn.IFNA(SQRT((VLOOKUP(CH$1,DATA!$A$3:$F$301,2,FALSE)-VLOOKUP($A31,DATA!$A$3:$F$301,2,FALSE))^2+(VLOOKUP(CH$1,DATA!$A$3:$F$301,3,FALSE)-VLOOKUP($A31,DATA!$A$3:$F$301,3,FALSE))^2),"")</f>
        <v/>
      </c>
      <c r="CI31" s="14" t="str">
        <f>_xlfn.IFNA(SQRT((VLOOKUP(CI$1,DATA!$A$3:$F$301,2,FALSE)-VLOOKUP($A31,DATA!$A$3:$F$301,2,FALSE))^2+(VLOOKUP(CI$1,DATA!$A$3:$F$301,3,FALSE)-VLOOKUP($A31,DATA!$A$3:$F$301,3,FALSE))^2),"")</f>
        <v/>
      </c>
      <c r="CJ31" s="14" t="str">
        <f>_xlfn.IFNA(SQRT((VLOOKUP(CJ$1,DATA!$A$3:$F$301,2,FALSE)-VLOOKUP($A31,DATA!$A$3:$F$301,2,FALSE))^2+(VLOOKUP(CJ$1,DATA!$A$3:$F$301,3,FALSE)-VLOOKUP($A31,DATA!$A$3:$F$301,3,FALSE))^2),"")</f>
        <v/>
      </c>
      <c r="CK31" s="14" t="str">
        <f>_xlfn.IFNA(SQRT((VLOOKUP(CK$1,DATA!$A$3:$F$301,2,FALSE)-VLOOKUP($A31,DATA!$A$3:$F$301,2,FALSE))^2+(VLOOKUP(CK$1,DATA!$A$3:$F$301,3,FALSE)-VLOOKUP($A31,DATA!$A$3:$F$301,3,FALSE))^2),"")</f>
        <v/>
      </c>
      <c r="CL31" s="14" t="str">
        <f>_xlfn.IFNA(SQRT((VLOOKUP(CL$1,DATA!$A$3:$F$301,2,FALSE)-VLOOKUP($A31,DATA!$A$3:$F$301,2,FALSE))^2+(VLOOKUP(CL$1,DATA!$A$3:$F$301,3,FALSE)-VLOOKUP($A31,DATA!$A$3:$F$301,3,FALSE))^2),"")</f>
        <v/>
      </c>
      <c r="CM31" s="14" t="str">
        <f>_xlfn.IFNA(SQRT((VLOOKUP(CM$1,DATA!$A$3:$F$301,2,FALSE)-VLOOKUP($A31,DATA!$A$3:$F$301,2,FALSE))^2+(VLOOKUP(CM$1,DATA!$A$3:$F$301,3,FALSE)-VLOOKUP($A31,DATA!$A$3:$F$301,3,FALSE))^2),"")</f>
        <v/>
      </c>
      <c r="CN31" s="14" t="str">
        <f>_xlfn.IFNA(SQRT((VLOOKUP(CN$1,DATA!$A$3:$F$301,2,FALSE)-VLOOKUP($A31,DATA!$A$3:$F$301,2,FALSE))^2+(VLOOKUP(CN$1,DATA!$A$3:$F$301,3,FALSE)-VLOOKUP($A31,DATA!$A$3:$F$301,3,FALSE))^2),"")</f>
        <v/>
      </c>
      <c r="CO31" s="14" t="str">
        <f>_xlfn.IFNA(SQRT((VLOOKUP(CO$1,DATA!$A$3:$F$301,2,FALSE)-VLOOKUP($A31,DATA!$A$3:$F$301,2,FALSE))^2+(VLOOKUP(CO$1,DATA!$A$3:$F$301,3,FALSE)-VLOOKUP($A31,DATA!$A$3:$F$301,3,FALSE))^2),"")</f>
        <v/>
      </c>
      <c r="CP31" s="14" t="str">
        <f>_xlfn.IFNA(SQRT((VLOOKUP(CP$1,DATA!$A$3:$F$301,2,FALSE)-VLOOKUP($A31,DATA!$A$3:$F$301,2,FALSE))^2+(VLOOKUP(CP$1,DATA!$A$3:$F$301,3,FALSE)-VLOOKUP($A31,DATA!$A$3:$F$301,3,FALSE))^2),"")</f>
        <v/>
      </c>
      <c r="CQ31" s="14" t="str">
        <f>_xlfn.IFNA(SQRT((VLOOKUP(CQ$1,DATA!$A$3:$F$301,2,FALSE)-VLOOKUP($A31,DATA!$A$3:$F$301,2,FALSE))^2+(VLOOKUP(CQ$1,DATA!$A$3:$F$301,3,FALSE)-VLOOKUP($A31,DATA!$A$3:$F$301,3,FALSE))^2),"")</f>
        <v/>
      </c>
      <c r="CR31" s="14" t="str">
        <f>_xlfn.IFNA(SQRT((VLOOKUP(CR$1,DATA!$A$3:$F$301,2,FALSE)-VLOOKUP($A31,DATA!$A$3:$F$301,2,FALSE))^2+(VLOOKUP(CR$1,DATA!$A$3:$F$301,3,FALSE)-VLOOKUP($A31,DATA!$A$3:$F$301,3,FALSE))^2),"")</f>
        <v/>
      </c>
      <c r="CS31" s="14" t="str">
        <f>_xlfn.IFNA(SQRT((VLOOKUP(CS$1,DATA!$A$3:$F$301,2,FALSE)-VLOOKUP($A31,DATA!$A$3:$F$301,2,FALSE))^2+(VLOOKUP(CS$1,DATA!$A$3:$F$301,3,FALSE)-VLOOKUP($A31,DATA!$A$3:$F$301,3,FALSE))^2),"")</f>
        <v/>
      </c>
      <c r="CT31" s="14" t="str">
        <f>_xlfn.IFNA(SQRT((VLOOKUP(CT$1,DATA!$A$3:$F$301,2,FALSE)-VLOOKUP($A31,DATA!$A$3:$F$301,2,FALSE))^2+(VLOOKUP(CT$1,DATA!$A$3:$F$301,3,FALSE)-VLOOKUP($A31,DATA!$A$3:$F$301,3,FALSE))^2),"")</f>
        <v/>
      </c>
      <c r="CU31" s="14" t="str">
        <f>_xlfn.IFNA(SQRT((VLOOKUP(CU$1,DATA!$A$3:$F$301,2,FALSE)-VLOOKUP($A31,DATA!$A$3:$F$301,2,FALSE))^2+(VLOOKUP(CU$1,DATA!$A$3:$F$301,3,FALSE)-VLOOKUP($A31,DATA!$A$3:$F$301,3,FALSE))^2),"")</f>
        <v/>
      </c>
      <c r="CV31" s="14" t="str">
        <f>_xlfn.IFNA(SQRT((VLOOKUP(CV$1,DATA!$A$3:$F$301,2,FALSE)-VLOOKUP($A31,DATA!$A$3:$F$301,2,FALSE))^2+(VLOOKUP(CV$1,DATA!$A$3:$F$301,3,FALSE)-VLOOKUP($A31,DATA!$A$3:$F$301,3,FALSE))^2),"")</f>
        <v/>
      </c>
      <c r="CW31" s="14" t="str">
        <f>_xlfn.IFNA(SQRT((VLOOKUP(CW$1,DATA!$A$3:$F$301,2,FALSE)-VLOOKUP($A31,DATA!$A$3:$F$301,2,FALSE))^2+(VLOOKUP(CW$1,DATA!$A$3:$F$301,3,FALSE)-VLOOKUP($A31,DATA!$A$3:$F$301,3,FALSE))^2),"")</f>
        <v/>
      </c>
      <c r="CX31" s="14" t="str">
        <f>_xlfn.IFNA(SQRT((VLOOKUP(CX$1,DATA!$A$3:$F$301,2,FALSE)-VLOOKUP($A31,DATA!$A$3:$F$301,2,FALSE))^2+(VLOOKUP(CX$1,DATA!$A$3:$F$301,3,FALSE)-VLOOKUP($A31,DATA!$A$3:$F$301,3,FALSE))^2),"")</f>
        <v/>
      </c>
    </row>
    <row r="32" spans="1:102">
      <c r="A32" s="13">
        <v>31</v>
      </c>
      <c r="B32" s="14">
        <f>_xlfn.IFNA(SQRT((VLOOKUP(B$1,DATA!$A$3:$F$301,2,FALSE)-VLOOKUP($A32,DATA!$A$3:$F$301,2,FALSE))^2+(VLOOKUP(B$1,DATA!$A$3:$F$301,3,FALSE)-VLOOKUP($A32,DATA!$A$3:$F$301,3,FALSE))^2),"")</f>
        <v>21.931712199461309</v>
      </c>
      <c r="C32" s="14">
        <f>_xlfn.IFNA(SQRT((VLOOKUP(C$1,DATA!$A$3:$F$301,2,FALSE)-VLOOKUP($A32,DATA!$A$3:$F$301,2,FALSE))^2+(VLOOKUP(C$1,DATA!$A$3:$F$301,3,FALSE)-VLOOKUP($A32,DATA!$A$3:$F$301,3,FALSE))^2),"")</f>
        <v>26.92582403567252</v>
      </c>
      <c r="D32" s="14">
        <f>_xlfn.IFNA(SQRT((VLOOKUP(D$1,DATA!$A$3:$F$301,2,FALSE)-VLOOKUP($A32,DATA!$A$3:$F$301,2,FALSE))^2+(VLOOKUP(D$1,DATA!$A$3:$F$301,3,FALSE)-VLOOKUP($A32,DATA!$A$3:$F$301,3,FALSE))^2),"")</f>
        <v>20.223748416156685</v>
      </c>
      <c r="E32" s="14">
        <f>_xlfn.IFNA(SQRT((VLOOKUP(E$1,DATA!$A$3:$F$301,2,FALSE)-VLOOKUP($A32,DATA!$A$3:$F$301,2,FALSE))^2+(VLOOKUP(E$1,DATA!$A$3:$F$301,3,FALSE)-VLOOKUP($A32,DATA!$A$3:$F$301,3,FALSE))^2),"")</f>
        <v>16.492422502470642</v>
      </c>
      <c r="F32" s="14">
        <f>_xlfn.IFNA(SQRT((VLOOKUP(F$1,DATA!$A$3:$F$301,2,FALSE)-VLOOKUP($A32,DATA!$A$3:$F$301,2,FALSE))^2+(VLOOKUP(F$1,DATA!$A$3:$F$301,3,FALSE)-VLOOKUP($A32,DATA!$A$3:$F$301,3,FALSE))^2),"")</f>
        <v>43.931765272977593</v>
      </c>
      <c r="G32" s="14">
        <f>_xlfn.IFNA(SQRT((VLOOKUP(G$1,DATA!$A$3:$F$301,2,FALSE)-VLOOKUP($A32,DATA!$A$3:$F$301,2,FALSE))^2+(VLOOKUP(G$1,DATA!$A$3:$F$301,3,FALSE)-VLOOKUP($A32,DATA!$A$3:$F$301,3,FALSE))^2),"")</f>
        <v>18.027756377319946</v>
      </c>
      <c r="H32" s="14">
        <f>_xlfn.IFNA(SQRT((VLOOKUP(H$1,DATA!$A$3:$F$301,2,FALSE)-VLOOKUP($A32,DATA!$A$3:$F$301,2,FALSE))^2+(VLOOKUP(H$1,DATA!$A$3:$F$301,3,FALSE)-VLOOKUP($A32,DATA!$A$3:$F$301,3,FALSE))^2),"")</f>
        <v>12.806248474865697</v>
      </c>
      <c r="I32" s="14">
        <f>_xlfn.IFNA(SQRT((VLOOKUP(I$1,DATA!$A$3:$F$301,2,FALSE)-VLOOKUP($A32,DATA!$A$3:$F$301,2,FALSE))^2+(VLOOKUP(I$1,DATA!$A$3:$F$301,3,FALSE)-VLOOKUP($A32,DATA!$A$3:$F$301,3,FALSE))^2),"")</f>
        <v>31.575306807693888</v>
      </c>
      <c r="J32" s="14">
        <f>_xlfn.IFNA(SQRT((VLOOKUP(J$1,DATA!$A$3:$F$301,2,FALSE)-VLOOKUP($A32,DATA!$A$3:$F$301,2,FALSE))^2+(VLOOKUP(J$1,DATA!$A$3:$F$301,3,FALSE)-VLOOKUP($A32,DATA!$A$3:$F$301,3,FALSE))^2),"")</f>
        <v>15.231546211727817</v>
      </c>
      <c r="K32" s="14">
        <f>_xlfn.IFNA(SQRT((VLOOKUP(K$1,DATA!$A$3:$F$301,2,FALSE)-VLOOKUP($A32,DATA!$A$3:$F$301,2,FALSE))^2+(VLOOKUP(K$1,DATA!$A$3:$F$301,3,FALSE)-VLOOKUP($A32,DATA!$A$3:$F$301,3,FALSE))^2),"")</f>
        <v>27.073972741361768</v>
      </c>
      <c r="L32" s="14">
        <f>_xlfn.IFNA(SQRT((VLOOKUP(L$1,DATA!$A$3:$F$301,2,FALSE)-VLOOKUP($A32,DATA!$A$3:$F$301,2,FALSE))^2+(VLOOKUP(L$1,DATA!$A$3:$F$301,3,FALSE)-VLOOKUP($A32,DATA!$A$3:$F$301,3,FALSE))^2),"")</f>
        <v>25</v>
      </c>
      <c r="M32" s="14">
        <f>_xlfn.IFNA(SQRT((VLOOKUP(M$1,DATA!$A$3:$F$301,2,FALSE)-VLOOKUP($A32,DATA!$A$3:$F$301,2,FALSE))^2+(VLOOKUP(M$1,DATA!$A$3:$F$301,3,FALSE)-VLOOKUP($A32,DATA!$A$3:$F$301,3,FALSE))^2),"")</f>
        <v>27.658633371878661</v>
      </c>
      <c r="N32" s="14">
        <f>_xlfn.IFNA(SQRT((VLOOKUP(N$1,DATA!$A$3:$F$301,2,FALSE)-VLOOKUP($A32,DATA!$A$3:$F$301,2,FALSE))^2+(VLOOKUP(N$1,DATA!$A$3:$F$301,3,FALSE)-VLOOKUP($A32,DATA!$A$3:$F$301,3,FALSE))^2),"")</f>
        <v>17.204650534085253</v>
      </c>
      <c r="O32" s="14">
        <f>_xlfn.IFNA(SQRT((VLOOKUP(O$1,DATA!$A$3:$F$301,2,FALSE)-VLOOKUP($A32,DATA!$A$3:$F$301,2,FALSE))^2+(VLOOKUP(O$1,DATA!$A$3:$F$301,3,FALSE)-VLOOKUP($A32,DATA!$A$3:$F$301,3,FALSE))^2),"")</f>
        <v>50.606323715519977</v>
      </c>
      <c r="P32" s="14">
        <f>_xlfn.IFNA(SQRT((VLOOKUP(P$1,DATA!$A$3:$F$301,2,FALSE)-VLOOKUP($A32,DATA!$A$3:$F$301,2,FALSE))^2+(VLOOKUP(P$1,DATA!$A$3:$F$301,3,FALSE)-VLOOKUP($A32,DATA!$A$3:$F$301,3,FALSE))^2),"")</f>
        <v>40.26164427839479</v>
      </c>
      <c r="Q32" s="14">
        <f>_xlfn.IFNA(SQRT((VLOOKUP(Q$1,DATA!$A$3:$F$301,2,FALSE)-VLOOKUP($A32,DATA!$A$3:$F$301,2,FALSE))^2+(VLOOKUP(Q$1,DATA!$A$3:$F$301,3,FALSE)-VLOOKUP($A32,DATA!$A$3:$F$301,3,FALSE))^2),"")</f>
        <v>18.248287590894659</v>
      </c>
      <c r="R32" s="14">
        <f>_xlfn.IFNA(SQRT((VLOOKUP(R$1,DATA!$A$3:$F$301,2,FALSE)-VLOOKUP($A32,DATA!$A$3:$F$301,2,FALSE))^2+(VLOOKUP(R$1,DATA!$A$3:$F$301,3,FALSE)-VLOOKUP($A32,DATA!$A$3:$F$301,3,FALSE))^2),"")</f>
        <v>5.0990195135927845</v>
      </c>
      <c r="S32" s="14">
        <f>_xlfn.IFNA(SQRT((VLOOKUP(S$1,DATA!$A$3:$F$301,2,FALSE)-VLOOKUP($A32,DATA!$A$3:$F$301,2,FALSE))^2+(VLOOKUP(S$1,DATA!$A$3:$F$301,3,FALSE)-VLOOKUP($A32,DATA!$A$3:$F$301,3,FALSE))^2),"")</f>
        <v>23.194827009486403</v>
      </c>
      <c r="T32" s="14">
        <f>_xlfn.IFNA(SQRT((VLOOKUP(T$1,DATA!$A$3:$F$301,2,FALSE)-VLOOKUP($A32,DATA!$A$3:$F$301,2,FALSE))^2+(VLOOKUP(T$1,DATA!$A$3:$F$301,3,FALSE)-VLOOKUP($A32,DATA!$A$3:$F$301,3,FALSE))^2),"")</f>
        <v>44.294469180700204</v>
      </c>
      <c r="U32" s="14">
        <f>_xlfn.IFNA(SQRT((VLOOKUP(U$1,DATA!$A$3:$F$301,2,FALSE)-VLOOKUP($A32,DATA!$A$3:$F$301,2,FALSE))^2+(VLOOKUP(U$1,DATA!$A$3:$F$301,3,FALSE)-VLOOKUP($A32,DATA!$A$3:$F$301,3,FALSE))^2),"")</f>
        <v>6</v>
      </c>
      <c r="V32" s="14">
        <f>_xlfn.IFNA(SQRT((VLOOKUP(V$1,DATA!$A$3:$F$301,2,FALSE)-VLOOKUP($A32,DATA!$A$3:$F$301,2,FALSE))^2+(VLOOKUP(V$1,DATA!$A$3:$F$301,3,FALSE)-VLOOKUP($A32,DATA!$A$3:$F$301,3,FALSE))^2),"")</f>
        <v>10.440306508910551</v>
      </c>
      <c r="W32" s="14">
        <f>_xlfn.IFNA(SQRT((VLOOKUP(W$1,DATA!$A$3:$F$301,2,FALSE)-VLOOKUP($A32,DATA!$A$3:$F$301,2,FALSE))^2+(VLOOKUP(W$1,DATA!$A$3:$F$301,3,FALSE)-VLOOKUP($A32,DATA!$A$3:$F$301,3,FALSE))^2),"")</f>
        <v>7.6157731058639087</v>
      </c>
      <c r="X32" s="14">
        <f>_xlfn.IFNA(SQRT((VLOOKUP(X$1,DATA!$A$3:$F$301,2,FALSE)-VLOOKUP($A32,DATA!$A$3:$F$301,2,FALSE))^2+(VLOOKUP(X$1,DATA!$A$3:$F$301,3,FALSE)-VLOOKUP($A32,DATA!$A$3:$F$301,3,FALSE))^2),"")</f>
        <v>13.152946437965905</v>
      </c>
      <c r="Y32" s="14">
        <f>_xlfn.IFNA(SQRT((VLOOKUP(Y$1,DATA!$A$3:$F$301,2,FALSE)-VLOOKUP($A32,DATA!$A$3:$F$301,2,FALSE))^2+(VLOOKUP(Y$1,DATA!$A$3:$F$301,3,FALSE)-VLOOKUP($A32,DATA!$A$3:$F$301,3,FALSE))^2),"")</f>
        <v>30.413812651491099</v>
      </c>
      <c r="Z32" s="14">
        <f>_xlfn.IFNA(SQRT((VLOOKUP(Z$1,DATA!$A$3:$F$301,2,FALSE)-VLOOKUP($A32,DATA!$A$3:$F$301,2,FALSE))^2+(VLOOKUP(Z$1,DATA!$A$3:$F$301,3,FALSE)-VLOOKUP($A32,DATA!$A$3:$F$301,3,FALSE))^2),"")</f>
        <v>6.7082039324993694</v>
      </c>
      <c r="AA32" s="14">
        <f>_xlfn.IFNA(SQRT((VLOOKUP(AA$1,DATA!$A$3:$F$301,2,FALSE)-VLOOKUP($A32,DATA!$A$3:$F$301,2,FALSE))^2+(VLOOKUP(AA$1,DATA!$A$3:$F$301,3,FALSE)-VLOOKUP($A32,DATA!$A$3:$F$301,3,FALSE))^2),"")</f>
        <v>32.280024783137947</v>
      </c>
      <c r="AB32" s="14">
        <f>_xlfn.IFNA(SQRT((VLOOKUP(AB$1,DATA!$A$3:$F$301,2,FALSE)-VLOOKUP($A32,DATA!$A$3:$F$301,2,FALSE))^2+(VLOOKUP(AB$1,DATA!$A$3:$F$301,3,FALSE)-VLOOKUP($A32,DATA!$A$3:$F$301,3,FALSE))^2),"")</f>
        <v>22.561028345356956</v>
      </c>
      <c r="AC32" s="14">
        <f>_xlfn.IFNA(SQRT((VLOOKUP(AC$1,DATA!$A$3:$F$301,2,FALSE)-VLOOKUP($A32,DATA!$A$3:$F$301,2,FALSE))^2+(VLOOKUP(AC$1,DATA!$A$3:$F$301,3,FALSE)-VLOOKUP($A32,DATA!$A$3:$F$301,3,FALSE))^2),"")</f>
        <v>36.891733491393431</v>
      </c>
      <c r="AD32" s="14">
        <f>_xlfn.IFNA(SQRT((VLOOKUP(AD$1,DATA!$A$3:$F$301,2,FALSE)-VLOOKUP($A32,DATA!$A$3:$F$301,2,FALSE))^2+(VLOOKUP(AD$1,DATA!$A$3:$F$301,3,FALSE)-VLOOKUP($A32,DATA!$A$3:$F$301,3,FALSE))^2),"")</f>
        <v>11.045361017187261</v>
      </c>
      <c r="AE32" s="14">
        <f>_xlfn.IFNA(SQRT((VLOOKUP(AE$1,DATA!$A$3:$F$301,2,FALSE)-VLOOKUP($A32,DATA!$A$3:$F$301,2,FALSE))^2+(VLOOKUP(AE$1,DATA!$A$3:$F$301,3,FALSE)-VLOOKUP($A32,DATA!$A$3:$F$301,3,FALSE))^2),"")</f>
        <v>46.861498055439924</v>
      </c>
      <c r="AF32" s="14">
        <f>_xlfn.IFNA(SQRT((VLOOKUP(AF$1,DATA!$A$3:$F$301,2,FALSE)-VLOOKUP($A32,DATA!$A$3:$F$301,2,FALSE))^2+(VLOOKUP(AF$1,DATA!$A$3:$F$301,3,FALSE)-VLOOKUP($A32,DATA!$A$3:$F$301,3,FALSE))^2),"")</f>
        <v>0</v>
      </c>
      <c r="AG32" s="14">
        <f>_xlfn.IFNA(SQRT((VLOOKUP(AG$1,DATA!$A$3:$F$301,2,FALSE)-VLOOKUP($A32,DATA!$A$3:$F$301,2,FALSE))^2+(VLOOKUP(AG$1,DATA!$A$3:$F$301,3,FALSE)-VLOOKUP($A32,DATA!$A$3:$F$301,3,FALSE))^2),"")</f>
        <v>35.227829907617071</v>
      </c>
      <c r="AH32" s="14">
        <f>_xlfn.IFNA(SQRT((VLOOKUP(AH$1,DATA!$A$3:$F$301,2,FALSE)-VLOOKUP($A32,DATA!$A$3:$F$301,2,FALSE))^2+(VLOOKUP(AH$1,DATA!$A$3:$F$301,3,FALSE)-VLOOKUP($A32,DATA!$A$3:$F$301,3,FALSE))^2),"")</f>
        <v>19.313207915827967</v>
      </c>
      <c r="AI32" s="14">
        <f>_xlfn.IFNA(SQRT((VLOOKUP(AI$1,DATA!$A$3:$F$301,2,FALSE)-VLOOKUP($A32,DATA!$A$3:$F$301,2,FALSE))^2+(VLOOKUP(AI$1,DATA!$A$3:$F$301,3,FALSE)-VLOOKUP($A32,DATA!$A$3:$F$301,3,FALSE))^2),"")</f>
        <v>6.4031242374328485</v>
      </c>
      <c r="AJ32" s="14">
        <f>_xlfn.IFNA(SQRT((VLOOKUP(AJ$1,DATA!$A$3:$F$301,2,FALSE)-VLOOKUP($A32,DATA!$A$3:$F$301,2,FALSE))^2+(VLOOKUP(AJ$1,DATA!$A$3:$F$301,3,FALSE)-VLOOKUP($A32,DATA!$A$3:$F$301,3,FALSE))^2),"")</f>
        <v>18.027756377319946</v>
      </c>
      <c r="AK32" s="14">
        <f>_xlfn.IFNA(SQRT((VLOOKUP(AK$1,DATA!$A$3:$F$301,2,FALSE)-VLOOKUP($A32,DATA!$A$3:$F$301,2,FALSE))^2+(VLOOKUP(AK$1,DATA!$A$3:$F$301,3,FALSE)-VLOOKUP($A32,DATA!$A$3:$F$301,3,FALSE))^2),"")</f>
        <v>27.294688127912362</v>
      </c>
      <c r="AL32" s="14">
        <f>_xlfn.IFNA(SQRT((VLOOKUP(AL$1,DATA!$A$3:$F$301,2,FALSE)-VLOOKUP($A32,DATA!$A$3:$F$301,2,FALSE))^2+(VLOOKUP(AL$1,DATA!$A$3:$F$301,3,FALSE)-VLOOKUP($A32,DATA!$A$3:$F$301,3,FALSE))^2),"")</f>
        <v>41.048751503547585</v>
      </c>
      <c r="AM32" s="14">
        <f>_xlfn.IFNA(SQRT((VLOOKUP(AM$1,DATA!$A$3:$F$301,2,FALSE)-VLOOKUP($A32,DATA!$A$3:$F$301,2,FALSE))^2+(VLOOKUP(AM$1,DATA!$A$3:$F$301,3,FALSE)-VLOOKUP($A32,DATA!$A$3:$F$301,3,FALSE))^2),"")</f>
        <v>36.055512754639892</v>
      </c>
      <c r="AN32" s="14">
        <f>_xlfn.IFNA(SQRT((VLOOKUP(AN$1,DATA!$A$3:$F$301,2,FALSE)-VLOOKUP($A32,DATA!$A$3:$F$301,2,FALSE))^2+(VLOOKUP(AN$1,DATA!$A$3:$F$301,3,FALSE)-VLOOKUP($A32,DATA!$A$3:$F$301,3,FALSE))^2),"")</f>
        <v>11.180339887498949</v>
      </c>
      <c r="AO32" s="14">
        <f>_xlfn.IFNA(SQRT((VLOOKUP(AO$1,DATA!$A$3:$F$301,2,FALSE)-VLOOKUP($A32,DATA!$A$3:$F$301,2,FALSE))^2+(VLOOKUP(AO$1,DATA!$A$3:$F$301,3,FALSE)-VLOOKUP($A32,DATA!$A$3:$F$301,3,FALSE))^2),"")</f>
        <v>26.419689627245813</v>
      </c>
      <c r="AP32" s="14" t="str">
        <f>_xlfn.IFNA(SQRT((VLOOKUP(AP$1,DATA!$A$3:$F$301,2,FALSE)-VLOOKUP($A32,DATA!$A$3:$F$301,2,FALSE))^2+(VLOOKUP(AP$1,DATA!$A$3:$F$301,3,FALSE)-VLOOKUP($A32,DATA!$A$3:$F$301,3,FALSE))^2),"")</f>
        <v/>
      </c>
      <c r="AQ32" s="14" t="str">
        <f>_xlfn.IFNA(SQRT((VLOOKUP(AQ$1,DATA!$A$3:$F$301,2,FALSE)-VLOOKUP($A32,DATA!$A$3:$F$301,2,FALSE))^2+(VLOOKUP(AQ$1,DATA!$A$3:$F$301,3,FALSE)-VLOOKUP($A32,DATA!$A$3:$F$301,3,FALSE))^2),"")</f>
        <v/>
      </c>
      <c r="AR32" s="14" t="str">
        <f>_xlfn.IFNA(SQRT((VLOOKUP(AR$1,DATA!$A$3:$F$301,2,FALSE)-VLOOKUP($A32,DATA!$A$3:$F$301,2,FALSE))^2+(VLOOKUP(AR$1,DATA!$A$3:$F$301,3,FALSE)-VLOOKUP($A32,DATA!$A$3:$F$301,3,FALSE))^2),"")</f>
        <v/>
      </c>
      <c r="AS32" s="14" t="str">
        <f>_xlfn.IFNA(SQRT((VLOOKUP(AS$1,DATA!$A$3:$F$301,2,FALSE)-VLOOKUP($A32,DATA!$A$3:$F$301,2,FALSE))^2+(VLOOKUP(AS$1,DATA!$A$3:$F$301,3,FALSE)-VLOOKUP($A32,DATA!$A$3:$F$301,3,FALSE))^2),"")</f>
        <v/>
      </c>
      <c r="AT32" s="14" t="str">
        <f>_xlfn.IFNA(SQRT((VLOOKUP(AT$1,DATA!$A$3:$F$301,2,FALSE)-VLOOKUP($A32,DATA!$A$3:$F$301,2,FALSE))^2+(VLOOKUP(AT$1,DATA!$A$3:$F$301,3,FALSE)-VLOOKUP($A32,DATA!$A$3:$F$301,3,FALSE))^2),"")</f>
        <v/>
      </c>
      <c r="AU32" s="14" t="str">
        <f>_xlfn.IFNA(SQRT((VLOOKUP(AU$1,DATA!$A$3:$F$301,2,FALSE)-VLOOKUP($A32,DATA!$A$3:$F$301,2,FALSE))^2+(VLOOKUP(AU$1,DATA!$A$3:$F$301,3,FALSE)-VLOOKUP($A32,DATA!$A$3:$F$301,3,FALSE))^2),"")</f>
        <v/>
      </c>
      <c r="AV32" s="14" t="str">
        <f>_xlfn.IFNA(SQRT((VLOOKUP(AV$1,DATA!$A$3:$F$301,2,FALSE)-VLOOKUP($A32,DATA!$A$3:$F$301,2,FALSE))^2+(VLOOKUP(AV$1,DATA!$A$3:$F$301,3,FALSE)-VLOOKUP($A32,DATA!$A$3:$F$301,3,FALSE))^2),"")</f>
        <v/>
      </c>
      <c r="AW32" s="14" t="str">
        <f>_xlfn.IFNA(SQRT((VLOOKUP(AW$1,DATA!$A$3:$F$301,2,FALSE)-VLOOKUP($A32,DATA!$A$3:$F$301,2,FALSE))^2+(VLOOKUP(AW$1,DATA!$A$3:$F$301,3,FALSE)-VLOOKUP($A32,DATA!$A$3:$F$301,3,FALSE))^2),"")</f>
        <v/>
      </c>
      <c r="AX32" s="14" t="str">
        <f>_xlfn.IFNA(SQRT((VLOOKUP(AX$1,DATA!$A$3:$F$301,2,FALSE)-VLOOKUP($A32,DATA!$A$3:$F$301,2,FALSE))^2+(VLOOKUP(AX$1,DATA!$A$3:$F$301,3,FALSE)-VLOOKUP($A32,DATA!$A$3:$F$301,3,FALSE))^2),"")</f>
        <v/>
      </c>
      <c r="AY32" s="14" t="str">
        <f>_xlfn.IFNA(SQRT((VLOOKUP(AY$1,DATA!$A$3:$F$301,2,FALSE)-VLOOKUP($A32,DATA!$A$3:$F$301,2,FALSE))^2+(VLOOKUP(AY$1,DATA!$A$3:$F$301,3,FALSE)-VLOOKUP($A32,DATA!$A$3:$F$301,3,FALSE))^2),"")</f>
        <v/>
      </c>
      <c r="AZ32" s="14" t="str">
        <f>_xlfn.IFNA(SQRT((VLOOKUP(AZ$1,DATA!$A$3:$F$301,2,FALSE)-VLOOKUP($A32,DATA!$A$3:$F$301,2,FALSE))^2+(VLOOKUP(AZ$1,DATA!$A$3:$F$301,3,FALSE)-VLOOKUP($A32,DATA!$A$3:$F$301,3,FALSE))^2),"")</f>
        <v/>
      </c>
      <c r="BA32" s="14" t="str">
        <f>_xlfn.IFNA(SQRT((VLOOKUP(BA$1,DATA!$A$3:$F$301,2,FALSE)-VLOOKUP($A32,DATA!$A$3:$F$301,2,FALSE))^2+(VLOOKUP(BA$1,DATA!$A$3:$F$301,3,FALSE)-VLOOKUP($A32,DATA!$A$3:$F$301,3,FALSE))^2),"")</f>
        <v/>
      </c>
      <c r="BB32" s="14" t="str">
        <f>_xlfn.IFNA(SQRT((VLOOKUP(BB$1,DATA!$A$3:$F$301,2,FALSE)-VLOOKUP($A32,DATA!$A$3:$F$301,2,FALSE))^2+(VLOOKUP(BB$1,DATA!$A$3:$F$301,3,FALSE)-VLOOKUP($A32,DATA!$A$3:$F$301,3,FALSE))^2),"")</f>
        <v/>
      </c>
      <c r="BC32" s="14" t="str">
        <f>_xlfn.IFNA(SQRT((VLOOKUP(BC$1,DATA!$A$3:$F$301,2,FALSE)-VLOOKUP($A32,DATA!$A$3:$F$301,2,FALSE))^2+(VLOOKUP(BC$1,DATA!$A$3:$F$301,3,FALSE)-VLOOKUP($A32,DATA!$A$3:$F$301,3,FALSE))^2),"")</f>
        <v/>
      </c>
      <c r="BD32" s="14" t="str">
        <f>_xlfn.IFNA(SQRT((VLOOKUP(BD$1,DATA!$A$3:$F$301,2,FALSE)-VLOOKUP($A32,DATA!$A$3:$F$301,2,FALSE))^2+(VLOOKUP(BD$1,DATA!$A$3:$F$301,3,FALSE)-VLOOKUP($A32,DATA!$A$3:$F$301,3,FALSE))^2),"")</f>
        <v/>
      </c>
      <c r="BE32" s="14" t="str">
        <f>_xlfn.IFNA(SQRT((VLOOKUP(BE$1,DATA!$A$3:$F$301,2,FALSE)-VLOOKUP($A32,DATA!$A$3:$F$301,2,FALSE))^2+(VLOOKUP(BE$1,DATA!$A$3:$F$301,3,FALSE)-VLOOKUP($A32,DATA!$A$3:$F$301,3,FALSE))^2),"")</f>
        <v/>
      </c>
      <c r="BF32" s="14" t="str">
        <f>_xlfn.IFNA(SQRT((VLOOKUP(BF$1,DATA!$A$3:$F$301,2,FALSE)-VLOOKUP($A32,DATA!$A$3:$F$301,2,FALSE))^2+(VLOOKUP(BF$1,DATA!$A$3:$F$301,3,FALSE)-VLOOKUP($A32,DATA!$A$3:$F$301,3,FALSE))^2),"")</f>
        <v/>
      </c>
      <c r="BG32" s="14" t="str">
        <f>_xlfn.IFNA(SQRT((VLOOKUP(BG$1,DATA!$A$3:$F$301,2,FALSE)-VLOOKUP($A32,DATA!$A$3:$F$301,2,FALSE))^2+(VLOOKUP(BG$1,DATA!$A$3:$F$301,3,FALSE)-VLOOKUP($A32,DATA!$A$3:$F$301,3,FALSE))^2),"")</f>
        <v/>
      </c>
      <c r="BH32" s="14" t="str">
        <f>_xlfn.IFNA(SQRT((VLOOKUP(BH$1,DATA!$A$3:$F$301,2,FALSE)-VLOOKUP($A32,DATA!$A$3:$F$301,2,FALSE))^2+(VLOOKUP(BH$1,DATA!$A$3:$F$301,3,FALSE)-VLOOKUP($A32,DATA!$A$3:$F$301,3,FALSE))^2),"")</f>
        <v/>
      </c>
      <c r="BI32" s="14" t="str">
        <f>_xlfn.IFNA(SQRT((VLOOKUP(BI$1,DATA!$A$3:$F$301,2,FALSE)-VLOOKUP($A32,DATA!$A$3:$F$301,2,FALSE))^2+(VLOOKUP(BI$1,DATA!$A$3:$F$301,3,FALSE)-VLOOKUP($A32,DATA!$A$3:$F$301,3,FALSE))^2),"")</f>
        <v/>
      </c>
      <c r="BJ32" s="14" t="str">
        <f>_xlfn.IFNA(SQRT((VLOOKUP(BJ$1,DATA!$A$3:$F$301,2,FALSE)-VLOOKUP($A32,DATA!$A$3:$F$301,2,FALSE))^2+(VLOOKUP(BJ$1,DATA!$A$3:$F$301,3,FALSE)-VLOOKUP($A32,DATA!$A$3:$F$301,3,FALSE))^2),"")</f>
        <v/>
      </c>
      <c r="BK32" s="14" t="str">
        <f>_xlfn.IFNA(SQRT((VLOOKUP(BK$1,DATA!$A$3:$F$301,2,FALSE)-VLOOKUP($A32,DATA!$A$3:$F$301,2,FALSE))^2+(VLOOKUP(BK$1,DATA!$A$3:$F$301,3,FALSE)-VLOOKUP($A32,DATA!$A$3:$F$301,3,FALSE))^2),"")</f>
        <v/>
      </c>
      <c r="BL32" s="14" t="str">
        <f>_xlfn.IFNA(SQRT((VLOOKUP(BL$1,DATA!$A$3:$F$301,2,FALSE)-VLOOKUP($A32,DATA!$A$3:$F$301,2,FALSE))^2+(VLOOKUP(BL$1,DATA!$A$3:$F$301,3,FALSE)-VLOOKUP($A32,DATA!$A$3:$F$301,3,FALSE))^2),"")</f>
        <v/>
      </c>
      <c r="BM32" s="14" t="str">
        <f>_xlfn.IFNA(SQRT((VLOOKUP(BM$1,DATA!$A$3:$F$301,2,FALSE)-VLOOKUP($A32,DATA!$A$3:$F$301,2,FALSE))^2+(VLOOKUP(BM$1,DATA!$A$3:$F$301,3,FALSE)-VLOOKUP($A32,DATA!$A$3:$F$301,3,FALSE))^2),"")</f>
        <v/>
      </c>
      <c r="BN32" s="14" t="str">
        <f>_xlfn.IFNA(SQRT((VLOOKUP(BN$1,DATA!$A$3:$F$301,2,FALSE)-VLOOKUP($A32,DATA!$A$3:$F$301,2,FALSE))^2+(VLOOKUP(BN$1,DATA!$A$3:$F$301,3,FALSE)-VLOOKUP($A32,DATA!$A$3:$F$301,3,FALSE))^2),"")</f>
        <v/>
      </c>
      <c r="BO32" s="14" t="str">
        <f>_xlfn.IFNA(SQRT((VLOOKUP(BO$1,DATA!$A$3:$F$301,2,FALSE)-VLOOKUP($A32,DATA!$A$3:$F$301,2,FALSE))^2+(VLOOKUP(BO$1,DATA!$A$3:$F$301,3,FALSE)-VLOOKUP($A32,DATA!$A$3:$F$301,3,FALSE))^2),"")</f>
        <v/>
      </c>
      <c r="BP32" s="14" t="str">
        <f>_xlfn.IFNA(SQRT((VLOOKUP(BP$1,DATA!$A$3:$F$301,2,FALSE)-VLOOKUP($A32,DATA!$A$3:$F$301,2,FALSE))^2+(VLOOKUP(BP$1,DATA!$A$3:$F$301,3,FALSE)-VLOOKUP($A32,DATA!$A$3:$F$301,3,FALSE))^2),"")</f>
        <v/>
      </c>
      <c r="BQ32" s="14" t="str">
        <f>_xlfn.IFNA(SQRT((VLOOKUP(BQ$1,DATA!$A$3:$F$301,2,FALSE)-VLOOKUP($A32,DATA!$A$3:$F$301,2,FALSE))^2+(VLOOKUP(BQ$1,DATA!$A$3:$F$301,3,FALSE)-VLOOKUP($A32,DATA!$A$3:$F$301,3,FALSE))^2),"")</f>
        <v/>
      </c>
      <c r="BR32" s="14" t="str">
        <f>_xlfn.IFNA(SQRT((VLOOKUP(BR$1,DATA!$A$3:$F$301,2,FALSE)-VLOOKUP($A32,DATA!$A$3:$F$301,2,FALSE))^2+(VLOOKUP(BR$1,DATA!$A$3:$F$301,3,FALSE)-VLOOKUP($A32,DATA!$A$3:$F$301,3,FALSE))^2),"")</f>
        <v/>
      </c>
      <c r="BS32" s="14" t="str">
        <f>_xlfn.IFNA(SQRT((VLOOKUP(BS$1,DATA!$A$3:$F$301,2,FALSE)-VLOOKUP($A32,DATA!$A$3:$F$301,2,FALSE))^2+(VLOOKUP(BS$1,DATA!$A$3:$F$301,3,FALSE)-VLOOKUP($A32,DATA!$A$3:$F$301,3,FALSE))^2),"")</f>
        <v/>
      </c>
      <c r="BT32" s="14" t="str">
        <f>_xlfn.IFNA(SQRT((VLOOKUP(BT$1,DATA!$A$3:$F$301,2,FALSE)-VLOOKUP($A32,DATA!$A$3:$F$301,2,FALSE))^2+(VLOOKUP(BT$1,DATA!$A$3:$F$301,3,FALSE)-VLOOKUP($A32,DATA!$A$3:$F$301,3,FALSE))^2),"")</f>
        <v/>
      </c>
      <c r="BU32" s="14" t="str">
        <f>_xlfn.IFNA(SQRT((VLOOKUP(BU$1,DATA!$A$3:$F$301,2,FALSE)-VLOOKUP($A32,DATA!$A$3:$F$301,2,FALSE))^2+(VLOOKUP(BU$1,DATA!$A$3:$F$301,3,FALSE)-VLOOKUP($A32,DATA!$A$3:$F$301,3,FALSE))^2),"")</f>
        <v/>
      </c>
      <c r="BV32" s="14" t="str">
        <f>_xlfn.IFNA(SQRT((VLOOKUP(BV$1,DATA!$A$3:$F$301,2,FALSE)-VLOOKUP($A32,DATA!$A$3:$F$301,2,FALSE))^2+(VLOOKUP(BV$1,DATA!$A$3:$F$301,3,FALSE)-VLOOKUP($A32,DATA!$A$3:$F$301,3,FALSE))^2),"")</f>
        <v/>
      </c>
      <c r="BW32" s="14" t="str">
        <f>_xlfn.IFNA(SQRT((VLOOKUP(BW$1,DATA!$A$3:$F$301,2,FALSE)-VLOOKUP($A32,DATA!$A$3:$F$301,2,FALSE))^2+(VLOOKUP(BW$1,DATA!$A$3:$F$301,3,FALSE)-VLOOKUP($A32,DATA!$A$3:$F$301,3,FALSE))^2),"")</f>
        <v/>
      </c>
      <c r="BX32" s="14" t="str">
        <f>_xlfn.IFNA(SQRT((VLOOKUP(BX$1,DATA!$A$3:$F$301,2,FALSE)-VLOOKUP($A32,DATA!$A$3:$F$301,2,FALSE))^2+(VLOOKUP(BX$1,DATA!$A$3:$F$301,3,FALSE)-VLOOKUP($A32,DATA!$A$3:$F$301,3,FALSE))^2),"")</f>
        <v/>
      </c>
      <c r="BY32" s="14" t="str">
        <f>_xlfn.IFNA(SQRT((VLOOKUP(BY$1,DATA!$A$3:$F$301,2,FALSE)-VLOOKUP($A32,DATA!$A$3:$F$301,2,FALSE))^2+(VLOOKUP(BY$1,DATA!$A$3:$F$301,3,FALSE)-VLOOKUP($A32,DATA!$A$3:$F$301,3,FALSE))^2),"")</f>
        <v/>
      </c>
      <c r="BZ32" s="14" t="str">
        <f>_xlfn.IFNA(SQRT((VLOOKUP(BZ$1,DATA!$A$3:$F$301,2,FALSE)-VLOOKUP($A32,DATA!$A$3:$F$301,2,FALSE))^2+(VLOOKUP(BZ$1,DATA!$A$3:$F$301,3,FALSE)-VLOOKUP($A32,DATA!$A$3:$F$301,3,FALSE))^2),"")</f>
        <v/>
      </c>
      <c r="CA32" s="14" t="str">
        <f>_xlfn.IFNA(SQRT((VLOOKUP(CA$1,DATA!$A$3:$F$301,2,FALSE)-VLOOKUP($A32,DATA!$A$3:$F$301,2,FALSE))^2+(VLOOKUP(CA$1,DATA!$A$3:$F$301,3,FALSE)-VLOOKUP($A32,DATA!$A$3:$F$301,3,FALSE))^2),"")</f>
        <v/>
      </c>
      <c r="CB32" s="14" t="str">
        <f>_xlfn.IFNA(SQRT((VLOOKUP(CB$1,DATA!$A$3:$F$301,2,FALSE)-VLOOKUP($A32,DATA!$A$3:$F$301,2,FALSE))^2+(VLOOKUP(CB$1,DATA!$A$3:$F$301,3,FALSE)-VLOOKUP($A32,DATA!$A$3:$F$301,3,FALSE))^2),"")</f>
        <v/>
      </c>
      <c r="CC32" s="14" t="str">
        <f>_xlfn.IFNA(SQRT((VLOOKUP(CC$1,DATA!$A$3:$F$301,2,FALSE)-VLOOKUP($A32,DATA!$A$3:$F$301,2,FALSE))^2+(VLOOKUP(CC$1,DATA!$A$3:$F$301,3,FALSE)-VLOOKUP($A32,DATA!$A$3:$F$301,3,FALSE))^2),"")</f>
        <v/>
      </c>
      <c r="CD32" s="14" t="str">
        <f>_xlfn.IFNA(SQRT((VLOOKUP(CD$1,DATA!$A$3:$F$301,2,FALSE)-VLOOKUP($A32,DATA!$A$3:$F$301,2,FALSE))^2+(VLOOKUP(CD$1,DATA!$A$3:$F$301,3,FALSE)-VLOOKUP($A32,DATA!$A$3:$F$301,3,FALSE))^2),"")</f>
        <v/>
      </c>
      <c r="CE32" s="14" t="str">
        <f>_xlfn.IFNA(SQRT((VLOOKUP(CE$1,DATA!$A$3:$F$301,2,FALSE)-VLOOKUP($A32,DATA!$A$3:$F$301,2,FALSE))^2+(VLOOKUP(CE$1,DATA!$A$3:$F$301,3,FALSE)-VLOOKUP($A32,DATA!$A$3:$F$301,3,FALSE))^2),"")</f>
        <v/>
      </c>
      <c r="CF32" s="14" t="str">
        <f>_xlfn.IFNA(SQRT((VLOOKUP(CF$1,DATA!$A$3:$F$301,2,FALSE)-VLOOKUP($A32,DATA!$A$3:$F$301,2,FALSE))^2+(VLOOKUP(CF$1,DATA!$A$3:$F$301,3,FALSE)-VLOOKUP($A32,DATA!$A$3:$F$301,3,FALSE))^2),"")</f>
        <v/>
      </c>
      <c r="CG32" s="14" t="str">
        <f>_xlfn.IFNA(SQRT((VLOOKUP(CG$1,DATA!$A$3:$F$301,2,FALSE)-VLOOKUP($A32,DATA!$A$3:$F$301,2,FALSE))^2+(VLOOKUP(CG$1,DATA!$A$3:$F$301,3,FALSE)-VLOOKUP($A32,DATA!$A$3:$F$301,3,FALSE))^2),"")</f>
        <v/>
      </c>
      <c r="CH32" s="14" t="str">
        <f>_xlfn.IFNA(SQRT((VLOOKUP(CH$1,DATA!$A$3:$F$301,2,FALSE)-VLOOKUP($A32,DATA!$A$3:$F$301,2,FALSE))^2+(VLOOKUP(CH$1,DATA!$A$3:$F$301,3,FALSE)-VLOOKUP($A32,DATA!$A$3:$F$301,3,FALSE))^2),"")</f>
        <v/>
      </c>
      <c r="CI32" s="14" t="str">
        <f>_xlfn.IFNA(SQRT((VLOOKUP(CI$1,DATA!$A$3:$F$301,2,FALSE)-VLOOKUP($A32,DATA!$A$3:$F$301,2,FALSE))^2+(VLOOKUP(CI$1,DATA!$A$3:$F$301,3,FALSE)-VLOOKUP($A32,DATA!$A$3:$F$301,3,FALSE))^2),"")</f>
        <v/>
      </c>
      <c r="CJ32" s="14" t="str">
        <f>_xlfn.IFNA(SQRT((VLOOKUP(CJ$1,DATA!$A$3:$F$301,2,FALSE)-VLOOKUP($A32,DATA!$A$3:$F$301,2,FALSE))^2+(VLOOKUP(CJ$1,DATA!$A$3:$F$301,3,FALSE)-VLOOKUP($A32,DATA!$A$3:$F$301,3,FALSE))^2),"")</f>
        <v/>
      </c>
      <c r="CK32" s="14" t="str">
        <f>_xlfn.IFNA(SQRT((VLOOKUP(CK$1,DATA!$A$3:$F$301,2,FALSE)-VLOOKUP($A32,DATA!$A$3:$F$301,2,FALSE))^2+(VLOOKUP(CK$1,DATA!$A$3:$F$301,3,FALSE)-VLOOKUP($A32,DATA!$A$3:$F$301,3,FALSE))^2),"")</f>
        <v/>
      </c>
      <c r="CL32" s="14" t="str">
        <f>_xlfn.IFNA(SQRT((VLOOKUP(CL$1,DATA!$A$3:$F$301,2,FALSE)-VLOOKUP($A32,DATA!$A$3:$F$301,2,FALSE))^2+(VLOOKUP(CL$1,DATA!$A$3:$F$301,3,FALSE)-VLOOKUP($A32,DATA!$A$3:$F$301,3,FALSE))^2),"")</f>
        <v/>
      </c>
      <c r="CM32" s="14" t="str">
        <f>_xlfn.IFNA(SQRT((VLOOKUP(CM$1,DATA!$A$3:$F$301,2,FALSE)-VLOOKUP($A32,DATA!$A$3:$F$301,2,FALSE))^2+(VLOOKUP(CM$1,DATA!$A$3:$F$301,3,FALSE)-VLOOKUP($A32,DATA!$A$3:$F$301,3,FALSE))^2),"")</f>
        <v/>
      </c>
      <c r="CN32" s="14" t="str">
        <f>_xlfn.IFNA(SQRT((VLOOKUP(CN$1,DATA!$A$3:$F$301,2,FALSE)-VLOOKUP($A32,DATA!$A$3:$F$301,2,FALSE))^2+(VLOOKUP(CN$1,DATA!$A$3:$F$301,3,FALSE)-VLOOKUP($A32,DATA!$A$3:$F$301,3,FALSE))^2),"")</f>
        <v/>
      </c>
      <c r="CO32" s="14" t="str">
        <f>_xlfn.IFNA(SQRT((VLOOKUP(CO$1,DATA!$A$3:$F$301,2,FALSE)-VLOOKUP($A32,DATA!$A$3:$F$301,2,FALSE))^2+(VLOOKUP(CO$1,DATA!$A$3:$F$301,3,FALSE)-VLOOKUP($A32,DATA!$A$3:$F$301,3,FALSE))^2),"")</f>
        <v/>
      </c>
      <c r="CP32" s="14" t="str">
        <f>_xlfn.IFNA(SQRT((VLOOKUP(CP$1,DATA!$A$3:$F$301,2,FALSE)-VLOOKUP($A32,DATA!$A$3:$F$301,2,FALSE))^2+(VLOOKUP(CP$1,DATA!$A$3:$F$301,3,FALSE)-VLOOKUP($A32,DATA!$A$3:$F$301,3,FALSE))^2),"")</f>
        <v/>
      </c>
      <c r="CQ32" s="14" t="str">
        <f>_xlfn.IFNA(SQRT((VLOOKUP(CQ$1,DATA!$A$3:$F$301,2,FALSE)-VLOOKUP($A32,DATA!$A$3:$F$301,2,FALSE))^2+(VLOOKUP(CQ$1,DATA!$A$3:$F$301,3,FALSE)-VLOOKUP($A32,DATA!$A$3:$F$301,3,FALSE))^2),"")</f>
        <v/>
      </c>
      <c r="CR32" s="14" t="str">
        <f>_xlfn.IFNA(SQRT((VLOOKUP(CR$1,DATA!$A$3:$F$301,2,FALSE)-VLOOKUP($A32,DATA!$A$3:$F$301,2,FALSE))^2+(VLOOKUP(CR$1,DATA!$A$3:$F$301,3,FALSE)-VLOOKUP($A32,DATA!$A$3:$F$301,3,FALSE))^2),"")</f>
        <v/>
      </c>
      <c r="CS32" s="14" t="str">
        <f>_xlfn.IFNA(SQRT((VLOOKUP(CS$1,DATA!$A$3:$F$301,2,FALSE)-VLOOKUP($A32,DATA!$A$3:$F$301,2,FALSE))^2+(VLOOKUP(CS$1,DATA!$A$3:$F$301,3,FALSE)-VLOOKUP($A32,DATA!$A$3:$F$301,3,FALSE))^2),"")</f>
        <v/>
      </c>
      <c r="CT32" s="14" t="str">
        <f>_xlfn.IFNA(SQRT((VLOOKUP(CT$1,DATA!$A$3:$F$301,2,FALSE)-VLOOKUP($A32,DATA!$A$3:$F$301,2,FALSE))^2+(VLOOKUP(CT$1,DATA!$A$3:$F$301,3,FALSE)-VLOOKUP($A32,DATA!$A$3:$F$301,3,FALSE))^2),"")</f>
        <v/>
      </c>
      <c r="CU32" s="14" t="str">
        <f>_xlfn.IFNA(SQRT((VLOOKUP(CU$1,DATA!$A$3:$F$301,2,FALSE)-VLOOKUP($A32,DATA!$A$3:$F$301,2,FALSE))^2+(VLOOKUP(CU$1,DATA!$A$3:$F$301,3,FALSE)-VLOOKUP($A32,DATA!$A$3:$F$301,3,FALSE))^2),"")</f>
        <v/>
      </c>
      <c r="CV32" s="14" t="str">
        <f>_xlfn.IFNA(SQRT((VLOOKUP(CV$1,DATA!$A$3:$F$301,2,FALSE)-VLOOKUP($A32,DATA!$A$3:$F$301,2,FALSE))^2+(VLOOKUP(CV$1,DATA!$A$3:$F$301,3,FALSE)-VLOOKUP($A32,DATA!$A$3:$F$301,3,FALSE))^2),"")</f>
        <v/>
      </c>
      <c r="CW32" s="14" t="str">
        <f>_xlfn.IFNA(SQRT((VLOOKUP(CW$1,DATA!$A$3:$F$301,2,FALSE)-VLOOKUP($A32,DATA!$A$3:$F$301,2,FALSE))^2+(VLOOKUP(CW$1,DATA!$A$3:$F$301,3,FALSE)-VLOOKUP($A32,DATA!$A$3:$F$301,3,FALSE))^2),"")</f>
        <v/>
      </c>
      <c r="CX32" s="14" t="str">
        <f>_xlfn.IFNA(SQRT((VLOOKUP(CX$1,DATA!$A$3:$F$301,2,FALSE)-VLOOKUP($A32,DATA!$A$3:$F$301,2,FALSE))^2+(VLOOKUP(CX$1,DATA!$A$3:$F$301,3,FALSE)-VLOOKUP($A32,DATA!$A$3:$F$301,3,FALSE))^2),"")</f>
        <v/>
      </c>
    </row>
    <row r="33" spans="1:102">
      <c r="A33" s="13">
        <v>32</v>
      </c>
      <c r="B33" s="14">
        <f>_xlfn.IFNA(SQRT((VLOOKUP(B$1,DATA!$A$3:$F$301,2,FALSE)-VLOOKUP($A33,DATA!$A$3:$F$301,2,FALSE))^2+(VLOOKUP(B$1,DATA!$A$3:$F$301,3,FALSE)-VLOOKUP($A33,DATA!$A$3:$F$301,3,FALSE))^2),"")</f>
        <v>20</v>
      </c>
      <c r="C33" s="14">
        <f>_xlfn.IFNA(SQRT((VLOOKUP(C$1,DATA!$A$3:$F$301,2,FALSE)-VLOOKUP($A33,DATA!$A$3:$F$301,2,FALSE))^2+(VLOOKUP(C$1,DATA!$A$3:$F$301,3,FALSE)-VLOOKUP($A33,DATA!$A$3:$F$301,3,FALSE))^2),"")</f>
        <v>19.646882704388499</v>
      </c>
      <c r="D33" s="14">
        <f>_xlfn.IFNA(SQRT((VLOOKUP(D$1,DATA!$A$3:$F$301,2,FALSE)-VLOOKUP($A33,DATA!$A$3:$F$301,2,FALSE))^2+(VLOOKUP(D$1,DATA!$A$3:$F$301,3,FALSE)-VLOOKUP($A33,DATA!$A$3:$F$301,3,FALSE))^2),"")</f>
        <v>32</v>
      </c>
      <c r="E33" s="14">
        <f>_xlfn.IFNA(SQRT((VLOOKUP(E$1,DATA!$A$3:$F$301,2,FALSE)-VLOOKUP($A33,DATA!$A$3:$F$301,2,FALSE))^2+(VLOOKUP(E$1,DATA!$A$3:$F$301,3,FALSE)-VLOOKUP($A33,DATA!$A$3:$F$301,3,FALSE))^2),"")</f>
        <v>25.317977802344327</v>
      </c>
      <c r="F33" s="14">
        <f>_xlfn.IFNA(SQRT((VLOOKUP(F$1,DATA!$A$3:$F$301,2,FALSE)-VLOOKUP($A33,DATA!$A$3:$F$301,2,FALSE))^2+(VLOOKUP(F$1,DATA!$A$3:$F$301,3,FALSE)-VLOOKUP($A33,DATA!$A$3:$F$301,3,FALSE))^2),"")</f>
        <v>9.8488578017961039</v>
      </c>
      <c r="G33" s="14">
        <f>_xlfn.IFNA(SQRT((VLOOKUP(G$1,DATA!$A$3:$F$301,2,FALSE)-VLOOKUP($A33,DATA!$A$3:$F$301,2,FALSE))^2+(VLOOKUP(G$1,DATA!$A$3:$F$301,3,FALSE)-VLOOKUP($A33,DATA!$A$3:$F$301,3,FALSE))^2),"")</f>
        <v>23.706539182259394</v>
      </c>
      <c r="H33" s="14">
        <f>_xlfn.IFNA(SQRT((VLOOKUP(H$1,DATA!$A$3:$F$301,2,FALSE)-VLOOKUP($A33,DATA!$A$3:$F$301,2,FALSE))^2+(VLOOKUP(H$1,DATA!$A$3:$F$301,3,FALSE)-VLOOKUP($A33,DATA!$A$3:$F$301,3,FALSE))^2),"")</f>
        <v>36.61966684720111</v>
      </c>
      <c r="I33" s="14">
        <f>_xlfn.IFNA(SQRT((VLOOKUP(I$1,DATA!$A$3:$F$301,2,FALSE)-VLOOKUP($A33,DATA!$A$3:$F$301,2,FALSE))^2+(VLOOKUP(I$1,DATA!$A$3:$F$301,3,FALSE)-VLOOKUP($A33,DATA!$A$3:$F$301,3,FALSE))^2),"")</f>
        <v>26.076809620810597</v>
      </c>
      <c r="J33" s="14">
        <f>_xlfn.IFNA(SQRT((VLOOKUP(J$1,DATA!$A$3:$F$301,2,FALSE)-VLOOKUP($A33,DATA!$A$3:$F$301,2,FALSE))^2+(VLOOKUP(J$1,DATA!$A$3:$F$301,3,FALSE)-VLOOKUP($A33,DATA!$A$3:$F$301,3,FALSE))^2),"")</f>
        <v>20.518284528683193</v>
      </c>
      <c r="K33" s="14">
        <f>_xlfn.IFNA(SQRT((VLOOKUP(K$1,DATA!$A$3:$F$301,2,FALSE)-VLOOKUP($A33,DATA!$A$3:$F$301,2,FALSE))^2+(VLOOKUP(K$1,DATA!$A$3:$F$301,3,FALSE)-VLOOKUP($A33,DATA!$A$3:$F$301,3,FALSE))^2),"")</f>
        <v>31.780497164141408</v>
      </c>
      <c r="L33" s="14">
        <f>_xlfn.IFNA(SQRT((VLOOKUP(L$1,DATA!$A$3:$F$301,2,FALSE)-VLOOKUP($A33,DATA!$A$3:$F$301,2,FALSE))^2+(VLOOKUP(L$1,DATA!$A$3:$F$301,3,FALSE)-VLOOKUP($A33,DATA!$A$3:$F$301,3,FALSE))^2),"")</f>
        <v>27.459060435491963</v>
      </c>
      <c r="M33" s="14">
        <f>_xlfn.IFNA(SQRT((VLOOKUP(M$1,DATA!$A$3:$F$301,2,FALSE)-VLOOKUP($A33,DATA!$A$3:$F$301,2,FALSE))^2+(VLOOKUP(M$1,DATA!$A$3:$F$301,3,FALSE)-VLOOKUP($A33,DATA!$A$3:$F$301,3,FALSE))^2),"")</f>
        <v>8.2462112512353212</v>
      </c>
      <c r="N33" s="14">
        <f>_xlfn.IFNA(SQRT((VLOOKUP(N$1,DATA!$A$3:$F$301,2,FALSE)-VLOOKUP($A33,DATA!$A$3:$F$301,2,FALSE))^2+(VLOOKUP(N$1,DATA!$A$3:$F$301,3,FALSE)-VLOOKUP($A33,DATA!$A$3:$F$301,3,FALSE))^2),"")</f>
        <v>19.924858845171276</v>
      </c>
      <c r="O33" s="14">
        <f>_xlfn.IFNA(SQRT((VLOOKUP(O$1,DATA!$A$3:$F$301,2,FALSE)-VLOOKUP($A33,DATA!$A$3:$F$301,2,FALSE))^2+(VLOOKUP(O$1,DATA!$A$3:$F$301,3,FALSE)-VLOOKUP($A33,DATA!$A$3:$F$301,3,FALSE))^2),"")</f>
        <v>15.556349186104045</v>
      </c>
      <c r="P33" s="14">
        <f>_xlfn.IFNA(SQRT((VLOOKUP(P$1,DATA!$A$3:$F$301,2,FALSE)-VLOOKUP($A33,DATA!$A$3:$F$301,2,FALSE))^2+(VLOOKUP(P$1,DATA!$A$3:$F$301,3,FALSE)-VLOOKUP($A33,DATA!$A$3:$F$301,3,FALSE))^2),"")</f>
        <v>31.622776601683793</v>
      </c>
      <c r="Q33" s="14">
        <f>_xlfn.IFNA(SQRT((VLOOKUP(Q$1,DATA!$A$3:$F$301,2,FALSE)-VLOOKUP($A33,DATA!$A$3:$F$301,2,FALSE))^2+(VLOOKUP(Q$1,DATA!$A$3:$F$301,3,FALSE)-VLOOKUP($A33,DATA!$A$3:$F$301,3,FALSE))^2),"")</f>
        <v>25.495097567963924</v>
      </c>
      <c r="R33" s="14">
        <f>_xlfn.IFNA(SQRT((VLOOKUP(R$1,DATA!$A$3:$F$301,2,FALSE)-VLOOKUP($A33,DATA!$A$3:$F$301,2,FALSE))^2+(VLOOKUP(R$1,DATA!$A$3:$F$301,3,FALSE)-VLOOKUP($A33,DATA!$A$3:$F$301,3,FALSE))^2),"")</f>
        <v>38.948684188300895</v>
      </c>
      <c r="S33" s="14">
        <f>_xlfn.IFNA(SQRT((VLOOKUP(S$1,DATA!$A$3:$F$301,2,FALSE)-VLOOKUP($A33,DATA!$A$3:$F$301,2,FALSE))^2+(VLOOKUP(S$1,DATA!$A$3:$F$301,3,FALSE)-VLOOKUP($A33,DATA!$A$3:$F$301,3,FALSE))^2),"")</f>
        <v>18.027756377319946</v>
      </c>
      <c r="T33" s="14">
        <f>_xlfn.IFNA(SQRT((VLOOKUP(T$1,DATA!$A$3:$F$301,2,FALSE)-VLOOKUP($A33,DATA!$A$3:$F$301,2,FALSE))^2+(VLOOKUP(T$1,DATA!$A$3:$F$301,3,FALSE)-VLOOKUP($A33,DATA!$A$3:$F$301,3,FALSE))^2),"")</f>
        <v>10.04987562112089</v>
      </c>
      <c r="U33" s="14">
        <f>_xlfn.IFNA(SQRT((VLOOKUP(U$1,DATA!$A$3:$F$301,2,FALSE)-VLOOKUP($A33,DATA!$A$3:$F$301,2,FALSE))^2+(VLOOKUP(U$1,DATA!$A$3:$F$301,3,FALSE)-VLOOKUP($A33,DATA!$A$3:$F$301,3,FALSE))^2),"")</f>
        <v>32.202484376209235</v>
      </c>
      <c r="V33" s="14">
        <f>_xlfn.IFNA(SQRT((VLOOKUP(V$1,DATA!$A$3:$F$301,2,FALSE)-VLOOKUP($A33,DATA!$A$3:$F$301,2,FALSE))^2+(VLOOKUP(V$1,DATA!$A$3:$F$301,3,FALSE)-VLOOKUP($A33,DATA!$A$3:$F$301,3,FALSE))^2),"")</f>
        <v>29.832867780352597</v>
      </c>
      <c r="W33" s="14">
        <f>_xlfn.IFNA(SQRT((VLOOKUP(W$1,DATA!$A$3:$F$301,2,FALSE)-VLOOKUP($A33,DATA!$A$3:$F$301,2,FALSE))^2+(VLOOKUP(W$1,DATA!$A$3:$F$301,3,FALSE)-VLOOKUP($A33,DATA!$A$3:$F$301,3,FALSE))^2),"")</f>
        <v>37.483329627982627</v>
      </c>
      <c r="X33" s="14">
        <f>_xlfn.IFNA(SQRT((VLOOKUP(X$1,DATA!$A$3:$F$301,2,FALSE)-VLOOKUP($A33,DATA!$A$3:$F$301,2,FALSE))^2+(VLOOKUP(X$1,DATA!$A$3:$F$301,3,FALSE)-VLOOKUP($A33,DATA!$A$3:$F$301,3,FALSE))^2),"")</f>
        <v>42.638011210655684</v>
      </c>
      <c r="Y33" s="14">
        <f>_xlfn.IFNA(SQRT((VLOOKUP(Y$1,DATA!$A$3:$F$301,2,FALSE)-VLOOKUP($A33,DATA!$A$3:$F$301,2,FALSE))^2+(VLOOKUP(Y$1,DATA!$A$3:$F$301,3,FALSE)-VLOOKUP($A33,DATA!$A$3:$F$301,3,FALSE))^2),"")</f>
        <v>25.019992006393608</v>
      </c>
      <c r="Z33" s="14">
        <f>_xlfn.IFNA(SQRT((VLOOKUP(Z$1,DATA!$A$3:$F$301,2,FALSE)-VLOOKUP($A33,DATA!$A$3:$F$301,2,FALSE))^2+(VLOOKUP(Z$1,DATA!$A$3:$F$301,3,FALSE)-VLOOKUP($A33,DATA!$A$3:$F$301,3,FALSE))^2),"")</f>
        <v>38.910152916687437</v>
      </c>
      <c r="AA33" s="14">
        <f>_xlfn.IFNA(SQRT((VLOOKUP(AA$1,DATA!$A$3:$F$301,2,FALSE)-VLOOKUP($A33,DATA!$A$3:$F$301,2,FALSE))^2+(VLOOKUP(AA$1,DATA!$A$3:$F$301,3,FALSE)-VLOOKUP($A33,DATA!$A$3:$F$301,3,FALSE))^2),"")</f>
        <v>11.180339887498949</v>
      </c>
      <c r="AB33" s="14">
        <f>_xlfn.IFNA(SQRT((VLOOKUP(AB$1,DATA!$A$3:$F$301,2,FALSE)-VLOOKUP($A33,DATA!$A$3:$F$301,2,FALSE))^2+(VLOOKUP(AB$1,DATA!$A$3:$F$301,3,FALSE)-VLOOKUP($A33,DATA!$A$3:$F$301,3,FALSE))^2),"")</f>
        <v>34.058772731852805</v>
      </c>
      <c r="AC33" s="14">
        <f>_xlfn.IFNA(SQRT((VLOOKUP(AC$1,DATA!$A$3:$F$301,2,FALSE)-VLOOKUP($A33,DATA!$A$3:$F$301,2,FALSE))^2+(VLOOKUP(AC$1,DATA!$A$3:$F$301,3,FALSE)-VLOOKUP($A33,DATA!$A$3:$F$301,3,FALSE))^2),"")</f>
        <v>2</v>
      </c>
      <c r="AD33" s="14">
        <f>_xlfn.IFNA(SQRT((VLOOKUP(AD$1,DATA!$A$3:$F$301,2,FALSE)-VLOOKUP($A33,DATA!$A$3:$F$301,2,FALSE))^2+(VLOOKUP(AD$1,DATA!$A$3:$F$301,3,FALSE)-VLOOKUP($A33,DATA!$A$3:$F$301,3,FALSE))^2),"")</f>
        <v>43.139309220245984</v>
      </c>
      <c r="AE33" s="14">
        <f>_xlfn.IFNA(SQRT((VLOOKUP(AE$1,DATA!$A$3:$F$301,2,FALSE)-VLOOKUP($A33,DATA!$A$3:$F$301,2,FALSE))^2+(VLOOKUP(AE$1,DATA!$A$3:$F$301,3,FALSE)-VLOOKUP($A33,DATA!$A$3:$F$301,3,FALSE))^2),"")</f>
        <v>16.031219541881399</v>
      </c>
      <c r="AF33" s="14">
        <f>_xlfn.IFNA(SQRT((VLOOKUP(AF$1,DATA!$A$3:$F$301,2,FALSE)-VLOOKUP($A33,DATA!$A$3:$F$301,2,FALSE))^2+(VLOOKUP(AF$1,DATA!$A$3:$F$301,3,FALSE)-VLOOKUP($A33,DATA!$A$3:$F$301,3,FALSE))^2),"")</f>
        <v>35.227829907617071</v>
      </c>
      <c r="AG33" s="14">
        <f>_xlfn.IFNA(SQRT((VLOOKUP(AG$1,DATA!$A$3:$F$301,2,FALSE)-VLOOKUP($A33,DATA!$A$3:$F$301,2,FALSE))^2+(VLOOKUP(AG$1,DATA!$A$3:$F$301,3,FALSE)-VLOOKUP($A33,DATA!$A$3:$F$301,3,FALSE))^2),"")</f>
        <v>0</v>
      </c>
      <c r="AH33" s="14">
        <f>_xlfn.IFNA(SQRT((VLOOKUP(AH$1,DATA!$A$3:$F$301,2,FALSE)-VLOOKUP($A33,DATA!$A$3:$F$301,2,FALSE))^2+(VLOOKUP(AH$1,DATA!$A$3:$F$301,3,FALSE)-VLOOKUP($A33,DATA!$A$3:$F$301,3,FALSE))^2),"")</f>
        <v>17.029386365926403</v>
      </c>
      <c r="AI33" s="14">
        <f>_xlfn.IFNA(SQRT((VLOOKUP(AI$1,DATA!$A$3:$F$301,2,FALSE)-VLOOKUP($A33,DATA!$A$3:$F$301,2,FALSE))^2+(VLOOKUP(AI$1,DATA!$A$3:$F$301,3,FALSE)-VLOOKUP($A33,DATA!$A$3:$F$301,3,FALSE))^2),"")</f>
        <v>37.576588456111871</v>
      </c>
      <c r="AJ33" s="14">
        <f>_xlfn.IFNA(SQRT((VLOOKUP(AJ$1,DATA!$A$3:$F$301,2,FALSE)-VLOOKUP($A33,DATA!$A$3:$F$301,2,FALSE))^2+(VLOOKUP(AJ$1,DATA!$A$3:$F$301,3,FALSE)-VLOOKUP($A33,DATA!$A$3:$F$301,3,FALSE))^2),"")</f>
        <v>33.105890714493697</v>
      </c>
      <c r="AK33" s="14">
        <f>_xlfn.IFNA(SQRT((VLOOKUP(AK$1,DATA!$A$3:$F$301,2,FALSE)-VLOOKUP($A33,DATA!$A$3:$F$301,2,FALSE))^2+(VLOOKUP(AK$1,DATA!$A$3:$F$301,3,FALSE)-VLOOKUP($A33,DATA!$A$3:$F$301,3,FALSE))^2),"")</f>
        <v>8.6023252670426267</v>
      </c>
      <c r="AL33" s="14">
        <f>_xlfn.IFNA(SQRT((VLOOKUP(AL$1,DATA!$A$3:$F$301,2,FALSE)-VLOOKUP($A33,DATA!$A$3:$F$301,2,FALSE))^2+(VLOOKUP(AL$1,DATA!$A$3:$F$301,3,FALSE)-VLOOKUP($A33,DATA!$A$3:$F$301,3,FALSE))^2),"")</f>
        <v>25.059928172283335</v>
      </c>
      <c r="AM33" s="14">
        <f>_xlfn.IFNA(SQRT((VLOOKUP(AM$1,DATA!$A$3:$F$301,2,FALSE)-VLOOKUP($A33,DATA!$A$3:$F$301,2,FALSE))^2+(VLOOKUP(AM$1,DATA!$A$3:$F$301,3,FALSE)-VLOOKUP($A33,DATA!$A$3:$F$301,3,FALSE))^2),"")</f>
        <v>9.4339811320566032</v>
      </c>
      <c r="AN33" s="14">
        <f>_xlfn.IFNA(SQRT((VLOOKUP(AN$1,DATA!$A$3:$F$301,2,FALSE)-VLOOKUP($A33,DATA!$A$3:$F$301,2,FALSE))^2+(VLOOKUP(AN$1,DATA!$A$3:$F$301,3,FALSE)-VLOOKUP($A33,DATA!$A$3:$F$301,3,FALSE))^2),"")</f>
        <v>43.840620433565945</v>
      </c>
      <c r="AO33" s="14">
        <f>_xlfn.IFNA(SQRT((VLOOKUP(AO$1,DATA!$A$3:$F$301,2,FALSE)-VLOOKUP($A33,DATA!$A$3:$F$301,2,FALSE))^2+(VLOOKUP(AO$1,DATA!$A$3:$F$301,3,FALSE)-VLOOKUP($A33,DATA!$A$3:$F$301,3,FALSE))^2),"")</f>
        <v>9.2195444572928871</v>
      </c>
      <c r="AP33" s="14" t="str">
        <f>_xlfn.IFNA(SQRT((VLOOKUP(AP$1,DATA!$A$3:$F$301,2,FALSE)-VLOOKUP($A33,DATA!$A$3:$F$301,2,FALSE))^2+(VLOOKUP(AP$1,DATA!$A$3:$F$301,3,FALSE)-VLOOKUP($A33,DATA!$A$3:$F$301,3,FALSE))^2),"")</f>
        <v/>
      </c>
      <c r="AQ33" s="14" t="str">
        <f>_xlfn.IFNA(SQRT((VLOOKUP(AQ$1,DATA!$A$3:$F$301,2,FALSE)-VLOOKUP($A33,DATA!$A$3:$F$301,2,FALSE))^2+(VLOOKUP(AQ$1,DATA!$A$3:$F$301,3,FALSE)-VLOOKUP($A33,DATA!$A$3:$F$301,3,FALSE))^2),"")</f>
        <v/>
      </c>
      <c r="AR33" s="14" t="str">
        <f>_xlfn.IFNA(SQRT((VLOOKUP(AR$1,DATA!$A$3:$F$301,2,FALSE)-VLOOKUP($A33,DATA!$A$3:$F$301,2,FALSE))^2+(VLOOKUP(AR$1,DATA!$A$3:$F$301,3,FALSE)-VLOOKUP($A33,DATA!$A$3:$F$301,3,FALSE))^2),"")</f>
        <v/>
      </c>
      <c r="AS33" s="14" t="str">
        <f>_xlfn.IFNA(SQRT((VLOOKUP(AS$1,DATA!$A$3:$F$301,2,FALSE)-VLOOKUP($A33,DATA!$A$3:$F$301,2,FALSE))^2+(VLOOKUP(AS$1,DATA!$A$3:$F$301,3,FALSE)-VLOOKUP($A33,DATA!$A$3:$F$301,3,FALSE))^2),"")</f>
        <v/>
      </c>
      <c r="AT33" s="14" t="str">
        <f>_xlfn.IFNA(SQRT((VLOOKUP(AT$1,DATA!$A$3:$F$301,2,FALSE)-VLOOKUP($A33,DATA!$A$3:$F$301,2,FALSE))^2+(VLOOKUP(AT$1,DATA!$A$3:$F$301,3,FALSE)-VLOOKUP($A33,DATA!$A$3:$F$301,3,FALSE))^2),"")</f>
        <v/>
      </c>
      <c r="AU33" s="14" t="str">
        <f>_xlfn.IFNA(SQRT((VLOOKUP(AU$1,DATA!$A$3:$F$301,2,FALSE)-VLOOKUP($A33,DATA!$A$3:$F$301,2,FALSE))^2+(VLOOKUP(AU$1,DATA!$A$3:$F$301,3,FALSE)-VLOOKUP($A33,DATA!$A$3:$F$301,3,FALSE))^2),"")</f>
        <v/>
      </c>
      <c r="AV33" s="14" t="str">
        <f>_xlfn.IFNA(SQRT((VLOOKUP(AV$1,DATA!$A$3:$F$301,2,FALSE)-VLOOKUP($A33,DATA!$A$3:$F$301,2,FALSE))^2+(VLOOKUP(AV$1,DATA!$A$3:$F$301,3,FALSE)-VLOOKUP($A33,DATA!$A$3:$F$301,3,FALSE))^2),"")</f>
        <v/>
      </c>
      <c r="AW33" s="14" t="str">
        <f>_xlfn.IFNA(SQRT((VLOOKUP(AW$1,DATA!$A$3:$F$301,2,FALSE)-VLOOKUP($A33,DATA!$A$3:$F$301,2,FALSE))^2+(VLOOKUP(AW$1,DATA!$A$3:$F$301,3,FALSE)-VLOOKUP($A33,DATA!$A$3:$F$301,3,FALSE))^2),"")</f>
        <v/>
      </c>
      <c r="AX33" s="14" t="str">
        <f>_xlfn.IFNA(SQRT((VLOOKUP(AX$1,DATA!$A$3:$F$301,2,FALSE)-VLOOKUP($A33,DATA!$A$3:$F$301,2,FALSE))^2+(VLOOKUP(AX$1,DATA!$A$3:$F$301,3,FALSE)-VLOOKUP($A33,DATA!$A$3:$F$301,3,FALSE))^2),"")</f>
        <v/>
      </c>
      <c r="AY33" s="14" t="str">
        <f>_xlfn.IFNA(SQRT((VLOOKUP(AY$1,DATA!$A$3:$F$301,2,FALSE)-VLOOKUP($A33,DATA!$A$3:$F$301,2,FALSE))^2+(VLOOKUP(AY$1,DATA!$A$3:$F$301,3,FALSE)-VLOOKUP($A33,DATA!$A$3:$F$301,3,FALSE))^2),"")</f>
        <v/>
      </c>
      <c r="AZ33" s="14" t="str">
        <f>_xlfn.IFNA(SQRT((VLOOKUP(AZ$1,DATA!$A$3:$F$301,2,FALSE)-VLOOKUP($A33,DATA!$A$3:$F$301,2,FALSE))^2+(VLOOKUP(AZ$1,DATA!$A$3:$F$301,3,FALSE)-VLOOKUP($A33,DATA!$A$3:$F$301,3,FALSE))^2),"")</f>
        <v/>
      </c>
      <c r="BA33" s="14" t="str">
        <f>_xlfn.IFNA(SQRT((VLOOKUP(BA$1,DATA!$A$3:$F$301,2,FALSE)-VLOOKUP($A33,DATA!$A$3:$F$301,2,FALSE))^2+(VLOOKUP(BA$1,DATA!$A$3:$F$301,3,FALSE)-VLOOKUP($A33,DATA!$A$3:$F$301,3,FALSE))^2),"")</f>
        <v/>
      </c>
      <c r="BB33" s="14" t="str">
        <f>_xlfn.IFNA(SQRT((VLOOKUP(BB$1,DATA!$A$3:$F$301,2,FALSE)-VLOOKUP($A33,DATA!$A$3:$F$301,2,FALSE))^2+(VLOOKUP(BB$1,DATA!$A$3:$F$301,3,FALSE)-VLOOKUP($A33,DATA!$A$3:$F$301,3,FALSE))^2),"")</f>
        <v/>
      </c>
      <c r="BC33" s="14" t="str">
        <f>_xlfn.IFNA(SQRT((VLOOKUP(BC$1,DATA!$A$3:$F$301,2,FALSE)-VLOOKUP($A33,DATA!$A$3:$F$301,2,FALSE))^2+(VLOOKUP(BC$1,DATA!$A$3:$F$301,3,FALSE)-VLOOKUP($A33,DATA!$A$3:$F$301,3,FALSE))^2),"")</f>
        <v/>
      </c>
      <c r="BD33" s="14" t="str">
        <f>_xlfn.IFNA(SQRT((VLOOKUP(BD$1,DATA!$A$3:$F$301,2,FALSE)-VLOOKUP($A33,DATA!$A$3:$F$301,2,FALSE))^2+(VLOOKUP(BD$1,DATA!$A$3:$F$301,3,FALSE)-VLOOKUP($A33,DATA!$A$3:$F$301,3,FALSE))^2),"")</f>
        <v/>
      </c>
      <c r="BE33" s="14" t="str">
        <f>_xlfn.IFNA(SQRT((VLOOKUP(BE$1,DATA!$A$3:$F$301,2,FALSE)-VLOOKUP($A33,DATA!$A$3:$F$301,2,FALSE))^2+(VLOOKUP(BE$1,DATA!$A$3:$F$301,3,FALSE)-VLOOKUP($A33,DATA!$A$3:$F$301,3,FALSE))^2),"")</f>
        <v/>
      </c>
      <c r="BF33" s="14" t="str">
        <f>_xlfn.IFNA(SQRT((VLOOKUP(BF$1,DATA!$A$3:$F$301,2,FALSE)-VLOOKUP($A33,DATA!$A$3:$F$301,2,FALSE))^2+(VLOOKUP(BF$1,DATA!$A$3:$F$301,3,FALSE)-VLOOKUP($A33,DATA!$A$3:$F$301,3,FALSE))^2),"")</f>
        <v/>
      </c>
      <c r="BG33" s="14" t="str">
        <f>_xlfn.IFNA(SQRT((VLOOKUP(BG$1,DATA!$A$3:$F$301,2,FALSE)-VLOOKUP($A33,DATA!$A$3:$F$301,2,FALSE))^2+(VLOOKUP(BG$1,DATA!$A$3:$F$301,3,FALSE)-VLOOKUP($A33,DATA!$A$3:$F$301,3,FALSE))^2),"")</f>
        <v/>
      </c>
      <c r="BH33" s="14" t="str">
        <f>_xlfn.IFNA(SQRT((VLOOKUP(BH$1,DATA!$A$3:$F$301,2,FALSE)-VLOOKUP($A33,DATA!$A$3:$F$301,2,FALSE))^2+(VLOOKUP(BH$1,DATA!$A$3:$F$301,3,FALSE)-VLOOKUP($A33,DATA!$A$3:$F$301,3,FALSE))^2),"")</f>
        <v/>
      </c>
      <c r="BI33" s="14" t="str">
        <f>_xlfn.IFNA(SQRT((VLOOKUP(BI$1,DATA!$A$3:$F$301,2,FALSE)-VLOOKUP($A33,DATA!$A$3:$F$301,2,FALSE))^2+(VLOOKUP(BI$1,DATA!$A$3:$F$301,3,FALSE)-VLOOKUP($A33,DATA!$A$3:$F$301,3,FALSE))^2),"")</f>
        <v/>
      </c>
      <c r="BJ33" s="14" t="str">
        <f>_xlfn.IFNA(SQRT((VLOOKUP(BJ$1,DATA!$A$3:$F$301,2,FALSE)-VLOOKUP($A33,DATA!$A$3:$F$301,2,FALSE))^2+(VLOOKUP(BJ$1,DATA!$A$3:$F$301,3,FALSE)-VLOOKUP($A33,DATA!$A$3:$F$301,3,FALSE))^2),"")</f>
        <v/>
      </c>
      <c r="BK33" s="14" t="str">
        <f>_xlfn.IFNA(SQRT((VLOOKUP(BK$1,DATA!$A$3:$F$301,2,FALSE)-VLOOKUP($A33,DATA!$A$3:$F$301,2,FALSE))^2+(VLOOKUP(BK$1,DATA!$A$3:$F$301,3,FALSE)-VLOOKUP($A33,DATA!$A$3:$F$301,3,FALSE))^2),"")</f>
        <v/>
      </c>
      <c r="BL33" s="14" t="str">
        <f>_xlfn.IFNA(SQRT((VLOOKUP(BL$1,DATA!$A$3:$F$301,2,FALSE)-VLOOKUP($A33,DATA!$A$3:$F$301,2,FALSE))^2+(VLOOKUP(BL$1,DATA!$A$3:$F$301,3,FALSE)-VLOOKUP($A33,DATA!$A$3:$F$301,3,FALSE))^2),"")</f>
        <v/>
      </c>
      <c r="BM33" s="14" t="str">
        <f>_xlfn.IFNA(SQRT((VLOOKUP(BM$1,DATA!$A$3:$F$301,2,FALSE)-VLOOKUP($A33,DATA!$A$3:$F$301,2,FALSE))^2+(VLOOKUP(BM$1,DATA!$A$3:$F$301,3,FALSE)-VLOOKUP($A33,DATA!$A$3:$F$301,3,FALSE))^2),"")</f>
        <v/>
      </c>
      <c r="BN33" s="14" t="str">
        <f>_xlfn.IFNA(SQRT((VLOOKUP(BN$1,DATA!$A$3:$F$301,2,FALSE)-VLOOKUP($A33,DATA!$A$3:$F$301,2,FALSE))^2+(VLOOKUP(BN$1,DATA!$A$3:$F$301,3,FALSE)-VLOOKUP($A33,DATA!$A$3:$F$301,3,FALSE))^2),"")</f>
        <v/>
      </c>
      <c r="BO33" s="14" t="str">
        <f>_xlfn.IFNA(SQRT((VLOOKUP(BO$1,DATA!$A$3:$F$301,2,FALSE)-VLOOKUP($A33,DATA!$A$3:$F$301,2,FALSE))^2+(VLOOKUP(BO$1,DATA!$A$3:$F$301,3,FALSE)-VLOOKUP($A33,DATA!$A$3:$F$301,3,FALSE))^2),"")</f>
        <v/>
      </c>
      <c r="BP33" s="14" t="str">
        <f>_xlfn.IFNA(SQRT((VLOOKUP(BP$1,DATA!$A$3:$F$301,2,FALSE)-VLOOKUP($A33,DATA!$A$3:$F$301,2,FALSE))^2+(VLOOKUP(BP$1,DATA!$A$3:$F$301,3,FALSE)-VLOOKUP($A33,DATA!$A$3:$F$301,3,FALSE))^2),"")</f>
        <v/>
      </c>
      <c r="BQ33" s="14" t="str">
        <f>_xlfn.IFNA(SQRT((VLOOKUP(BQ$1,DATA!$A$3:$F$301,2,FALSE)-VLOOKUP($A33,DATA!$A$3:$F$301,2,FALSE))^2+(VLOOKUP(BQ$1,DATA!$A$3:$F$301,3,FALSE)-VLOOKUP($A33,DATA!$A$3:$F$301,3,FALSE))^2),"")</f>
        <v/>
      </c>
      <c r="BR33" s="14" t="str">
        <f>_xlfn.IFNA(SQRT((VLOOKUP(BR$1,DATA!$A$3:$F$301,2,FALSE)-VLOOKUP($A33,DATA!$A$3:$F$301,2,FALSE))^2+(VLOOKUP(BR$1,DATA!$A$3:$F$301,3,FALSE)-VLOOKUP($A33,DATA!$A$3:$F$301,3,FALSE))^2),"")</f>
        <v/>
      </c>
      <c r="BS33" s="14" t="str">
        <f>_xlfn.IFNA(SQRT((VLOOKUP(BS$1,DATA!$A$3:$F$301,2,FALSE)-VLOOKUP($A33,DATA!$A$3:$F$301,2,FALSE))^2+(VLOOKUP(BS$1,DATA!$A$3:$F$301,3,FALSE)-VLOOKUP($A33,DATA!$A$3:$F$301,3,FALSE))^2),"")</f>
        <v/>
      </c>
      <c r="BT33" s="14" t="str">
        <f>_xlfn.IFNA(SQRT((VLOOKUP(BT$1,DATA!$A$3:$F$301,2,FALSE)-VLOOKUP($A33,DATA!$A$3:$F$301,2,FALSE))^2+(VLOOKUP(BT$1,DATA!$A$3:$F$301,3,FALSE)-VLOOKUP($A33,DATA!$A$3:$F$301,3,FALSE))^2),"")</f>
        <v/>
      </c>
      <c r="BU33" s="14" t="str">
        <f>_xlfn.IFNA(SQRT((VLOOKUP(BU$1,DATA!$A$3:$F$301,2,FALSE)-VLOOKUP($A33,DATA!$A$3:$F$301,2,FALSE))^2+(VLOOKUP(BU$1,DATA!$A$3:$F$301,3,FALSE)-VLOOKUP($A33,DATA!$A$3:$F$301,3,FALSE))^2),"")</f>
        <v/>
      </c>
      <c r="BV33" s="14" t="str">
        <f>_xlfn.IFNA(SQRT((VLOOKUP(BV$1,DATA!$A$3:$F$301,2,FALSE)-VLOOKUP($A33,DATA!$A$3:$F$301,2,FALSE))^2+(VLOOKUP(BV$1,DATA!$A$3:$F$301,3,FALSE)-VLOOKUP($A33,DATA!$A$3:$F$301,3,FALSE))^2),"")</f>
        <v/>
      </c>
      <c r="BW33" s="14" t="str">
        <f>_xlfn.IFNA(SQRT((VLOOKUP(BW$1,DATA!$A$3:$F$301,2,FALSE)-VLOOKUP($A33,DATA!$A$3:$F$301,2,FALSE))^2+(VLOOKUP(BW$1,DATA!$A$3:$F$301,3,FALSE)-VLOOKUP($A33,DATA!$A$3:$F$301,3,FALSE))^2),"")</f>
        <v/>
      </c>
      <c r="BX33" s="14" t="str">
        <f>_xlfn.IFNA(SQRT((VLOOKUP(BX$1,DATA!$A$3:$F$301,2,FALSE)-VLOOKUP($A33,DATA!$A$3:$F$301,2,FALSE))^2+(VLOOKUP(BX$1,DATA!$A$3:$F$301,3,FALSE)-VLOOKUP($A33,DATA!$A$3:$F$301,3,FALSE))^2),"")</f>
        <v/>
      </c>
      <c r="BY33" s="14" t="str">
        <f>_xlfn.IFNA(SQRT((VLOOKUP(BY$1,DATA!$A$3:$F$301,2,FALSE)-VLOOKUP($A33,DATA!$A$3:$F$301,2,FALSE))^2+(VLOOKUP(BY$1,DATA!$A$3:$F$301,3,FALSE)-VLOOKUP($A33,DATA!$A$3:$F$301,3,FALSE))^2),"")</f>
        <v/>
      </c>
      <c r="BZ33" s="14" t="str">
        <f>_xlfn.IFNA(SQRT((VLOOKUP(BZ$1,DATA!$A$3:$F$301,2,FALSE)-VLOOKUP($A33,DATA!$A$3:$F$301,2,FALSE))^2+(VLOOKUP(BZ$1,DATA!$A$3:$F$301,3,FALSE)-VLOOKUP($A33,DATA!$A$3:$F$301,3,FALSE))^2),"")</f>
        <v/>
      </c>
      <c r="CA33" s="14" t="str">
        <f>_xlfn.IFNA(SQRT((VLOOKUP(CA$1,DATA!$A$3:$F$301,2,FALSE)-VLOOKUP($A33,DATA!$A$3:$F$301,2,FALSE))^2+(VLOOKUP(CA$1,DATA!$A$3:$F$301,3,FALSE)-VLOOKUP($A33,DATA!$A$3:$F$301,3,FALSE))^2),"")</f>
        <v/>
      </c>
      <c r="CB33" s="14" t="str">
        <f>_xlfn.IFNA(SQRT((VLOOKUP(CB$1,DATA!$A$3:$F$301,2,FALSE)-VLOOKUP($A33,DATA!$A$3:$F$301,2,FALSE))^2+(VLOOKUP(CB$1,DATA!$A$3:$F$301,3,FALSE)-VLOOKUP($A33,DATA!$A$3:$F$301,3,FALSE))^2),"")</f>
        <v/>
      </c>
      <c r="CC33" s="14" t="str">
        <f>_xlfn.IFNA(SQRT((VLOOKUP(CC$1,DATA!$A$3:$F$301,2,FALSE)-VLOOKUP($A33,DATA!$A$3:$F$301,2,FALSE))^2+(VLOOKUP(CC$1,DATA!$A$3:$F$301,3,FALSE)-VLOOKUP($A33,DATA!$A$3:$F$301,3,FALSE))^2),"")</f>
        <v/>
      </c>
      <c r="CD33" s="14" t="str">
        <f>_xlfn.IFNA(SQRT((VLOOKUP(CD$1,DATA!$A$3:$F$301,2,FALSE)-VLOOKUP($A33,DATA!$A$3:$F$301,2,FALSE))^2+(VLOOKUP(CD$1,DATA!$A$3:$F$301,3,FALSE)-VLOOKUP($A33,DATA!$A$3:$F$301,3,FALSE))^2),"")</f>
        <v/>
      </c>
      <c r="CE33" s="14" t="str">
        <f>_xlfn.IFNA(SQRT((VLOOKUP(CE$1,DATA!$A$3:$F$301,2,FALSE)-VLOOKUP($A33,DATA!$A$3:$F$301,2,FALSE))^2+(VLOOKUP(CE$1,DATA!$A$3:$F$301,3,FALSE)-VLOOKUP($A33,DATA!$A$3:$F$301,3,FALSE))^2),"")</f>
        <v/>
      </c>
      <c r="CF33" s="14" t="str">
        <f>_xlfn.IFNA(SQRT((VLOOKUP(CF$1,DATA!$A$3:$F$301,2,FALSE)-VLOOKUP($A33,DATA!$A$3:$F$301,2,FALSE))^2+(VLOOKUP(CF$1,DATA!$A$3:$F$301,3,FALSE)-VLOOKUP($A33,DATA!$A$3:$F$301,3,FALSE))^2),"")</f>
        <v/>
      </c>
      <c r="CG33" s="14" t="str">
        <f>_xlfn.IFNA(SQRT((VLOOKUP(CG$1,DATA!$A$3:$F$301,2,FALSE)-VLOOKUP($A33,DATA!$A$3:$F$301,2,FALSE))^2+(VLOOKUP(CG$1,DATA!$A$3:$F$301,3,FALSE)-VLOOKUP($A33,DATA!$A$3:$F$301,3,FALSE))^2),"")</f>
        <v/>
      </c>
      <c r="CH33" s="14" t="str">
        <f>_xlfn.IFNA(SQRT((VLOOKUP(CH$1,DATA!$A$3:$F$301,2,FALSE)-VLOOKUP($A33,DATA!$A$3:$F$301,2,FALSE))^2+(VLOOKUP(CH$1,DATA!$A$3:$F$301,3,FALSE)-VLOOKUP($A33,DATA!$A$3:$F$301,3,FALSE))^2),"")</f>
        <v/>
      </c>
      <c r="CI33" s="14" t="str">
        <f>_xlfn.IFNA(SQRT((VLOOKUP(CI$1,DATA!$A$3:$F$301,2,FALSE)-VLOOKUP($A33,DATA!$A$3:$F$301,2,FALSE))^2+(VLOOKUP(CI$1,DATA!$A$3:$F$301,3,FALSE)-VLOOKUP($A33,DATA!$A$3:$F$301,3,FALSE))^2),"")</f>
        <v/>
      </c>
      <c r="CJ33" s="14" t="str">
        <f>_xlfn.IFNA(SQRT((VLOOKUP(CJ$1,DATA!$A$3:$F$301,2,FALSE)-VLOOKUP($A33,DATA!$A$3:$F$301,2,FALSE))^2+(VLOOKUP(CJ$1,DATA!$A$3:$F$301,3,FALSE)-VLOOKUP($A33,DATA!$A$3:$F$301,3,FALSE))^2),"")</f>
        <v/>
      </c>
      <c r="CK33" s="14" t="str">
        <f>_xlfn.IFNA(SQRT((VLOOKUP(CK$1,DATA!$A$3:$F$301,2,FALSE)-VLOOKUP($A33,DATA!$A$3:$F$301,2,FALSE))^2+(VLOOKUP(CK$1,DATA!$A$3:$F$301,3,FALSE)-VLOOKUP($A33,DATA!$A$3:$F$301,3,FALSE))^2),"")</f>
        <v/>
      </c>
      <c r="CL33" s="14" t="str">
        <f>_xlfn.IFNA(SQRT((VLOOKUP(CL$1,DATA!$A$3:$F$301,2,FALSE)-VLOOKUP($A33,DATA!$A$3:$F$301,2,FALSE))^2+(VLOOKUP(CL$1,DATA!$A$3:$F$301,3,FALSE)-VLOOKUP($A33,DATA!$A$3:$F$301,3,FALSE))^2),"")</f>
        <v/>
      </c>
      <c r="CM33" s="14" t="str">
        <f>_xlfn.IFNA(SQRT((VLOOKUP(CM$1,DATA!$A$3:$F$301,2,FALSE)-VLOOKUP($A33,DATA!$A$3:$F$301,2,FALSE))^2+(VLOOKUP(CM$1,DATA!$A$3:$F$301,3,FALSE)-VLOOKUP($A33,DATA!$A$3:$F$301,3,FALSE))^2),"")</f>
        <v/>
      </c>
      <c r="CN33" s="14" t="str">
        <f>_xlfn.IFNA(SQRT((VLOOKUP(CN$1,DATA!$A$3:$F$301,2,FALSE)-VLOOKUP($A33,DATA!$A$3:$F$301,2,FALSE))^2+(VLOOKUP(CN$1,DATA!$A$3:$F$301,3,FALSE)-VLOOKUP($A33,DATA!$A$3:$F$301,3,FALSE))^2),"")</f>
        <v/>
      </c>
      <c r="CO33" s="14" t="str">
        <f>_xlfn.IFNA(SQRT((VLOOKUP(CO$1,DATA!$A$3:$F$301,2,FALSE)-VLOOKUP($A33,DATA!$A$3:$F$301,2,FALSE))^2+(VLOOKUP(CO$1,DATA!$A$3:$F$301,3,FALSE)-VLOOKUP($A33,DATA!$A$3:$F$301,3,FALSE))^2),"")</f>
        <v/>
      </c>
      <c r="CP33" s="14" t="str">
        <f>_xlfn.IFNA(SQRT((VLOOKUP(CP$1,DATA!$A$3:$F$301,2,FALSE)-VLOOKUP($A33,DATA!$A$3:$F$301,2,FALSE))^2+(VLOOKUP(CP$1,DATA!$A$3:$F$301,3,FALSE)-VLOOKUP($A33,DATA!$A$3:$F$301,3,FALSE))^2),"")</f>
        <v/>
      </c>
      <c r="CQ33" s="14" t="str">
        <f>_xlfn.IFNA(SQRT((VLOOKUP(CQ$1,DATA!$A$3:$F$301,2,FALSE)-VLOOKUP($A33,DATA!$A$3:$F$301,2,FALSE))^2+(VLOOKUP(CQ$1,DATA!$A$3:$F$301,3,FALSE)-VLOOKUP($A33,DATA!$A$3:$F$301,3,FALSE))^2),"")</f>
        <v/>
      </c>
      <c r="CR33" s="14" t="str">
        <f>_xlfn.IFNA(SQRT((VLOOKUP(CR$1,DATA!$A$3:$F$301,2,FALSE)-VLOOKUP($A33,DATA!$A$3:$F$301,2,FALSE))^2+(VLOOKUP(CR$1,DATA!$A$3:$F$301,3,FALSE)-VLOOKUP($A33,DATA!$A$3:$F$301,3,FALSE))^2),"")</f>
        <v/>
      </c>
      <c r="CS33" s="14" t="str">
        <f>_xlfn.IFNA(SQRT((VLOOKUP(CS$1,DATA!$A$3:$F$301,2,FALSE)-VLOOKUP($A33,DATA!$A$3:$F$301,2,FALSE))^2+(VLOOKUP(CS$1,DATA!$A$3:$F$301,3,FALSE)-VLOOKUP($A33,DATA!$A$3:$F$301,3,FALSE))^2),"")</f>
        <v/>
      </c>
      <c r="CT33" s="14" t="str">
        <f>_xlfn.IFNA(SQRT((VLOOKUP(CT$1,DATA!$A$3:$F$301,2,FALSE)-VLOOKUP($A33,DATA!$A$3:$F$301,2,FALSE))^2+(VLOOKUP(CT$1,DATA!$A$3:$F$301,3,FALSE)-VLOOKUP($A33,DATA!$A$3:$F$301,3,FALSE))^2),"")</f>
        <v/>
      </c>
      <c r="CU33" s="14" t="str">
        <f>_xlfn.IFNA(SQRT((VLOOKUP(CU$1,DATA!$A$3:$F$301,2,FALSE)-VLOOKUP($A33,DATA!$A$3:$F$301,2,FALSE))^2+(VLOOKUP(CU$1,DATA!$A$3:$F$301,3,FALSE)-VLOOKUP($A33,DATA!$A$3:$F$301,3,FALSE))^2),"")</f>
        <v/>
      </c>
      <c r="CV33" s="14" t="str">
        <f>_xlfn.IFNA(SQRT((VLOOKUP(CV$1,DATA!$A$3:$F$301,2,FALSE)-VLOOKUP($A33,DATA!$A$3:$F$301,2,FALSE))^2+(VLOOKUP(CV$1,DATA!$A$3:$F$301,3,FALSE)-VLOOKUP($A33,DATA!$A$3:$F$301,3,FALSE))^2),"")</f>
        <v/>
      </c>
      <c r="CW33" s="14" t="str">
        <f>_xlfn.IFNA(SQRT((VLOOKUP(CW$1,DATA!$A$3:$F$301,2,FALSE)-VLOOKUP($A33,DATA!$A$3:$F$301,2,FALSE))^2+(VLOOKUP(CW$1,DATA!$A$3:$F$301,3,FALSE)-VLOOKUP($A33,DATA!$A$3:$F$301,3,FALSE))^2),"")</f>
        <v/>
      </c>
      <c r="CX33" s="14" t="str">
        <f>_xlfn.IFNA(SQRT((VLOOKUP(CX$1,DATA!$A$3:$F$301,2,FALSE)-VLOOKUP($A33,DATA!$A$3:$F$301,2,FALSE))^2+(VLOOKUP(CX$1,DATA!$A$3:$F$301,3,FALSE)-VLOOKUP($A33,DATA!$A$3:$F$301,3,FALSE))^2),"")</f>
        <v/>
      </c>
    </row>
    <row r="34" spans="1:102">
      <c r="A34" s="13">
        <v>33</v>
      </c>
      <c r="B34" s="14">
        <f>_xlfn.IFNA(SQRT((VLOOKUP(B$1,DATA!$A$3:$F$301,2,FALSE)-VLOOKUP($A34,DATA!$A$3:$F$301,2,FALSE))^2+(VLOOKUP(B$1,DATA!$A$3:$F$301,3,FALSE)-VLOOKUP($A34,DATA!$A$3:$F$301,3,FALSE))^2),"")</f>
        <v>15.811388300841896</v>
      </c>
      <c r="C34" s="14">
        <f>_xlfn.IFNA(SQRT((VLOOKUP(C$1,DATA!$A$3:$F$301,2,FALSE)-VLOOKUP($A34,DATA!$A$3:$F$301,2,FALSE))^2+(VLOOKUP(C$1,DATA!$A$3:$F$301,3,FALSE)-VLOOKUP($A34,DATA!$A$3:$F$301,3,FALSE))^2),"")</f>
        <v>19.697715603592208</v>
      </c>
      <c r="D34" s="14">
        <f>_xlfn.IFNA(SQRT((VLOOKUP(D$1,DATA!$A$3:$F$301,2,FALSE)-VLOOKUP($A34,DATA!$A$3:$F$301,2,FALSE))^2+(VLOOKUP(D$1,DATA!$A$3:$F$301,3,FALSE)-VLOOKUP($A34,DATA!$A$3:$F$301,3,FALSE))^2),"")</f>
        <v>24.698178070456937</v>
      </c>
      <c r="E34" s="14">
        <f>_xlfn.IFNA(SQRT((VLOOKUP(E$1,DATA!$A$3:$F$301,2,FALSE)-VLOOKUP($A34,DATA!$A$3:$F$301,2,FALSE))^2+(VLOOKUP(E$1,DATA!$A$3:$F$301,3,FALSE)-VLOOKUP($A34,DATA!$A$3:$F$301,3,FALSE))^2),"")</f>
        <v>16.643316977093239</v>
      </c>
      <c r="F34" s="14">
        <f>_xlfn.IFNA(SQRT((VLOOKUP(F$1,DATA!$A$3:$F$301,2,FALSE)-VLOOKUP($A34,DATA!$A$3:$F$301,2,FALSE))^2+(VLOOKUP(F$1,DATA!$A$3:$F$301,3,FALSE)-VLOOKUP($A34,DATA!$A$3:$F$301,3,FALSE))^2),"")</f>
        <v>26.627053911388696</v>
      </c>
      <c r="G34" s="14">
        <f>_xlfn.IFNA(SQRT((VLOOKUP(G$1,DATA!$A$3:$F$301,2,FALSE)-VLOOKUP($A34,DATA!$A$3:$F$301,2,FALSE))^2+(VLOOKUP(G$1,DATA!$A$3:$F$301,3,FALSE)-VLOOKUP($A34,DATA!$A$3:$F$301,3,FALSE))^2),"")</f>
        <v>8</v>
      </c>
      <c r="H34" s="14">
        <f>_xlfn.IFNA(SQRT((VLOOKUP(H$1,DATA!$A$3:$F$301,2,FALSE)-VLOOKUP($A34,DATA!$A$3:$F$301,2,FALSE))^2+(VLOOKUP(H$1,DATA!$A$3:$F$301,3,FALSE)-VLOOKUP($A34,DATA!$A$3:$F$301,3,FALSE))^2),"")</f>
        <v>19.723082923316021</v>
      </c>
      <c r="I34" s="14">
        <f>_xlfn.IFNA(SQRT((VLOOKUP(I$1,DATA!$A$3:$F$301,2,FALSE)-VLOOKUP($A34,DATA!$A$3:$F$301,2,FALSE))^2+(VLOOKUP(I$1,DATA!$A$3:$F$301,3,FALSE)-VLOOKUP($A34,DATA!$A$3:$F$301,3,FALSE))^2),"")</f>
        <v>18.384776310850235</v>
      </c>
      <c r="J34" s="14">
        <f>_xlfn.IFNA(SQRT((VLOOKUP(J$1,DATA!$A$3:$F$301,2,FALSE)-VLOOKUP($A34,DATA!$A$3:$F$301,2,FALSE))^2+(VLOOKUP(J$1,DATA!$A$3:$F$301,3,FALSE)-VLOOKUP($A34,DATA!$A$3:$F$301,3,FALSE))^2),"")</f>
        <v>4.1231056256176606</v>
      </c>
      <c r="K34" s="14">
        <f>_xlfn.IFNA(SQRT((VLOOKUP(K$1,DATA!$A$3:$F$301,2,FALSE)-VLOOKUP($A34,DATA!$A$3:$F$301,2,FALSE))^2+(VLOOKUP(K$1,DATA!$A$3:$F$301,3,FALSE)-VLOOKUP($A34,DATA!$A$3:$F$301,3,FALSE))^2),"")</f>
        <v>28.284271247461902</v>
      </c>
      <c r="L34" s="14">
        <f>_xlfn.IFNA(SQRT((VLOOKUP(L$1,DATA!$A$3:$F$301,2,FALSE)-VLOOKUP($A34,DATA!$A$3:$F$301,2,FALSE))^2+(VLOOKUP(L$1,DATA!$A$3:$F$301,3,FALSE)-VLOOKUP($A34,DATA!$A$3:$F$301,3,FALSE))^2),"")</f>
        <v>15.231546211727817</v>
      </c>
      <c r="M34" s="14">
        <f>_xlfn.IFNA(SQRT((VLOOKUP(M$1,DATA!$A$3:$F$301,2,FALSE)-VLOOKUP($A34,DATA!$A$3:$F$301,2,FALSE))^2+(VLOOKUP(M$1,DATA!$A$3:$F$301,3,FALSE)-VLOOKUP($A34,DATA!$A$3:$F$301,3,FALSE))^2),"")</f>
        <v>11.401754250991379</v>
      </c>
      <c r="N34" s="14">
        <f>_xlfn.IFNA(SQRT((VLOOKUP(N$1,DATA!$A$3:$F$301,2,FALSE)-VLOOKUP($A34,DATA!$A$3:$F$301,2,FALSE))^2+(VLOOKUP(N$1,DATA!$A$3:$F$301,3,FALSE)-VLOOKUP($A34,DATA!$A$3:$F$301,3,FALSE))^2),"")</f>
        <v>10.63014581273465</v>
      </c>
      <c r="O34" s="14">
        <f>_xlfn.IFNA(SQRT((VLOOKUP(O$1,DATA!$A$3:$F$301,2,FALSE)-VLOOKUP($A34,DATA!$A$3:$F$301,2,FALSE))^2+(VLOOKUP(O$1,DATA!$A$3:$F$301,3,FALSE)-VLOOKUP($A34,DATA!$A$3:$F$301,3,FALSE))^2),"")</f>
        <v>32.557641192199412</v>
      </c>
      <c r="P34" s="14">
        <f>_xlfn.IFNA(SQRT((VLOOKUP(P$1,DATA!$A$3:$F$301,2,FALSE)-VLOOKUP($A34,DATA!$A$3:$F$301,2,FALSE))^2+(VLOOKUP(P$1,DATA!$A$3:$F$301,3,FALSE)-VLOOKUP($A34,DATA!$A$3:$F$301,3,FALSE))^2),"")</f>
        <v>27.018512172212592</v>
      </c>
      <c r="Q34" s="14">
        <f>_xlfn.IFNA(SQRT((VLOOKUP(Q$1,DATA!$A$3:$F$301,2,FALSE)-VLOOKUP($A34,DATA!$A$3:$F$301,2,FALSE))^2+(VLOOKUP(Q$1,DATA!$A$3:$F$301,3,FALSE)-VLOOKUP($A34,DATA!$A$3:$F$301,3,FALSE))^2),"")</f>
        <v>10</v>
      </c>
      <c r="R34" s="14">
        <f>_xlfn.IFNA(SQRT((VLOOKUP(R$1,DATA!$A$3:$F$301,2,FALSE)-VLOOKUP($A34,DATA!$A$3:$F$301,2,FALSE))^2+(VLOOKUP(R$1,DATA!$A$3:$F$301,3,FALSE)-VLOOKUP($A34,DATA!$A$3:$F$301,3,FALSE))^2),"")</f>
        <v>23.769728648009426</v>
      </c>
      <c r="S34" s="14">
        <f>_xlfn.IFNA(SQRT((VLOOKUP(S$1,DATA!$A$3:$F$301,2,FALSE)-VLOOKUP($A34,DATA!$A$3:$F$301,2,FALSE))^2+(VLOOKUP(S$1,DATA!$A$3:$F$301,3,FALSE)-VLOOKUP($A34,DATA!$A$3:$F$301,3,FALSE))^2),"")</f>
        <v>6.4031242374328485</v>
      </c>
      <c r="T34" s="14">
        <f>_xlfn.IFNA(SQRT((VLOOKUP(T$1,DATA!$A$3:$F$301,2,FALSE)-VLOOKUP($A34,DATA!$A$3:$F$301,2,FALSE))^2+(VLOOKUP(T$1,DATA!$A$3:$F$301,3,FALSE)-VLOOKUP($A34,DATA!$A$3:$F$301,3,FALSE))^2),"")</f>
        <v>25.238858928247925</v>
      </c>
      <c r="U34" s="14">
        <f>_xlfn.IFNA(SQRT((VLOOKUP(U$1,DATA!$A$3:$F$301,2,FALSE)-VLOOKUP($A34,DATA!$A$3:$F$301,2,FALSE))^2+(VLOOKUP(U$1,DATA!$A$3:$F$301,3,FALSE)-VLOOKUP($A34,DATA!$A$3:$F$301,3,FALSE))^2),"")</f>
        <v>18.027756377319946</v>
      </c>
      <c r="V34" s="14">
        <f>_xlfn.IFNA(SQRT((VLOOKUP(V$1,DATA!$A$3:$F$301,2,FALSE)-VLOOKUP($A34,DATA!$A$3:$F$301,2,FALSE))^2+(VLOOKUP(V$1,DATA!$A$3:$F$301,3,FALSE)-VLOOKUP($A34,DATA!$A$3:$F$301,3,FALSE))^2),"")</f>
        <v>12.806248474865697</v>
      </c>
      <c r="W34" s="14">
        <f>_xlfn.IFNA(SQRT((VLOOKUP(W$1,DATA!$A$3:$F$301,2,FALSE)-VLOOKUP($A34,DATA!$A$3:$F$301,2,FALSE))^2+(VLOOKUP(W$1,DATA!$A$3:$F$301,3,FALSE)-VLOOKUP($A34,DATA!$A$3:$F$301,3,FALSE))^2),"")</f>
        <v>20.518284528683193</v>
      </c>
      <c r="X34" s="14">
        <f>_xlfn.IFNA(SQRT((VLOOKUP(X$1,DATA!$A$3:$F$301,2,FALSE)-VLOOKUP($A34,DATA!$A$3:$F$301,2,FALSE))^2+(VLOOKUP(X$1,DATA!$A$3:$F$301,3,FALSE)-VLOOKUP($A34,DATA!$A$3:$F$301,3,FALSE))^2),"")</f>
        <v>25.612496949731394</v>
      </c>
      <c r="Y34" s="14">
        <f>_xlfn.IFNA(SQRT((VLOOKUP(Y$1,DATA!$A$3:$F$301,2,FALSE)-VLOOKUP($A34,DATA!$A$3:$F$301,2,FALSE))^2+(VLOOKUP(Y$1,DATA!$A$3:$F$301,3,FALSE)-VLOOKUP($A34,DATA!$A$3:$F$301,3,FALSE))^2),"")</f>
        <v>16.970562748477139</v>
      </c>
      <c r="Z34" s="14">
        <f>_xlfn.IFNA(SQRT((VLOOKUP(Z$1,DATA!$A$3:$F$301,2,FALSE)-VLOOKUP($A34,DATA!$A$3:$F$301,2,FALSE))^2+(VLOOKUP(Z$1,DATA!$A$3:$F$301,3,FALSE)-VLOOKUP($A34,DATA!$A$3:$F$301,3,FALSE))^2),"")</f>
        <v>24.331050121192877</v>
      </c>
      <c r="AA34" s="14">
        <f>_xlfn.IFNA(SQRT((VLOOKUP(AA$1,DATA!$A$3:$F$301,2,FALSE)-VLOOKUP($A34,DATA!$A$3:$F$301,2,FALSE))^2+(VLOOKUP(AA$1,DATA!$A$3:$F$301,3,FALSE)-VLOOKUP($A34,DATA!$A$3:$F$301,3,FALSE))^2),"")</f>
        <v>13.152946437965905</v>
      </c>
      <c r="AB34" s="14">
        <f>_xlfn.IFNA(SQRT((VLOOKUP(AB$1,DATA!$A$3:$F$301,2,FALSE)-VLOOKUP($A34,DATA!$A$3:$F$301,2,FALSE))^2+(VLOOKUP(AB$1,DATA!$A$3:$F$301,3,FALSE)-VLOOKUP($A34,DATA!$A$3:$F$301,3,FALSE))^2),"")</f>
        <v>27.459060435491963</v>
      </c>
      <c r="AC34" s="14">
        <f>_xlfn.IFNA(SQRT((VLOOKUP(AC$1,DATA!$A$3:$F$301,2,FALSE)-VLOOKUP($A34,DATA!$A$3:$F$301,2,FALSE))^2+(VLOOKUP(AC$1,DATA!$A$3:$F$301,3,FALSE)-VLOOKUP($A34,DATA!$A$3:$F$301,3,FALSE))^2),"")</f>
        <v>18.384776310850235</v>
      </c>
      <c r="AD34" s="14">
        <f>_xlfn.IFNA(SQRT((VLOOKUP(AD$1,DATA!$A$3:$F$301,2,FALSE)-VLOOKUP($A34,DATA!$A$3:$F$301,2,FALSE))^2+(VLOOKUP(AD$1,DATA!$A$3:$F$301,3,FALSE)-VLOOKUP($A34,DATA!$A$3:$F$301,3,FALSE))^2),"")</f>
        <v>26.172504656604801</v>
      </c>
      <c r="AE34" s="14">
        <f>_xlfn.IFNA(SQRT((VLOOKUP(AE$1,DATA!$A$3:$F$301,2,FALSE)-VLOOKUP($A34,DATA!$A$3:$F$301,2,FALSE))^2+(VLOOKUP(AE$1,DATA!$A$3:$F$301,3,FALSE)-VLOOKUP($A34,DATA!$A$3:$F$301,3,FALSE))^2),"")</f>
        <v>31.384709652950431</v>
      </c>
      <c r="AF34" s="14">
        <f>_xlfn.IFNA(SQRT((VLOOKUP(AF$1,DATA!$A$3:$F$301,2,FALSE)-VLOOKUP($A34,DATA!$A$3:$F$301,2,FALSE))^2+(VLOOKUP(AF$1,DATA!$A$3:$F$301,3,FALSE)-VLOOKUP($A34,DATA!$A$3:$F$301,3,FALSE))^2),"")</f>
        <v>19.313207915827967</v>
      </c>
      <c r="AG34" s="14">
        <f>_xlfn.IFNA(SQRT((VLOOKUP(AG$1,DATA!$A$3:$F$301,2,FALSE)-VLOOKUP($A34,DATA!$A$3:$F$301,2,FALSE))^2+(VLOOKUP(AG$1,DATA!$A$3:$F$301,3,FALSE)-VLOOKUP($A34,DATA!$A$3:$F$301,3,FALSE))^2),"")</f>
        <v>17.029386365926403</v>
      </c>
      <c r="AH34" s="14">
        <f>_xlfn.IFNA(SQRT((VLOOKUP(AH$1,DATA!$A$3:$F$301,2,FALSE)-VLOOKUP($A34,DATA!$A$3:$F$301,2,FALSE))^2+(VLOOKUP(AH$1,DATA!$A$3:$F$301,3,FALSE)-VLOOKUP($A34,DATA!$A$3:$F$301,3,FALSE))^2),"")</f>
        <v>0</v>
      </c>
      <c r="AI34" s="14">
        <f>_xlfn.IFNA(SQRT((VLOOKUP(AI$1,DATA!$A$3:$F$301,2,FALSE)-VLOOKUP($A34,DATA!$A$3:$F$301,2,FALSE))^2+(VLOOKUP(AI$1,DATA!$A$3:$F$301,3,FALSE)-VLOOKUP($A34,DATA!$A$3:$F$301,3,FALSE))^2),"")</f>
        <v>23.194827009486403</v>
      </c>
      <c r="AJ34" s="14">
        <f>_xlfn.IFNA(SQRT((VLOOKUP(AJ$1,DATA!$A$3:$F$301,2,FALSE)-VLOOKUP($A34,DATA!$A$3:$F$301,2,FALSE))^2+(VLOOKUP(AJ$1,DATA!$A$3:$F$301,3,FALSE)-VLOOKUP($A34,DATA!$A$3:$F$301,3,FALSE))^2),"")</f>
        <v>17.262676501632068</v>
      </c>
      <c r="AK34" s="14">
        <f>_xlfn.IFNA(SQRT((VLOOKUP(AK$1,DATA!$A$3:$F$301,2,FALSE)-VLOOKUP($A34,DATA!$A$3:$F$301,2,FALSE))^2+(VLOOKUP(AK$1,DATA!$A$3:$F$301,3,FALSE)-VLOOKUP($A34,DATA!$A$3:$F$301,3,FALSE))^2),"")</f>
        <v>8.4852813742385695</v>
      </c>
      <c r="AL34" s="14">
        <f>_xlfn.IFNA(SQRT((VLOOKUP(AL$1,DATA!$A$3:$F$301,2,FALSE)-VLOOKUP($A34,DATA!$A$3:$F$301,2,FALSE))^2+(VLOOKUP(AL$1,DATA!$A$3:$F$301,3,FALSE)-VLOOKUP($A34,DATA!$A$3:$F$301,3,FALSE))^2),"")</f>
        <v>24.698178070456937</v>
      </c>
      <c r="AM34" s="14">
        <f>_xlfn.IFNA(SQRT((VLOOKUP(AM$1,DATA!$A$3:$F$301,2,FALSE)-VLOOKUP($A34,DATA!$A$3:$F$301,2,FALSE))^2+(VLOOKUP(AM$1,DATA!$A$3:$F$301,3,FALSE)-VLOOKUP($A34,DATA!$A$3:$F$301,3,FALSE))^2),"")</f>
        <v>16.763054614240211</v>
      </c>
      <c r="AN34" s="14">
        <f>_xlfn.IFNA(SQRT((VLOOKUP(AN$1,DATA!$A$3:$F$301,2,FALSE)-VLOOKUP($A34,DATA!$A$3:$F$301,2,FALSE))^2+(VLOOKUP(AN$1,DATA!$A$3:$F$301,3,FALSE)-VLOOKUP($A34,DATA!$A$3:$F$301,3,FALSE))^2),"")</f>
        <v>26.90724809414742</v>
      </c>
      <c r="AO34" s="14">
        <f>_xlfn.IFNA(SQRT((VLOOKUP(AO$1,DATA!$A$3:$F$301,2,FALSE)-VLOOKUP($A34,DATA!$A$3:$F$301,2,FALSE))^2+(VLOOKUP(AO$1,DATA!$A$3:$F$301,3,FALSE)-VLOOKUP($A34,DATA!$A$3:$F$301,3,FALSE))^2),"")</f>
        <v>7.810249675906654</v>
      </c>
      <c r="AP34" s="14" t="str">
        <f>_xlfn.IFNA(SQRT((VLOOKUP(AP$1,DATA!$A$3:$F$301,2,FALSE)-VLOOKUP($A34,DATA!$A$3:$F$301,2,FALSE))^2+(VLOOKUP(AP$1,DATA!$A$3:$F$301,3,FALSE)-VLOOKUP($A34,DATA!$A$3:$F$301,3,FALSE))^2),"")</f>
        <v/>
      </c>
      <c r="AQ34" s="14" t="str">
        <f>_xlfn.IFNA(SQRT((VLOOKUP(AQ$1,DATA!$A$3:$F$301,2,FALSE)-VLOOKUP($A34,DATA!$A$3:$F$301,2,FALSE))^2+(VLOOKUP(AQ$1,DATA!$A$3:$F$301,3,FALSE)-VLOOKUP($A34,DATA!$A$3:$F$301,3,FALSE))^2),"")</f>
        <v/>
      </c>
      <c r="AR34" s="14" t="str">
        <f>_xlfn.IFNA(SQRT((VLOOKUP(AR$1,DATA!$A$3:$F$301,2,FALSE)-VLOOKUP($A34,DATA!$A$3:$F$301,2,FALSE))^2+(VLOOKUP(AR$1,DATA!$A$3:$F$301,3,FALSE)-VLOOKUP($A34,DATA!$A$3:$F$301,3,FALSE))^2),"")</f>
        <v/>
      </c>
      <c r="AS34" s="14" t="str">
        <f>_xlfn.IFNA(SQRT((VLOOKUP(AS$1,DATA!$A$3:$F$301,2,FALSE)-VLOOKUP($A34,DATA!$A$3:$F$301,2,FALSE))^2+(VLOOKUP(AS$1,DATA!$A$3:$F$301,3,FALSE)-VLOOKUP($A34,DATA!$A$3:$F$301,3,FALSE))^2),"")</f>
        <v/>
      </c>
      <c r="AT34" s="14" t="str">
        <f>_xlfn.IFNA(SQRT((VLOOKUP(AT$1,DATA!$A$3:$F$301,2,FALSE)-VLOOKUP($A34,DATA!$A$3:$F$301,2,FALSE))^2+(VLOOKUP(AT$1,DATA!$A$3:$F$301,3,FALSE)-VLOOKUP($A34,DATA!$A$3:$F$301,3,FALSE))^2),"")</f>
        <v/>
      </c>
      <c r="AU34" s="14" t="str">
        <f>_xlfn.IFNA(SQRT((VLOOKUP(AU$1,DATA!$A$3:$F$301,2,FALSE)-VLOOKUP($A34,DATA!$A$3:$F$301,2,FALSE))^2+(VLOOKUP(AU$1,DATA!$A$3:$F$301,3,FALSE)-VLOOKUP($A34,DATA!$A$3:$F$301,3,FALSE))^2),"")</f>
        <v/>
      </c>
      <c r="AV34" s="14" t="str">
        <f>_xlfn.IFNA(SQRT((VLOOKUP(AV$1,DATA!$A$3:$F$301,2,FALSE)-VLOOKUP($A34,DATA!$A$3:$F$301,2,FALSE))^2+(VLOOKUP(AV$1,DATA!$A$3:$F$301,3,FALSE)-VLOOKUP($A34,DATA!$A$3:$F$301,3,FALSE))^2),"")</f>
        <v/>
      </c>
      <c r="AW34" s="14" t="str">
        <f>_xlfn.IFNA(SQRT((VLOOKUP(AW$1,DATA!$A$3:$F$301,2,FALSE)-VLOOKUP($A34,DATA!$A$3:$F$301,2,FALSE))^2+(VLOOKUP(AW$1,DATA!$A$3:$F$301,3,FALSE)-VLOOKUP($A34,DATA!$A$3:$F$301,3,FALSE))^2),"")</f>
        <v/>
      </c>
      <c r="AX34" s="14" t="str">
        <f>_xlfn.IFNA(SQRT((VLOOKUP(AX$1,DATA!$A$3:$F$301,2,FALSE)-VLOOKUP($A34,DATA!$A$3:$F$301,2,FALSE))^2+(VLOOKUP(AX$1,DATA!$A$3:$F$301,3,FALSE)-VLOOKUP($A34,DATA!$A$3:$F$301,3,FALSE))^2),"")</f>
        <v/>
      </c>
      <c r="AY34" s="14" t="str">
        <f>_xlfn.IFNA(SQRT((VLOOKUP(AY$1,DATA!$A$3:$F$301,2,FALSE)-VLOOKUP($A34,DATA!$A$3:$F$301,2,FALSE))^2+(VLOOKUP(AY$1,DATA!$A$3:$F$301,3,FALSE)-VLOOKUP($A34,DATA!$A$3:$F$301,3,FALSE))^2),"")</f>
        <v/>
      </c>
      <c r="AZ34" s="14" t="str">
        <f>_xlfn.IFNA(SQRT((VLOOKUP(AZ$1,DATA!$A$3:$F$301,2,FALSE)-VLOOKUP($A34,DATA!$A$3:$F$301,2,FALSE))^2+(VLOOKUP(AZ$1,DATA!$A$3:$F$301,3,FALSE)-VLOOKUP($A34,DATA!$A$3:$F$301,3,FALSE))^2),"")</f>
        <v/>
      </c>
      <c r="BA34" s="14" t="str">
        <f>_xlfn.IFNA(SQRT((VLOOKUP(BA$1,DATA!$A$3:$F$301,2,FALSE)-VLOOKUP($A34,DATA!$A$3:$F$301,2,FALSE))^2+(VLOOKUP(BA$1,DATA!$A$3:$F$301,3,FALSE)-VLOOKUP($A34,DATA!$A$3:$F$301,3,FALSE))^2),"")</f>
        <v/>
      </c>
      <c r="BB34" s="14" t="str">
        <f>_xlfn.IFNA(SQRT((VLOOKUP(BB$1,DATA!$A$3:$F$301,2,FALSE)-VLOOKUP($A34,DATA!$A$3:$F$301,2,FALSE))^2+(VLOOKUP(BB$1,DATA!$A$3:$F$301,3,FALSE)-VLOOKUP($A34,DATA!$A$3:$F$301,3,FALSE))^2),"")</f>
        <v/>
      </c>
      <c r="BC34" s="14" t="str">
        <f>_xlfn.IFNA(SQRT((VLOOKUP(BC$1,DATA!$A$3:$F$301,2,FALSE)-VLOOKUP($A34,DATA!$A$3:$F$301,2,FALSE))^2+(VLOOKUP(BC$1,DATA!$A$3:$F$301,3,FALSE)-VLOOKUP($A34,DATA!$A$3:$F$301,3,FALSE))^2),"")</f>
        <v/>
      </c>
      <c r="BD34" s="14" t="str">
        <f>_xlfn.IFNA(SQRT((VLOOKUP(BD$1,DATA!$A$3:$F$301,2,FALSE)-VLOOKUP($A34,DATA!$A$3:$F$301,2,FALSE))^2+(VLOOKUP(BD$1,DATA!$A$3:$F$301,3,FALSE)-VLOOKUP($A34,DATA!$A$3:$F$301,3,FALSE))^2),"")</f>
        <v/>
      </c>
      <c r="BE34" s="14" t="str">
        <f>_xlfn.IFNA(SQRT((VLOOKUP(BE$1,DATA!$A$3:$F$301,2,FALSE)-VLOOKUP($A34,DATA!$A$3:$F$301,2,FALSE))^2+(VLOOKUP(BE$1,DATA!$A$3:$F$301,3,FALSE)-VLOOKUP($A34,DATA!$A$3:$F$301,3,FALSE))^2),"")</f>
        <v/>
      </c>
      <c r="BF34" s="14" t="str">
        <f>_xlfn.IFNA(SQRT((VLOOKUP(BF$1,DATA!$A$3:$F$301,2,FALSE)-VLOOKUP($A34,DATA!$A$3:$F$301,2,FALSE))^2+(VLOOKUP(BF$1,DATA!$A$3:$F$301,3,FALSE)-VLOOKUP($A34,DATA!$A$3:$F$301,3,FALSE))^2),"")</f>
        <v/>
      </c>
      <c r="BG34" s="14" t="str">
        <f>_xlfn.IFNA(SQRT((VLOOKUP(BG$1,DATA!$A$3:$F$301,2,FALSE)-VLOOKUP($A34,DATA!$A$3:$F$301,2,FALSE))^2+(VLOOKUP(BG$1,DATA!$A$3:$F$301,3,FALSE)-VLOOKUP($A34,DATA!$A$3:$F$301,3,FALSE))^2),"")</f>
        <v/>
      </c>
      <c r="BH34" s="14" t="str">
        <f>_xlfn.IFNA(SQRT((VLOOKUP(BH$1,DATA!$A$3:$F$301,2,FALSE)-VLOOKUP($A34,DATA!$A$3:$F$301,2,FALSE))^2+(VLOOKUP(BH$1,DATA!$A$3:$F$301,3,FALSE)-VLOOKUP($A34,DATA!$A$3:$F$301,3,FALSE))^2),"")</f>
        <v/>
      </c>
      <c r="BI34" s="14" t="str">
        <f>_xlfn.IFNA(SQRT((VLOOKUP(BI$1,DATA!$A$3:$F$301,2,FALSE)-VLOOKUP($A34,DATA!$A$3:$F$301,2,FALSE))^2+(VLOOKUP(BI$1,DATA!$A$3:$F$301,3,FALSE)-VLOOKUP($A34,DATA!$A$3:$F$301,3,FALSE))^2),"")</f>
        <v/>
      </c>
      <c r="BJ34" s="14" t="str">
        <f>_xlfn.IFNA(SQRT((VLOOKUP(BJ$1,DATA!$A$3:$F$301,2,FALSE)-VLOOKUP($A34,DATA!$A$3:$F$301,2,FALSE))^2+(VLOOKUP(BJ$1,DATA!$A$3:$F$301,3,FALSE)-VLOOKUP($A34,DATA!$A$3:$F$301,3,FALSE))^2),"")</f>
        <v/>
      </c>
      <c r="BK34" s="14" t="str">
        <f>_xlfn.IFNA(SQRT((VLOOKUP(BK$1,DATA!$A$3:$F$301,2,FALSE)-VLOOKUP($A34,DATA!$A$3:$F$301,2,FALSE))^2+(VLOOKUP(BK$1,DATA!$A$3:$F$301,3,FALSE)-VLOOKUP($A34,DATA!$A$3:$F$301,3,FALSE))^2),"")</f>
        <v/>
      </c>
      <c r="BL34" s="14" t="str">
        <f>_xlfn.IFNA(SQRT((VLOOKUP(BL$1,DATA!$A$3:$F$301,2,FALSE)-VLOOKUP($A34,DATA!$A$3:$F$301,2,FALSE))^2+(VLOOKUP(BL$1,DATA!$A$3:$F$301,3,FALSE)-VLOOKUP($A34,DATA!$A$3:$F$301,3,FALSE))^2),"")</f>
        <v/>
      </c>
      <c r="BM34" s="14" t="str">
        <f>_xlfn.IFNA(SQRT((VLOOKUP(BM$1,DATA!$A$3:$F$301,2,FALSE)-VLOOKUP($A34,DATA!$A$3:$F$301,2,FALSE))^2+(VLOOKUP(BM$1,DATA!$A$3:$F$301,3,FALSE)-VLOOKUP($A34,DATA!$A$3:$F$301,3,FALSE))^2),"")</f>
        <v/>
      </c>
      <c r="BN34" s="14" t="str">
        <f>_xlfn.IFNA(SQRT((VLOOKUP(BN$1,DATA!$A$3:$F$301,2,FALSE)-VLOOKUP($A34,DATA!$A$3:$F$301,2,FALSE))^2+(VLOOKUP(BN$1,DATA!$A$3:$F$301,3,FALSE)-VLOOKUP($A34,DATA!$A$3:$F$301,3,FALSE))^2),"")</f>
        <v/>
      </c>
      <c r="BO34" s="14" t="str">
        <f>_xlfn.IFNA(SQRT((VLOOKUP(BO$1,DATA!$A$3:$F$301,2,FALSE)-VLOOKUP($A34,DATA!$A$3:$F$301,2,FALSE))^2+(VLOOKUP(BO$1,DATA!$A$3:$F$301,3,FALSE)-VLOOKUP($A34,DATA!$A$3:$F$301,3,FALSE))^2),"")</f>
        <v/>
      </c>
      <c r="BP34" s="14" t="str">
        <f>_xlfn.IFNA(SQRT((VLOOKUP(BP$1,DATA!$A$3:$F$301,2,FALSE)-VLOOKUP($A34,DATA!$A$3:$F$301,2,FALSE))^2+(VLOOKUP(BP$1,DATA!$A$3:$F$301,3,FALSE)-VLOOKUP($A34,DATA!$A$3:$F$301,3,FALSE))^2),"")</f>
        <v/>
      </c>
      <c r="BQ34" s="14" t="str">
        <f>_xlfn.IFNA(SQRT((VLOOKUP(BQ$1,DATA!$A$3:$F$301,2,FALSE)-VLOOKUP($A34,DATA!$A$3:$F$301,2,FALSE))^2+(VLOOKUP(BQ$1,DATA!$A$3:$F$301,3,FALSE)-VLOOKUP($A34,DATA!$A$3:$F$301,3,FALSE))^2),"")</f>
        <v/>
      </c>
      <c r="BR34" s="14" t="str">
        <f>_xlfn.IFNA(SQRT((VLOOKUP(BR$1,DATA!$A$3:$F$301,2,FALSE)-VLOOKUP($A34,DATA!$A$3:$F$301,2,FALSE))^2+(VLOOKUP(BR$1,DATA!$A$3:$F$301,3,FALSE)-VLOOKUP($A34,DATA!$A$3:$F$301,3,FALSE))^2),"")</f>
        <v/>
      </c>
      <c r="BS34" s="14" t="str">
        <f>_xlfn.IFNA(SQRT((VLOOKUP(BS$1,DATA!$A$3:$F$301,2,FALSE)-VLOOKUP($A34,DATA!$A$3:$F$301,2,FALSE))^2+(VLOOKUP(BS$1,DATA!$A$3:$F$301,3,FALSE)-VLOOKUP($A34,DATA!$A$3:$F$301,3,FALSE))^2),"")</f>
        <v/>
      </c>
      <c r="BT34" s="14" t="str">
        <f>_xlfn.IFNA(SQRT((VLOOKUP(BT$1,DATA!$A$3:$F$301,2,FALSE)-VLOOKUP($A34,DATA!$A$3:$F$301,2,FALSE))^2+(VLOOKUP(BT$1,DATA!$A$3:$F$301,3,FALSE)-VLOOKUP($A34,DATA!$A$3:$F$301,3,FALSE))^2),"")</f>
        <v/>
      </c>
      <c r="BU34" s="14" t="str">
        <f>_xlfn.IFNA(SQRT((VLOOKUP(BU$1,DATA!$A$3:$F$301,2,FALSE)-VLOOKUP($A34,DATA!$A$3:$F$301,2,FALSE))^2+(VLOOKUP(BU$1,DATA!$A$3:$F$301,3,FALSE)-VLOOKUP($A34,DATA!$A$3:$F$301,3,FALSE))^2),"")</f>
        <v/>
      </c>
      <c r="BV34" s="14" t="str">
        <f>_xlfn.IFNA(SQRT((VLOOKUP(BV$1,DATA!$A$3:$F$301,2,FALSE)-VLOOKUP($A34,DATA!$A$3:$F$301,2,FALSE))^2+(VLOOKUP(BV$1,DATA!$A$3:$F$301,3,FALSE)-VLOOKUP($A34,DATA!$A$3:$F$301,3,FALSE))^2),"")</f>
        <v/>
      </c>
      <c r="BW34" s="14" t="str">
        <f>_xlfn.IFNA(SQRT((VLOOKUP(BW$1,DATA!$A$3:$F$301,2,FALSE)-VLOOKUP($A34,DATA!$A$3:$F$301,2,FALSE))^2+(VLOOKUP(BW$1,DATA!$A$3:$F$301,3,FALSE)-VLOOKUP($A34,DATA!$A$3:$F$301,3,FALSE))^2),"")</f>
        <v/>
      </c>
      <c r="BX34" s="14" t="str">
        <f>_xlfn.IFNA(SQRT((VLOOKUP(BX$1,DATA!$A$3:$F$301,2,FALSE)-VLOOKUP($A34,DATA!$A$3:$F$301,2,FALSE))^2+(VLOOKUP(BX$1,DATA!$A$3:$F$301,3,FALSE)-VLOOKUP($A34,DATA!$A$3:$F$301,3,FALSE))^2),"")</f>
        <v/>
      </c>
      <c r="BY34" s="14" t="str">
        <f>_xlfn.IFNA(SQRT((VLOOKUP(BY$1,DATA!$A$3:$F$301,2,FALSE)-VLOOKUP($A34,DATA!$A$3:$F$301,2,FALSE))^2+(VLOOKUP(BY$1,DATA!$A$3:$F$301,3,FALSE)-VLOOKUP($A34,DATA!$A$3:$F$301,3,FALSE))^2),"")</f>
        <v/>
      </c>
      <c r="BZ34" s="14" t="str">
        <f>_xlfn.IFNA(SQRT((VLOOKUP(BZ$1,DATA!$A$3:$F$301,2,FALSE)-VLOOKUP($A34,DATA!$A$3:$F$301,2,FALSE))^2+(VLOOKUP(BZ$1,DATA!$A$3:$F$301,3,FALSE)-VLOOKUP($A34,DATA!$A$3:$F$301,3,FALSE))^2),"")</f>
        <v/>
      </c>
      <c r="CA34" s="14" t="str">
        <f>_xlfn.IFNA(SQRT((VLOOKUP(CA$1,DATA!$A$3:$F$301,2,FALSE)-VLOOKUP($A34,DATA!$A$3:$F$301,2,FALSE))^2+(VLOOKUP(CA$1,DATA!$A$3:$F$301,3,FALSE)-VLOOKUP($A34,DATA!$A$3:$F$301,3,FALSE))^2),"")</f>
        <v/>
      </c>
      <c r="CB34" s="14" t="str">
        <f>_xlfn.IFNA(SQRT((VLOOKUP(CB$1,DATA!$A$3:$F$301,2,FALSE)-VLOOKUP($A34,DATA!$A$3:$F$301,2,FALSE))^2+(VLOOKUP(CB$1,DATA!$A$3:$F$301,3,FALSE)-VLOOKUP($A34,DATA!$A$3:$F$301,3,FALSE))^2),"")</f>
        <v/>
      </c>
      <c r="CC34" s="14" t="str">
        <f>_xlfn.IFNA(SQRT((VLOOKUP(CC$1,DATA!$A$3:$F$301,2,FALSE)-VLOOKUP($A34,DATA!$A$3:$F$301,2,FALSE))^2+(VLOOKUP(CC$1,DATA!$A$3:$F$301,3,FALSE)-VLOOKUP($A34,DATA!$A$3:$F$301,3,FALSE))^2),"")</f>
        <v/>
      </c>
      <c r="CD34" s="14" t="str">
        <f>_xlfn.IFNA(SQRT((VLOOKUP(CD$1,DATA!$A$3:$F$301,2,FALSE)-VLOOKUP($A34,DATA!$A$3:$F$301,2,FALSE))^2+(VLOOKUP(CD$1,DATA!$A$3:$F$301,3,FALSE)-VLOOKUP($A34,DATA!$A$3:$F$301,3,FALSE))^2),"")</f>
        <v/>
      </c>
      <c r="CE34" s="14" t="str">
        <f>_xlfn.IFNA(SQRT((VLOOKUP(CE$1,DATA!$A$3:$F$301,2,FALSE)-VLOOKUP($A34,DATA!$A$3:$F$301,2,FALSE))^2+(VLOOKUP(CE$1,DATA!$A$3:$F$301,3,FALSE)-VLOOKUP($A34,DATA!$A$3:$F$301,3,FALSE))^2),"")</f>
        <v/>
      </c>
      <c r="CF34" s="14" t="str">
        <f>_xlfn.IFNA(SQRT((VLOOKUP(CF$1,DATA!$A$3:$F$301,2,FALSE)-VLOOKUP($A34,DATA!$A$3:$F$301,2,FALSE))^2+(VLOOKUP(CF$1,DATA!$A$3:$F$301,3,FALSE)-VLOOKUP($A34,DATA!$A$3:$F$301,3,FALSE))^2),"")</f>
        <v/>
      </c>
      <c r="CG34" s="14" t="str">
        <f>_xlfn.IFNA(SQRT((VLOOKUP(CG$1,DATA!$A$3:$F$301,2,FALSE)-VLOOKUP($A34,DATA!$A$3:$F$301,2,FALSE))^2+(VLOOKUP(CG$1,DATA!$A$3:$F$301,3,FALSE)-VLOOKUP($A34,DATA!$A$3:$F$301,3,FALSE))^2),"")</f>
        <v/>
      </c>
      <c r="CH34" s="14" t="str">
        <f>_xlfn.IFNA(SQRT((VLOOKUP(CH$1,DATA!$A$3:$F$301,2,FALSE)-VLOOKUP($A34,DATA!$A$3:$F$301,2,FALSE))^2+(VLOOKUP(CH$1,DATA!$A$3:$F$301,3,FALSE)-VLOOKUP($A34,DATA!$A$3:$F$301,3,FALSE))^2),"")</f>
        <v/>
      </c>
      <c r="CI34" s="14" t="str">
        <f>_xlfn.IFNA(SQRT((VLOOKUP(CI$1,DATA!$A$3:$F$301,2,FALSE)-VLOOKUP($A34,DATA!$A$3:$F$301,2,FALSE))^2+(VLOOKUP(CI$1,DATA!$A$3:$F$301,3,FALSE)-VLOOKUP($A34,DATA!$A$3:$F$301,3,FALSE))^2),"")</f>
        <v/>
      </c>
      <c r="CJ34" s="14" t="str">
        <f>_xlfn.IFNA(SQRT((VLOOKUP(CJ$1,DATA!$A$3:$F$301,2,FALSE)-VLOOKUP($A34,DATA!$A$3:$F$301,2,FALSE))^2+(VLOOKUP(CJ$1,DATA!$A$3:$F$301,3,FALSE)-VLOOKUP($A34,DATA!$A$3:$F$301,3,FALSE))^2),"")</f>
        <v/>
      </c>
      <c r="CK34" s="14" t="str">
        <f>_xlfn.IFNA(SQRT((VLOOKUP(CK$1,DATA!$A$3:$F$301,2,FALSE)-VLOOKUP($A34,DATA!$A$3:$F$301,2,FALSE))^2+(VLOOKUP(CK$1,DATA!$A$3:$F$301,3,FALSE)-VLOOKUP($A34,DATA!$A$3:$F$301,3,FALSE))^2),"")</f>
        <v/>
      </c>
      <c r="CL34" s="14" t="str">
        <f>_xlfn.IFNA(SQRT((VLOOKUP(CL$1,DATA!$A$3:$F$301,2,FALSE)-VLOOKUP($A34,DATA!$A$3:$F$301,2,FALSE))^2+(VLOOKUP(CL$1,DATA!$A$3:$F$301,3,FALSE)-VLOOKUP($A34,DATA!$A$3:$F$301,3,FALSE))^2),"")</f>
        <v/>
      </c>
      <c r="CM34" s="14" t="str">
        <f>_xlfn.IFNA(SQRT((VLOOKUP(CM$1,DATA!$A$3:$F$301,2,FALSE)-VLOOKUP($A34,DATA!$A$3:$F$301,2,FALSE))^2+(VLOOKUP(CM$1,DATA!$A$3:$F$301,3,FALSE)-VLOOKUP($A34,DATA!$A$3:$F$301,3,FALSE))^2),"")</f>
        <v/>
      </c>
      <c r="CN34" s="14" t="str">
        <f>_xlfn.IFNA(SQRT((VLOOKUP(CN$1,DATA!$A$3:$F$301,2,FALSE)-VLOOKUP($A34,DATA!$A$3:$F$301,2,FALSE))^2+(VLOOKUP(CN$1,DATA!$A$3:$F$301,3,FALSE)-VLOOKUP($A34,DATA!$A$3:$F$301,3,FALSE))^2),"")</f>
        <v/>
      </c>
      <c r="CO34" s="14" t="str">
        <f>_xlfn.IFNA(SQRT((VLOOKUP(CO$1,DATA!$A$3:$F$301,2,FALSE)-VLOOKUP($A34,DATA!$A$3:$F$301,2,FALSE))^2+(VLOOKUP(CO$1,DATA!$A$3:$F$301,3,FALSE)-VLOOKUP($A34,DATA!$A$3:$F$301,3,FALSE))^2),"")</f>
        <v/>
      </c>
      <c r="CP34" s="14" t="str">
        <f>_xlfn.IFNA(SQRT((VLOOKUP(CP$1,DATA!$A$3:$F$301,2,FALSE)-VLOOKUP($A34,DATA!$A$3:$F$301,2,FALSE))^2+(VLOOKUP(CP$1,DATA!$A$3:$F$301,3,FALSE)-VLOOKUP($A34,DATA!$A$3:$F$301,3,FALSE))^2),"")</f>
        <v/>
      </c>
      <c r="CQ34" s="14" t="str">
        <f>_xlfn.IFNA(SQRT((VLOOKUP(CQ$1,DATA!$A$3:$F$301,2,FALSE)-VLOOKUP($A34,DATA!$A$3:$F$301,2,FALSE))^2+(VLOOKUP(CQ$1,DATA!$A$3:$F$301,3,FALSE)-VLOOKUP($A34,DATA!$A$3:$F$301,3,FALSE))^2),"")</f>
        <v/>
      </c>
      <c r="CR34" s="14" t="str">
        <f>_xlfn.IFNA(SQRT((VLOOKUP(CR$1,DATA!$A$3:$F$301,2,FALSE)-VLOOKUP($A34,DATA!$A$3:$F$301,2,FALSE))^2+(VLOOKUP(CR$1,DATA!$A$3:$F$301,3,FALSE)-VLOOKUP($A34,DATA!$A$3:$F$301,3,FALSE))^2),"")</f>
        <v/>
      </c>
      <c r="CS34" s="14" t="str">
        <f>_xlfn.IFNA(SQRT((VLOOKUP(CS$1,DATA!$A$3:$F$301,2,FALSE)-VLOOKUP($A34,DATA!$A$3:$F$301,2,FALSE))^2+(VLOOKUP(CS$1,DATA!$A$3:$F$301,3,FALSE)-VLOOKUP($A34,DATA!$A$3:$F$301,3,FALSE))^2),"")</f>
        <v/>
      </c>
      <c r="CT34" s="14" t="str">
        <f>_xlfn.IFNA(SQRT((VLOOKUP(CT$1,DATA!$A$3:$F$301,2,FALSE)-VLOOKUP($A34,DATA!$A$3:$F$301,2,FALSE))^2+(VLOOKUP(CT$1,DATA!$A$3:$F$301,3,FALSE)-VLOOKUP($A34,DATA!$A$3:$F$301,3,FALSE))^2),"")</f>
        <v/>
      </c>
      <c r="CU34" s="14" t="str">
        <f>_xlfn.IFNA(SQRT((VLOOKUP(CU$1,DATA!$A$3:$F$301,2,FALSE)-VLOOKUP($A34,DATA!$A$3:$F$301,2,FALSE))^2+(VLOOKUP(CU$1,DATA!$A$3:$F$301,3,FALSE)-VLOOKUP($A34,DATA!$A$3:$F$301,3,FALSE))^2),"")</f>
        <v/>
      </c>
      <c r="CV34" s="14" t="str">
        <f>_xlfn.IFNA(SQRT((VLOOKUP(CV$1,DATA!$A$3:$F$301,2,FALSE)-VLOOKUP($A34,DATA!$A$3:$F$301,2,FALSE))^2+(VLOOKUP(CV$1,DATA!$A$3:$F$301,3,FALSE)-VLOOKUP($A34,DATA!$A$3:$F$301,3,FALSE))^2),"")</f>
        <v/>
      </c>
      <c r="CW34" s="14" t="str">
        <f>_xlfn.IFNA(SQRT((VLOOKUP(CW$1,DATA!$A$3:$F$301,2,FALSE)-VLOOKUP($A34,DATA!$A$3:$F$301,2,FALSE))^2+(VLOOKUP(CW$1,DATA!$A$3:$F$301,3,FALSE)-VLOOKUP($A34,DATA!$A$3:$F$301,3,FALSE))^2),"")</f>
        <v/>
      </c>
      <c r="CX34" s="14" t="str">
        <f>_xlfn.IFNA(SQRT((VLOOKUP(CX$1,DATA!$A$3:$F$301,2,FALSE)-VLOOKUP($A34,DATA!$A$3:$F$301,2,FALSE))^2+(VLOOKUP(CX$1,DATA!$A$3:$F$301,3,FALSE)-VLOOKUP($A34,DATA!$A$3:$F$301,3,FALSE))^2),"")</f>
        <v/>
      </c>
    </row>
    <row r="35" spans="1:102">
      <c r="A35" s="13">
        <v>34</v>
      </c>
      <c r="B35" s="14">
        <f>_xlfn.IFNA(SQRT((VLOOKUP(B$1,DATA!$A$3:$F$301,2,FALSE)-VLOOKUP($A35,DATA!$A$3:$F$301,2,FALSE))^2+(VLOOKUP(B$1,DATA!$A$3:$F$301,3,FALSE)-VLOOKUP($A35,DATA!$A$3:$F$301,3,FALSE))^2),"")</f>
        <v>21.2602916254693</v>
      </c>
      <c r="C35" s="14">
        <f>_xlfn.IFNA(SQRT((VLOOKUP(C$1,DATA!$A$3:$F$301,2,FALSE)-VLOOKUP($A35,DATA!$A$3:$F$301,2,FALSE))^2+(VLOOKUP(C$1,DATA!$A$3:$F$301,3,FALSE)-VLOOKUP($A35,DATA!$A$3:$F$301,3,FALSE))^2),"")</f>
        <v>25.80697580112788</v>
      </c>
      <c r="D35" s="14">
        <f>_xlfn.IFNA(SQRT((VLOOKUP(D$1,DATA!$A$3:$F$301,2,FALSE)-VLOOKUP($A35,DATA!$A$3:$F$301,2,FALSE))^2+(VLOOKUP(D$1,DATA!$A$3:$F$301,3,FALSE)-VLOOKUP($A35,DATA!$A$3:$F$301,3,FALSE))^2),"")</f>
        <v>16.124515496597098</v>
      </c>
      <c r="E35" s="14">
        <f>_xlfn.IFNA(SQRT((VLOOKUP(E$1,DATA!$A$3:$F$301,2,FALSE)-VLOOKUP($A35,DATA!$A$3:$F$301,2,FALSE))^2+(VLOOKUP(E$1,DATA!$A$3:$F$301,3,FALSE)-VLOOKUP($A35,DATA!$A$3:$F$301,3,FALSE))^2),"")</f>
        <v>15</v>
      </c>
      <c r="F35" s="14">
        <f>_xlfn.IFNA(SQRT((VLOOKUP(F$1,DATA!$A$3:$F$301,2,FALSE)-VLOOKUP($A35,DATA!$A$3:$F$301,2,FALSE))^2+(VLOOKUP(F$1,DATA!$A$3:$F$301,3,FALSE)-VLOOKUP($A35,DATA!$A$3:$F$301,3,FALSE))^2),"")</f>
        <v>45.486261662176638</v>
      </c>
      <c r="G35" s="14">
        <f>_xlfn.IFNA(SQRT((VLOOKUP(G$1,DATA!$A$3:$F$301,2,FALSE)-VLOOKUP($A35,DATA!$A$3:$F$301,2,FALSE))^2+(VLOOKUP(G$1,DATA!$A$3:$F$301,3,FALSE)-VLOOKUP($A35,DATA!$A$3:$F$301,3,FALSE))^2),"")</f>
        <v>23.53720459187964</v>
      </c>
      <c r="H35" s="14">
        <f>_xlfn.IFNA(SQRT((VLOOKUP(H$1,DATA!$A$3:$F$301,2,FALSE)-VLOOKUP($A35,DATA!$A$3:$F$301,2,FALSE))^2+(VLOOKUP(H$1,DATA!$A$3:$F$301,3,FALSE)-VLOOKUP($A35,DATA!$A$3:$F$301,3,FALSE))^2),"")</f>
        <v>19.104973174542799</v>
      </c>
      <c r="I35" s="14">
        <f>_xlfn.IFNA(SQRT((VLOOKUP(I$1,DATA!$A$3:$F$301,2,FALSE)-VLOOKUP($A35,DATA!$A$3:$F$301,2,FALSE))^2+(VLOOKUP(I$1,DATA!$A$3:$F$301,3,FALSE)-VLOOKUP($A35,DATA!$A$3:$F$301,3,FALSE))^2),"")</f>
        <v>37.363083384538811</v>
      </c>
      <c r="J35" s="14">
        <f>_xlfn.IFNA(SQRT((VLOOKUP(J$1,DATA!$A$3:$F$301,2,FALSE)-VLOOKUP($A35,DATA!$A$3:$F$301,2,FALSE))^2+(VLOOKUP(J$1,DATA!$A$3:$F$301,3,FALSE)-VLOOKUP($A35,DATA!$A$3:$F$301,3,FALSE))^2),"")</f>
        <v>19.104973174542799</v>
      </c>
      <c r="K35" s="14">
        <f>_xlfn.IFNA(SQRT((VLOOKUP(K$1,DATA!$A$3:$F$301,2,FALSE)-VLOOKUP($A35,DATA!$A$3:$F$301,2,FALSE))^2+(VLOOKUP(K$1,DATA!$A$3:$F$301,3,FALSE)-VLOOKUP($A35,DATA!$A$3:$F$301,3,FALSE))^2),"")</f>
        <v>23.194827009486403</v>
      </c>
      <c r="L35" s="14">
        <f>_xlfn.IFNA(SQRT((VLOOKUP(L$1,DATA!$A$3:$F$301,2,FALSE)-VLOOKUP($A35,DATA!$A$3:$F$301,2,FALSE))^2+(VLOOKUP(L$1,DATA!$A$3:$F$301,3,FALSE)-VLOOKUP($A35,DATA!$A$3:$F$301,3,FALSE))^2),"")</f>
        <v>31.016124838541646</v>
      </c>
      <c r="M35" s="14">
        <f>_xlfn.IFNA(SQRT((VLOOKUP(M$1,DATA!$A$3:$F$301,2,FALSE)-VLOOKUP($A35,DATA!$A$3:$F$301,2,FALSE))^2+(VLOOKUP(M$1,DATA!$A$3:$F$301,3,FALSE)-VLOOKUP($A35,DATA!$A$3:$F$301,3,FALSE))^2),"")</f>
        <v>29.529646120466801</v>
      </c>
      <c r="N35" s="14">
        <f>_xlfn.IFNA(SQRT((VLOOKUP(N$1,DATA!$A$3:$F$301,2,FALSE)-VLOOKUP($A35,DATA!$A$3:$F$301,2,FALSE))^2+(VLOOKUP(N$1,DATA!$A$3:$F$301,3,FALSE)-VLOOKUP($A35,DATA!$A$3:$F$301,3,FALSE))^2),"")</f>
        <v>18.027756377319946</v>
      </c>
      <c r="O35" s="14">
        <f>_xlfn.IFNA(SQRT((VLOOKUP(O$1,DATA!$A$3:$F$301,2,FALSE)-VLOOKUP($A35,DATA!$A$3:$F$301,2,FALSE))^2+(VLOOKUP(O$1,DATA!$A$3:$F$301,3,FALSE)-VLOOKUP($A35,DATA!$A$3:$F$301,3,FALSE))^2),"")</f>
        <v>52.478567053607705</v>
      </c>
      <c r="P35" s="14">
        <f>_xlfn.IFNA(SQRT((VLOOKUP(P$1,DATA!$A$3:$F$301,2,FALSE)-VLOOKUP($A35,DATA!$A$3:$F$301,2,FALSE))^2+(VLOOKUP(P$1,DATA!$A$3:$F$301,3,FALSE)-VLOOKUP($A35,DATA!$A$3:$F$301,3,FALSE))^2),"")</f>
        <v>46.173585522460783</v>
      </c>
      <c r="Q35" s="14">
        <f>_xlfn.IFNA(SQRT((VLOOKUP(Q$1,DATA!$A$3:$F$301,2,FALSE)-VLOOKUP($A35,DATA!$A$3:$F$301,2,FALSE))^2+(VLOOKUP(Q$1,DATA!$A$3:$F$301,3,FALSE)-VLOOKUP($A35,DATA!$A$3:$F$301,3,FALSE))^2),"")</f>
        <v>24.041630560342615</v>
      </c>
      <c r="R35" s="14">
        <f>_xlfn.IFNA(SQRT((VLOOKUP(R$1,DATA!$A$3:$F$301,2,FALSE)-VLOOKUP($A35,DATA!$A$3:$F$301,2,FALSE))^2+(VLOOKUP(R$1,DATA!$A$3:$F$301,3,FALSE)-VLOOKUP($A35,DATA!$A$3:$F$301,3,FALSE))^2),"")</f>
        <v>3</v>
      </c>
      <c r="S35" s="14">
        <f>_xlfn.IFNA(SQRT((VLOOKUP(S$1,DATA!$A$3:$F$301,2,FALSE)-VLOOKUP($A35,DATA!$A$3:$F$301,2,FALSE))^2+(VLOOKUP(S$1,DATA!$A$3:$F$301,3,FALSE)-VLOOKUP($A35,DATA!$A$3:$F$301,3,FALSE))^2),"")</f>
        <v>28.0178514522438</v>
      </c>
      <c r="T35" s="14">
        <f>_xlfn.IFNA(SQRT((VLOOKUP(T$1,DATA!$A$3:$F$301,2,FALSE)-VLOOKUP($A35,DATA!$A$3:$F$301,2,FALSE))^2+(VLOOKUP(T$1,DATA!$A$3:$F$301,3,FALSE)-VLOOKUP($A35,DATA!$A$3:$F$301,3,FALSE))^2),"")</f>
        <v>47.169905660283021</v>
      </c>
      <c r="U35" s="14">
        <f>_xlfn.IFNA(SQRT((VLOOKUP(U$1,DATA!$A$3:$F$301,2,FALSE)-VLOOKUP($A35,DATA!$A$3:$F$301,2,FALSE))^2+(VLOOKUP(U$1,DATA!$A$3:$F$301,3,FALSE)-VLOOKUP($A35,DATA!$A$3:$F$301,3,FALSE))^2),"")</f>
        <v>5.3851648071345037</v>
      </c>
      <c r="V35" s="14">
        <f>_xlfn.IFNA(SQRT((VLOOKUP(V$1,DATA!$A$3:$F$301,2,FALSE)-VLOOKUP($A35,DATA!$A$3:$F$301,2,FALSE))^2+(VLOOKUP(V$1,DATA!$A$3:$F$301,3,FALSE)-VLOOKUP($A35,DATA!$A$3:$F$301,3,FALSE))^2),"")</f>
        <v>16.552945357246848</v>
      </c>
      <c r="W35" s="14">
        <f>_xlfn.IFNA(SQRT((VLOOKUP(W$1,DATA!$A$3:$F$301,2,FALSE)-VLOOKUP($A35,DATA!$A$3:$F$301,2,FALSE))^2+(VLOOKUP(W$1,DATA!$A$3:$F$301,3,FALSE)-VLOOKUP($A35,DATA!$A$3:$F$301,3,FALSE))^2),"")</f>
        <v>13.601470508735444</v>
      </c>
      <c r="X35" s="14">
        <f>_xlfn.IFNA(SQRT((VLOOKUP(X$1,DATA!$A$3:$F$301,2,FALSE)-VLOOKUP($A35,DATA!$A$3:$F$301,2,FALSE))^2+(VLOOKUP(X$1,DATA!$A$3:$F$301,3,FALSE)-VLOOKUP($A35,DATA!$A$3:$F$301,3,FALSE))^2),"")</f>
        <v>18.384776310850235</v>
      </c>
      <c r="Y35" s="14">
        <f>_xlfn.IFNA(SQRT((VLOOKUP(Y$1,DATA!$A$3:$F$301,2,FALSE)-VLOOKUP($A35,DATA!$A$3:$F$301,2,FALSE))^2+(VLOOKUP(Y$1,DATA!$A$3:$F$301,3,FALSE)-VLOOKUP($A35,DATA!$A$3:$F$301,3,FALSE))^2),"")</f>
        <v>36.138621999185304</v>
      </c>
      <c r="Z35" s="14">
        <f>_xlfn.IFNA(SQRT((VLOOKUP(Z$1,DATA!$A$3:$F$301,2,FALSE)-VLOOKUP($A35,DATA!$A$3:$F$301,2,FALSE))^2+(VLOOKUP(Z$1,DATA!$A$3:$F$301,3,FALSE)-VLOOKUP($A35,DATA!$A$3:$F$301,3,FALSE))^2),"")</f>
        <v>1.4142135623730951</v>
      </c>
      <c r="AA35" s="14">
        <f>_xlfn.IFNA(SQRT((VLOOKUP(AA$1,DATA!$A$3:$F$301,2,FALSE)-VLOOKUP($A35,DATA!$A$3:$F$301,2,FALSE))^2+(VLOOKUP(AA$1,DATA!$A$3:$F$301,3,FALSE)-VLOOKUP($A35,DATA!$A$3:$F$301,3,FALSE))^2),"")</f>
        <v>36.345563690772494</v>
      </c>
      <c r="AB35" s="14">
        <f>_xlfn.IFNA(SQRT((VLOOKUP(AB$1,DATA!$A$3:$F$301,2,FALSE)-VLOOKUP($A35,DATA!$A$3:$F$301,2,FALSE))^2+(VLOOKUP(AB$1,DATA!$A$3:$F$301,3,FALSE)-VLOOKUP($A35,DATA!$A$3:$F$301,3,FALSE))^2),"")</f>
        <v>18</v>
      </c>
      <c r="AC35" s="14">
        <f>_xlfn.IFNA(SQRT((VLOOKUP(AC$1,DATA!$A$3:$F$301,2,FALSE)-VLOOKUP($A35,DATA!$A$3:$F$301,2,FALSE))^2+(VLOOKUP(AC$1,DATA!$A$3:$F$301,3,FALSE)-VLOOKUP($A35,DATA!$A$3:$F$301,3,FALSE))^2),"")</f>
        <v>39.395431207184416</v>
      </c>
      <c r="AD35" s="14">
        <f>_xlfn.IFNA(SQRT((VLOOKUP(AD$1,DATA!$A$3:$F$301,2,FALSE)-VLOOKUP($A35,DATA!$A$3:$F$301,2,FALSE))^2+(VLOOKUP(AD$1,DATA!$A$3:$F$301,3,FALSE)-VLOOKUP($A35,DATA!$A$3:$F$301,3,FALSE))^2),"")</f>
        <v>15.524174696260024</v>
      </c>
      <c r="AE35" s="14">
        <f>_xlfn.IFNA(SQRT((VLOOKUP(AE$1,DATA!$A$3:$F$301,2,FALSE)-VLOOKUP($A35,DATA!$A$3:$F$301,2,FALSE))^2+(VLOOKUP(AE$1,DATA!$A$3:$F$301,3,FALSE)-VLOOKUP($A35,DATA!$A$3:$F$301,3,FALSE))^2),"")</f>
        <v>47.423622805517503</v>
      </c>
      <c r="AF35" s="14">
        <f>_xlfn.IFNA(SQRT((VLOOKUP(AF$1,DATA!$A$3:$F$301,2,FALSE)-VLOOKUP($A35,DATA!$A$3:$F$301,2,FALSE))^2+(VLOOKUP(AF$1,DATA!$A$3:$F$301,3,FALSE)-VLOOKUP($A35,DATA!$A$3:$F$301,3,FALSE))^2),"")</f>
        <v>6.4031242374328485</v>
      </c>
      <c r="AG35" s="14">
        <f>_xlfn.IFNA(SQRT((VLOOKUP(AG$1,DATA!$A$3:$F$301,2,FALSE)-VLOOKUP($A35,DATA!$A$3:$F$301,2,FALSE))^2+(VLOOKUP(AG$1,DATA!$A$3:$F$301,3,FALSE)-VLOOKUP($A35,DATA!$A$3:$F$301,3,FALSE))^2),"")</f>
        <v>37.576588456111871</v>
      </c>
      <c r="AH35" s="14">
        <f>_xlfn.IFNA(SQRT((VLOOKUP(AH$1,DATA!$A$3:$F$301,2,FALSE)-VLOOKUP($A35,DATA!$A$3:$F$301,2,FALSE))^2+(VLOOKUP(AH$1,DATA!$A$3:$F$301,3,FALSE)-VLOOKUP($A35,DATA!$A$3:$F$301,3,FALSE))^2),"")</f>
        <v>23.194827009486403</v>
      </c>
      <c r="AI35" s="14">
        <f>_xlfn.IFNA(SQRT((VLOOKUP(AI$1,DATA!$A$3:$F$301,2,FALSE)-VLOOKUP($A35,DATA!$A$3:$F$301,2,FALSE))^2+(VLOOKUP(AI$1,DATA!$A$3:$F$301,3,FALSE)-VLOOKUP($A35,DATA!$A$3:$F$301,3,FALSE))^2),"")</f>
        <v>0</v>
      </c>
      <c r="AJ35" s="14">
        <f>_xlfn.IFNA(SQRT((VLOOKUP(AJ$1,DATA!$A$3:$F$301,2,FALSE)-VLOOKUP($A35,DATA!$A$3:$F$301,2,FALSE))^2+(VLOOKUP(AJ$1,DATA!$A$3:$F$301,3,FALSE)-VLOOKUP($A35,DATA!$A$3:$F$301,3,FALSE))^2),"")</f>
        <v>24.413111231467404</v>
      </c>
      <c r="AK35" s="14">
        <f>_xlfn.IFNA(SQRT((VLOOKUP(AK$1,DATA!$A$3:$F$301,2,FALSE)-VLOOKUP($A35,DATA!$A$3:$F$301,2,FALSE))^2+(VLOOKUP(AK$1,DATA!$A$3:$F$301,3,FALSE)-VLOOKUP($A35,DATA!$A$3:$F$301,3,FALSE))^2),"")</f>
        <v>30.364452901377952</v>
      </c>
      <c r="AL35" s="14">
        <f>_xlfn.IFNA(SQRT((VLOOKUP(AL$1,DATA!$A$3:$F$301,2,FALSE)-VLOOKUP($A35,DATA!$A$3:$F$301,2,FALSE))^2+(VLOOKUP(AL$1,DATA!$A$3:$F$301,3,FALSE)-VLOOKUP($A35,DATA!$A$3:$F$301,3,FALSE))^2),"")</f>
        <v>46.389654018972806</v>
      </c>
      <c r="AM35" s="14">
        <f>_xlfn.IFNA(SQRT((VLOOKUP(AM$1,DATA!$A$3:$F$301,2,FALSE)-VLOOKUP($A35,DATA!$A$3:$F$301,2,FALSE))^2+(VLOOKUP(AM$1,DATA!$A$3:$F$301,3,FALSE)-VLOOKUP($A35,DATA!$A$3:$F$301,3,FALSE))^2),"")</f>
        <v>39.812058474788763</v>
      </c>
      <c r="AN35" s="14">
        <f>_xlfn.IFNA(SQRT((VLOOKUP(AN$1,DATA!$A$3:$F$301,2,FALSE)-VLOOKUP($A35,DATA!$A$3:$F$301,2,FALSE))^2+(VLOOKUP(AN$1,DATA!$A$3:$F$301,3,FALSE)-VLOOKUP($A35,DATA!$A$3:$F$301,3,FALSE))^2),"")</f>
        <v>15.297058540778355</v>
      </c>
      <c r="AO35" s="14">
        <f>_xlfn.IFNA(SQRT((VLOOKUP(AO$1,DATA!$A$3:$F$301,2,FALSE)-VLOOKUP($A35,DATA!$A$3:$F$301,2,FALSE))^2+(VLOOKUP(AO$1,DATA!$A$3:$F$301,3,FALSE)-VLOOKUP($A35,DATA!$A$3:$F$301,3,FALSE))^2),"")</f>
        <v>29.410882339705484</v>
      </c>
      <c r="AP35" s="14" t="str">
        <f>_xlfn.IFNA(SQRT((VLOOKUP(AP$1,DATA!$A$3:$F$301,2,FALSE)-VLOOKUP($A35,DATA!$A$3:$F$301,2,FALSE))^2+(VLOOKUP(AP$1,DATA!$A$3:$F$301,3,FALSE)-VLOOKUP($A35,DATA!$A$3:$F$301,3,FALSE))^2),"")</f>
        <v/>
      </c>
      <c r="AQ35" s="14" t="str">
        <f>_xlfn.IFNA(SQRT((VLOOKUP(AQ$1,DATA!$A$3:$F$301,2,FALSE)-VLOOKUP($A35,DATA!$A$3:$F$301,2,FALSE))^2+(VLOOKUP(AQ$1,DATA!$A$3:$F$301,3,FALSE)-VLOOKUP($A35,DATA!$A$3:$F$301,3,FALSE))^2),"")</f>
        <v/>
      </c>
      <c r="AR35" s="14" t="str">
        <f>_xlfn.IFNA(SQRT((VLOOKUP(AR$1,DATA!$A$3:$F$301,2,FALSE)-VLOOKUP($A35,DATA!$A$3:$F$301,2,FALSE))^2+(VLOOKUP(AR$1,DATA!$A$3:$F$301,3,FALSE)-VLOOKUP($A35,DATA!$A$3:$F$301,3,FALSE))^2),"")</f>
        <v/>
      </c>
      <c r="AS35" s="14" t="str">
        <f>_xlfn.IFNA(SQRT((VLOOKUP(AS$1,DATA!$A$3:$F$301,2,FALSE)-VLOOKUP($A35,DATA!$A$3:$F$301,2,FALSE))^2+(VLOOKUP(AS$1,DATA!$A$3:$F$301,3,FALSE)-VLOOKUP($A35,DATA!$A$3:$F$301,3,FALSE))^2),"")</f>
        <v/>
      </c>
      <c r="AT35" s="14" t="str">
        <f>_xlfn.IFNA(SQRT((VLOOKUP(AT$1,DATA!$A$3:$F$301,2,FALSE)-VLOOKUP($A35,DATA!$A$3:$F$301,2,FALSE))^2+(VLOOKUP(AT$1,DATA!$A$3:$F$301,3,FALSE)-VLOOKUP($A35,DATA!$A$3:$F$301,3,FALSE))^2),"")</f>
        <v/>
      </c>
      <c r="AU35" s="14" t="str">
        <f>_xlfn.IFNA(SQRT((VLOOKUP(AU$1,DATA!$A$3:$F$301,2,FALSE)-VLOOKUP($A35,DATA!$A$3:$F$301,2,FALSE))^2+(VLOOKUP(AU$1,DATA!$A$3:$F$301,3,FALSE)-VLOOKUP($A35,DATA!$A$3:$F$301,3,FALSE))^2),"")</f>
        <v/>
      </c>
      <c r="AV35" s="14" t="str">
        <f>_xlfn.IFNA(SQRT((VLOOKUP(AV$1,DATA!$A$3:$F$301,2,FALSE)-VLOOKUP($A35,DATA!$A$3:$F$301,2,FALSE))^2+(VLOOKUP(AV$1,DATA!$A$3:$F$301,3,FALSE)-VLOOKUP($A35,DATA!$A$3:$F$301,3,FALSE))^2),"")</f>
        <v/>
      </c>
      <c r="AW35" s="14" t="str">
        <f>_xlfn.IFNA(SQRT((VLOOKUP(AW$1,DATA!$A$3:$F$301,2,FALSE)-VLOOKUP($A35,DATA!$A$3:$F$301,2,FALSE))^2+(VLOOKUP(AW$1,DATA!$A$3:$F$301,3,FALSE)-VLOOKUP($A35,DATA!$A$3:$F$301,3,FALSE))^2),"")</f>
        <v/>
      </c>
      <c r="AX35" s="14" t="str">
        <f>_xlfn.IFNA(SQRT((VLOOKUP(AX$1,DATA!$A$3:$F$301,2,FALSE)-VLOOKUP($A35,DATA!$A$3:$F$301,2,FALSE))^2+(VLOOKUP(AX$1,DATA!$A$3:$F$301,3,FALSE)-VLOOKUP($A35,DATA!$A$3:$F$301,3,FALSE))^2),"")</f>
        <v/>
      </c>
      <c r="AY35" s="14" t="str">
        <f>_xlfn.IFNA(SQRT((VLOOKUP(AY$1,DATA!$A$3:$F$301,2,FALSE)-VLOOKUP($A35,DATA!$A$3:$F$301,2,FALSE))^2+(VLOOKUP(AY$1,DATA!$A$3:$F$301,3,FALSE)-VLOOKUP($A35,DATA!$A$3:$F$301,3,FALSE))^2),"")</f>
        <v/>
      </c>
      <c r="AZ35" s="14" t="str">
        <f>_xlfn.IFNA(SQRT((VLOOKUP(AZ$1,DATA!$A$3:$F$301,2,FALSE)-VLOOKUP($A35,DATA!$A$3:$F$301,2,FALSE))^2+(VLOOKUP(AZ$1,DATA!$A$3:$F$301,3,FALSE)-VLOOKUP($A35,DATA!$A$3:$F$301,3,FALSE))^2),"")</f>
        <v/>
      </c>
      <c r="BA35" s="14" t="str">
        <f>_xlfn.IFNA(SQRT((VLOOKUP(BA$1,DATA!$A$3:$F$301,2,FALSE)-VLOOKUP($A35,DATA!$A$3:$F$301,2,FALSE))^2+(VLOOKUP(BA$1,DATA!$A$3:$F$301,3,FALSE)-VLOOKUP($A35,DATA!$A$3:$F$301,3,FALSE))^2),"")</f>
        <v/>
      </c>
      <c r="BB35" s="14" t="str">
        <f>_xlfn.IFNA(SQRT((VLOOKUP(BB$1,DATA!$A$3:$F$301,2,FALSE)-VLOOKUP($A35,DATA!$A$3:$F$301,2,FALSE))^2+(VLOOKUP(BB$1,DATA!$A$3:$F$301,3,FALSE)-VLOOKUP($A35,DATA!$A$3:$F$301,3,FALSE))^2),"")</f>
        <v/>
      </c>
      <c r="BC35" s="14" t="str">
        <f>_xlfn.IFNA(SQRT((VLOOKUP(BC$1,DATA!$A$3:$F$301,2,FALSE)-VLOOKUP($A35,DATA!$A$3:$F$301,2,FALSE))^2+(VLOOKUP(BC$1,DATA!$A$3:$F$301,3,FALSE)-VLOOKUP($A35,DATA!$A$3:$F$301,3,FALSE))^2),"")</f>
        <v/>
      </c>
      <c r="BD35" s="14" t="str">
        <f>_xlfn.IFNA(SQRT((VLOOKUP(BD$1,DATA!$A$3:$F$301,2,FALSE)-VLOOKUP($A35,DATA!$A$3:$F$301,2,FALSE))^2+(VLOOKUP(BD$1,DATA!$A$3:$F$301,3,FALSE)-VLOOKUP($A35,DATA!$A$3:$F$301,3,FALSE))^2),"")</f>
        <v/>
      </c>
      <c r="BE35" s="14" t="str">
        <f>_xlfn.IFNA(SQRT((VLOOKUP(BE$1,DATA!$A$3:$F$301,2,FALSE)-VLOOKUP($A35,DATA!$A$3:$F$301,2,FALSE))^2+(VLOOKUP(BE$1,DATA!$A$3:$F$301,3,FALSE)-VLOOKUP($A35,DATA!$A$3:$F$301,3,FALSE))^2),"")</f>
        <v/>
      </c>
      <c r="BF35" s="14" t="str">
        <f>_xlfn.IFNA(SQRT((VLOOKUP(BF$1,DATA!$A$3:$F$301,2,FALSE)-VLOOKUP($A35,DATA!$A$3:$F$301,2,FALSE))^2+(VLOOKUP(BF$1,DATA!$A$3:$F$301,3,FALSE)-VLOOKUP($A35,DATA!$A$3:$F$301,3,FALSE))^2),"")</f>
        <v/>
      </c>
      <c r="BG35" s="14" t="str">
        <f>_xlfn.IFNA(SQRT((VLOOKUP(BG$1,DATA!$A$3:$F$301,2,FALSE)-VLOOKUP($A35,DATA!$A$3:$F$301,2,FALSE))^2+(VLOOKUP(BG$1,DATA!$A$3:$F$301,3,FALSE)-VLOOKUP($A35,DATA!$A$3:$F$301,3,FALSE))^2),"")</f>
        <v/>
      </c>
      <c r="BH35" s="14" t="str">
        <f>_xlfn.IFNA(SQRT((VLOOKUP(BH$1,DATA!$A$3:$F$301,2,FALSE)-VLOOKUP($A35,DATA!$A$3:$F$301,2,FALSE))^2+(VLOOKUP(BH$1,DATA!$A$3:$F$301,3,FALSE)-VLOOKUP($A35,DATA!$A$3:$F$301,3,FALSE))^2),"")</f>
        <v/>
      </c>
      <c r="BI35" s="14" t="str">
        <f>_xlfn.IFNA(SQRT((VLOOKUP(BI$1,DATA!$A$3:$F$301,2,FALSE)-VLOOKUP($A35,DATA!$A$3:$F$301,2,FALSE))^2+(VLOOKUP(BI$1,DATA!$A$3:$F$301,3,FALSE)-VLOOKUP($A35,DATA!$A$3:$F$301,3,FALSE))^2),"")</f>
        <v/>
      </c>
      <c r="BJ35" s="14" t="str">
        <f>_xlfn.IFNA(SQRT((VLOOKUP(BJ$1,DATA!$A$3:$F$301,2,FALSE)-VLOOKUP($A35,DATA!$A$3:$F$301,2,FALSE))^2+(VLOOKUP(BJ$1,DATA!$A$3:$F$301,3,FALSE)-VLOOKUP($A35,DATA!$A$3:$F$301,3,FALSE))^2),"")</f>
        <v/>
      </c>
      <c r="BK35" s="14" t="str">
        <f>_xlfn.IFNA(SQRT((VLOOKUP(BK$1,DATA!$A$3:$F$301,2,FALSE)-VLOOKUP($A35,DATA!$A$3:$F$301,2,FALSE))^2+(VLOOKUP(BK$1,DATA!$A$3:$F$301,3,FALSE)-VLOOKUP($A35,DATA!$A$3:$F$301,3,FALSE))^2),"")</f>
        <v/>
      </c>
      <c r="BL35" s="14" t="str">
        <f>_xlfn.IFNA(SQRT((VLOOKUP(BL$1,DATA!$A$3:$F$301,2,FALSE)-VLOOKUP($A35,DATA!$A$3:$F$301,2,FALSE))^2+(VLOOKUP(BL$1,DATA!$A$3:$F$301,3,FALSE)-VLOOKUP($A35,DATA!$A$3:$F$301,3,FALSE))^2),"")</f>
        <v/>
      </c>
      <c r="BM35" s="14" t="str">
        <f>_xlfn.IFNA(SQRT((VLOOKUP(BM$1,DATA!$A$3:$F$301,2,FALSE)-VLOOKUP($A35,DATA!$A$3:$F$301,2,FALSE))^2+(VLOOKUP(BM$1,DATA!$A$3:$F$301,3,FALSE)-VLOOKUP($A35,DATA!$A$3:$F$301,3,FALSE))^2),"")</f>
        <v/>
      </c>
      <c r="BN35" s="14" t="str">
        <f>_xlfn.IFNA(SQRT((VLOOKUP(BN$1,DATA!$A$3:$F$301,2,FALSE)-VLOOKUP($A35,DATA!$A$3:$F$301,2,FALSE))^2+(VLOOKUP(BN$1,DATA!$A$3:$F$301,3,FALSE)-VLOOKUP($A35,DATA!$A$3:$F$301,3,FALSE))^2),"")</f>
        <v/>
      </c>
      <c r="BO35" s="14" t="str">
        <f>_xlfn.IFNA(SQRT((VLOOKUP(BO$1,DATA!$A$3:$F$301,2,FALSE)-VLOOKUP($A35,DATA!$A$3:$F$301,2,FALSE))^2+(VLOOKUP(BO$1,DATA!$A$3:$F$301,3,FALSE)-VLOOKUP($A35,DATA!$A$3:$F$301,3,FALSE))^2),"")</f>
        <v/>
      </c>
      <c r="BP35" s="14" t="str">
        <f>_xlfn.IFNA(SQRT((VLOOKUP(BP$1,DATA!$A$3:$F$301,2,FALSE)-VLOOKUP($A35,DATA!$A$3:$F$301,2,FALSE))^2+(VLOOKUP(BP$1,DATA!$A$3:$F$301,3,FALSE)-VLOOKUP($A35,DATA!$A$3:$F$301,3,FALSE))^2),"")</f>
        <v/>
      </c>
      <c r="BQ35" s="14" t="str">
        <f>_xlfn.IFNA(SQRT((VLOOKUP(BQ$1,DATA!$A$3:$F$301,2,FALSE)-VLOOKUP($A35,DATA!$A$3:$F$301,2,FALSE))^2+(VLOOKUP(BQ$1,DATA!$A$3:$F$301,3,FALSE)-VLOOKUP($A35,DATA!$A$3:$F$301,3,FALSE))^2),"")</f>
        <v/>
      </c>
      <c r="BR35" s="14" t="str">
        <f>_xlfn.IFNA(SQRT((VLOOKUP(BR$1,DATA!$A$3:$F$301,2,FALSE)-VLOOKUP($A35,DATA!$A$3:$F$301,2,FALSE))^2+(VLOOKUP(BR$1,DATA!$A$3:$F$301,3,FALSE)-VLOOKUP($A35,DATA!$A$3:$F$301,3,FALSE))^2),"")</f>
        <v/>
      </c>
      <c r="BS35" s="14" t="str">
        <f>_xlfn.IFNA(SQRT((VLOOKUP(BS$1,DATA!$A$3:$F$301,2,FALSE)-VLOOKUP($A35,DATA!$A$3:$F$301,2,FALSE))^2+(VLOOKUP(BS$1,DATA!$A$3:$F$301,3,FALSE)-VLOOKUP($A35,DATA!$A$3:$F$301,3,FALSE))^2),"")</f>
        <v/>
      </c>
      <c r="BT35" s="14" t="str">
        <f>_xlfn.IFNA(SQRT((VLOOKUP(BT$1,DATA!$A$3:$F$301,2,FALSE)-VLOOKUP($A35,DATA!$A$3:$F$301,2,FALSE))^2+(VLOOKUP(BT$1,DATA!$A$3:$F$301,3,FALSE)-VLOOKUP($A35,DATA!$A$3:$F$301,3,FALSE))^2),"")</f>
        <v/>
      </c>
      <c r="BU35" s="14" t="str">
        <f>_xlfn.IFNA(SQRT((VLOOKUP(BU$1,DATA!$A$3:$F$301,2,FALSE)-VLOOKUP($A35,DATA!$A$3:$F$301,2,FALSE))^2+(VLOOKUP(BU$1,DATA!$A$3:$F$301,3,FALSE)-VLOOKUP($A35,DATA!$A$3:$F$301,3,FALSE))^2),"")</f>
        <v/>
      </c>
      <c r="BV35" s="14" t="str">
        <f>_xlfn.IFNA(SQRT((VLOOKUP(BV$1,DATA!$A$3:$F$301,2,FALSE)-VLOOKUP($A35,DATA!$A$3:$F$301,2,FALSE))^2+(VLOOKUP(BV$1,DATA!$A$3:$F$301,3,FALSE)-VLOOKUP($A35,DATA!$A$3:$F$301,3,FALSE))^2),"")</f>
        <v/>
      </c>
      <c r="BW35" s="14" t="str">
        <f>_xlfn.IFNA(SQRT((VLOOKUP(BW$1,DATA!$A$3:$F$301,2,FALSE)-VLOOKUP($A35,DATA!$A$3:$F$301,2,FALSE))^2+(VLOOKUP(BW$1,DATA!$A$3:$F$301,3,FALSE)-VLOOKUP($A35,DATA!$A$3:$F$301,3,FALSE))^2),"")</f>
        <v/>
      </c>
      <c r="BX35" s="14" t="str">
        <f>_xlfn.IFNA(SQRT((VLOOKUP(BX$1,DATA!$A$3:$F$301,2,FALSE)-VLOOKUP($A35,DATA!$A$3:$F$301,2,FALSE))^2+(VLOOKUP(BX$1,DATA!$A$3:$F$301,3,FALSE)-VLOOKUP($A35,DATA!$A$3:$F$301,3,FALSE))^2),"")</f>
        <v/>
      </c>
      <c r="BY35" s="14" t="str">
        <f>_xlfn.IFNA(SQRT((VLOOKUP(BY$1,DATA!$A$3:$F$301,2,FALSE)-VLOOKUP($A35,DATA!$A$3:$F$301,2,FALSE))^2+(VLOOKUP(BY$1,DATA!$A$3:$F$301,3,FALSE)-VLOOKUP($A35,DATA!$A$3:$F$301,3,FALSE))^2),"")</f>
        <v/>
      </c>
      <c r="BZ35" s="14" t="str">
        <f>_xlfn.IFNA(SQRT((VLOOKUP(BZ$1,DATA!$A$3:$F$301,2,FALSE)-VLOOKUP($A35,DATA!$A$3:$F$301,2,FALSE))^2+(VLOOKUP(BZ$1,DATA!$A$3:$F$301,3,FALSE)-VLOOKUP($A35,DATA!$A$3:$F$301,3,FALSE))^2),"")</f>
        <v/>
      </c>
      <c r="CA35" s="14" t="str">
        <f>_xlfn.IFNA(SQRT((VLOOKUP(CA$1,DATA!$A$3:$F$301,2,FALSE)-VLOOKUP($A35,DATA!$A$3:$F$301,2,FALSE))^2+(VLOOKUP(CA$1,DATA!$A$3:$F$301,3,FALSE)-VLOOKUP($A35,DATA!$A$3:$F$301,3,FALSE))^2),"")</f>
        <v/>
      </c>
      <c r="CB35" s="14" t="str">
        <f>_xlfn.IFNA(SQRT((VLOOKUP(CB$1,DATA!$A$3:$F$301,2,FALSE)-VLOOKUP($A35,DATA!$A$3:$F$301,2,FALSE))^2+(VLOOKUP(CB$1,DATA!$A$3:$F$301,3,FALSE)-VLOOKUP($A35,DATA!$A$3:$F$301,3,FALSE))^2),"")</f>
        <v/>
      </c>
      <c r="CC35" s="14" t="str">
        <f>_xlfn.IFNA(SQRT((VLOOKUP(CC$1,DATA!$A$3:$F$301,2,FALSE)-VLOOKUP($A35,DATA!$A$3:$F$301,2,FALSE))^2+(VLOOKUP(CC$1,DATA!$A$3:$F$301,3,FALSE)-VLOOKUP($A35,DATA!$A$3:$F$301,3,FALSE))^2),"")</f>
        <v/>
      </c>
      <c r="CD35" s="14" t="str">
        <f>_xlfn.IFNA(SQRT((VLOOKUP(CD$1,DATA!$A$3:$F$301,2,FALSE)-VLOOKUP($A35,DATA!$A$3:$F$301,2,FALSE))^2+(VLOOKUP(CD$1,DATA!$A$3:$F$301,3,FALSE)-VLOOKUP($A35,DATA!$A$3:$F$301,3,FALSE))^2),"")</f>
        <v/>
      </c>
      <c r="CE35" s="14" t="str">
        <f>_xlfn.IFNA(SQRT((VLOOKUP(CE$1,DATA!$A$3:$F$301,2,FALSE)-VLOOKUP($A35,DATA!$A$3:$F$301,2,FALSE))^2+(VLOOKUP(CE$1,DATA!$A$3:$F$301,3,FALSE)-VLOOKUP($A35,DATA!$A$3:$F$301,3,FALSE))^2),"")</f>
        <v/>
      </c>
      <c r="CF35" s="14" t="str">
        <f>_xlfn.IFNA(SQRT((VLOOKUP(CF$1,DATA!$A$3:$F$301,2,FALSE)-VLOOKUP($A35,DATA!$A$3:$F$301,2,FALSE))^2+(VLOOKUP(CF$1,DATA!$A$3:$F$301,3,FALSE)-VLOOKUP($A35,DATA!$A$3:$F$301,3,FALSE))^2),"")</f>
        <v/>
      </c>
      <c r="CG35" s="14" t="str">
        <f>_xlfn.IFNA(SQRT((VLOOKUP(CG$1,DATA!$A$3:$F$301,2,FALSE)-VLOOKUP($A35,DATA!$A$3:$F$301,2,FALSE))^2+(VLOOKUP(CG$1,DATA!$A$3:$F$301,3,FALSE)-VLOOKUP($A35,DATA!$A$3:$F$301,3,FALSE))^2),"")</f>
        <v/>
      </c>
      <c r="CH35" s="14" t="str">
        <f>_xlfn.IFNA(SQRT((VLOOKUP(CH$1,DATA!$A$3:$F$301,2,FALSE)-VLOOKUP($A35,DATA!$A$3:$F$301,2,FALSE))^2+(VLOOKUP(CH$1,DATA!$A$3:$F$301,3,FALSE)-VLOOKUP($A35,DATA!$A$3:$F$301,3,FALSE))^2),"")</f>
        <v/>
      </c>
      <c r="CI35" s="14" t="str">
        <f>_xlfn.IFNA(SQRT((VLOOKUP(CI$1,DATA!$A$3:$F$301,2,FALSE)-VLOOKUP($A35,DATA!$A$3:$F$301,2,FALSE))^2+(VLOOKUP(CI$1,DATA!$A$3:$F$301,3,FALSE)-VLOOKUP($A35,DATA!$A$3:$F$301,3,FALSE))^2),"")</f>
        <v/>
      </c>
      <c r="CJ35" s="14" t="str">
        <f>_xlfn.IFNA(SQRT((VLOOKUP(CJ$1,DATA!$A$3:$F$301,2,FALSE)-VLOOKUP($A35,DATA!$A$3:$F$301,2,FALSE))^2+(VLOOKUP(CJ$1,DATA!$A$3:$F$301,3,FALSE)-VLOOKUP($A35,DATA!$A$3:$F$301,3,FALSE))^2),"")</f>
        <v/>
      </c>
      <c r="CK35" s="14" t="str">
        <f>_xlfn.IFNA(SQRT((VLOOKUP(CK$1,DATA!$A$3:$F$301,2,FALSE)-VLOOKUP($A35,DATA!$A$3:$F$301,2,FALSE))^2+(VLOOKUP(CK$1,DATA!$A$3:$F$301,3,FALSE)-VLOOKUP($A35,DATA!$A$3:$F$301,3,FALSE))^2),"")</f>
        <v/>
      </c>
      <c r="CL35" s="14" t="str">
        <f>_xlfn.IFNA(SQRT((VLOOKUP(CL$1,DATA!$A$3:$F$301,2,FALSE)-VLOOKUP($A35,DATA!$A$3:$F$301,2,FALSE))^2+(VLOOKUP(CL$1,DATA!$A$3:$F$301,3,FALSE)-VLOOKUP($A35,DATA!$A$3:$F$301,3,FALSE))^2),"")</f>
        <v/>
      </c>
      <c r="CM35" s="14" t="str">
        <f>_xlfn.IFNA(SQRT((VLOOKUP(CM$1,DATA!$A$3:$F$301,2,FALSE)-VLOOKUP($A35,DATA!$A$3:$F$301,2,FALSE))^2+(VLOOKUP(CM$1,DATA!$A$3:$F$301,3,FALSE)-VLOOKUP($A35,DATA!$A$3:$F$301,3,FALSE))^2),"")</f>
        <v/>
      </c>
      <c r="CN35" s="14" t="str">
        <f>_xlfn.IFNA(SQRT((VLOOKUP(CN$1,DATA!$A$3:$F$301,2,FALSE)-VLOOKUP($A35,DATA!$A$3:$F$301,2,FALSE))^2+(VLOOKUP(CN$1,DATA!$A$3:$F$301,3,FALSE)-VLOOKUP($A35,DATA!$A$3:$F$301,3,FALSE))^2),"")</f>
        <v/>
      </c>
      <c r="CO35" s="14" t="str">
        <f>_xlfn.IFNA(SQRT((VLOOKUP(CO$1,DATA!$A$3:$F$301,2,FALSE)-VLOOKUP($A35,DATA!$A$3:$F$301,2,FALSE))^2+(VLOOKUP(CO$1,DATA!$A$3:$F$301,3,FALSE)-VLOOKUP($A35,DATA!$A$3:$F$301,3,FALSE))^2),"")</f>
        <v/>
      </c>
      <c r="CP35" s="14" t="str">
        <f>_xlfn.IFNA(SQRT((VLOOKUP(CP$1,DATA!$A$3:$F$301,2,FALSE)-VLOOKUP($A35,DATA!$A$3:$F$301,2,FALSE))^2+(VLOOKUP(CP$1,DATA!$A$3:$F$301,3,FALSE)-VLOOKUP($A35,DATA!$A$3:$F$301,3,FALSE))^2),"")</f>
        <v/>
      </c>
      <c r="CQ35" s="14" t="str">
        <f>_xlfn.IFNA(SQRT((VLOOKUP(CQ$1,DATA!$A$3:$F$301,2,FALSE)-VLOOKUP($A35,DATA!$A$3:$F$301,2,FALSE))^2+(VLOOKUP(CQ$1,DATA!$A$3:$F$301,3,FALSE)-VLOOKUP($A35,DATA!$A$3:$F$301,3,FALSE))^2),"")</f>
        <v/>
      </c>
      <c r="CR35" s="14" t="str">
        <f>_xlfn.IFNA(SQRT((VLOOKUP(CR$1,DATA!$A$3:$F$301,2,FALSE)-VLOOKUP($A35,DATA!$A$3:$F$301,2,FALSE))^2+(VLOOKUP(CR$1,DATA!$A$3:$F$301,3,FALSE)-VLOOKUP($A35,DATA!$A$3:$F$301,3,FALSE))^2),"")</f>
        <v/>
      </c>
      <c r="CS35" s="14" t="str">
        <f>_xlfn.IFNA(SQRT((VLOOKUP(CS$1,DATA!$A$3:$F$301,2,FALSE)-VLOOKUP($A35,DATA!$A$3:$F$301,2,FALSE))^2+(VLOOKUP(CS$1,DATA!$A$3:$F$301,3,FALSE)-VLOOKUP($A35,DATA!$A$3:$F$301,3,FALSE))^2),"")</f>
        <v/>
      </c>
      <c r="CT35" s="14" t="str">
        <f>_xlfn.IFNA(SQRT((VLOOKUP(CT$1,DATA!$A$3:$F$301,2,FALSE)-VLOOKUP($A35,DATA!$A$3:$F$301,2,FALSE))^2+(VLOOKUP(CT$1,DATA!$A$3:$F$301,3,FALSE)-VLOOKUP($A35,DATA!$A$3:$F$301,3,FALSE))^2),"")</f>
        <v/>
      </c>
      <c r="CU35" s="14" t="str">
        <f>_xlfn.IFNA(SQRT((VLOOKUP(CU$1,DATA!$A$3:$F$301,2,FALSE)-VLOOKUP($A35,DATA!$A$3:$F$301,2,FALSE))^2+(VLOOKUP(CU$1,DATA!$A$3:$F$301,3,FALSE)-VLOOKUP($A35,DATA!$A$3:$F$301,3,FALSE))^2),"")</f>
        <v/>
      </c>
      <c r="CV35" s="14" t="str">
        <f>_xlfn.IFNA(SQRT((VLOOKUP(CV$1,DATA!$A$3:$F$301,2,FALSE)-VLOOKUP($A35,DATA!$A$3:$F$301,2,FALSE))^2+(VLOOKUP(CV$1,DATA!$A$3:$F$301,3,FALSE)-VLOOKUP($A35,DATA!$A$3:$F$301,3,FALSE))^2),"")</f>
        <v/>
      </c>
      <c r="CW35" s="14" t="str">
        <f>_xlfn.IFNA(SQRT((VLOOKUP(CW$1,DATA!$A$3:$F$301,2,FALSE)-VLOOKUP($A35,DATA!$A$3:$F$301,2,FALSE))^2+(VLOOKUP(CW$1,DATA!$A$3:$F$301,3,FALSE)-VLOOKUP($A35,DATA!$A$3:$F$301,3,FALSE))^2),"")</f>
        <v/>
      </c>
      <c r="CX35" s="14" t="str">
        <f>_xlfn.IFNA(SQRT((VLOOKUP(CX$1,DATA!$A$3:$F$301,2,FALSE)-VLOOKUP($A35,DATA!$A$3:$F$301,2,FALSE))^2+(VLOOKUP(CX$1,DATA!$A$3:$F$301,3,FALSE)-VLOOKUP($A35,DATA!$A$3:$F$301,3,FALSE))^2),"")</f>
        <v/>
      </c>
    </row>
    <row r="36" spans="1:102">
      <c r="A36" s="13">
        <v>35</v>
      </c>
      <c r="B36" s="14">
        <f>_xlfn.IFNA(SQRT((VLOOKUP(B$1,DATA!$A$3:$F$301,2,FALSE)-VLOOKUP($A36,DATA!$A$3:$F$301,2,FALSE))^2+(VLOOKUP(B$1,DATA!$A$3:$F$301,3,FALSE)-VLOOKUP($A36,DATA!$A$3:$F$301,3,FALSE))^2),"")</f>
        <v>30.594117081556711</v>
      </c>
      <c r="C36" s="14">
        <f>_xlfn.IFNA(SQRT((VLOOKUP(C$1,DATA!$A$3:$F$301,2,FALSE)-VLOOKUP($A36,DATA!$A$3:$F$301,2,FALSE))^2+(VLOOKUP(C$1,DATA!$A$3:$F$301,3,FALSE)-VLOOKUP($A36,DATA!$A$3:$F$301,3,FALSE))^2),"")</f>
        <v>35.355339059327378</v>
      </c>
      <c r="D36" s="14">
        <f>_xlfn.IFNA(SQRT((VLOOKUP(D$1,DATA!$A$3:$F$301,2,FALSE)-VLOOKUP($A36,DATA!$A$3:$F$301,2,FALSE))^2+(VLOOKUP(D$1,DATA!$A$3:$F$301,3,FALSE)-VLOOKUP($A36,DATA!$A$3:$F$301,3,FALSE))^2),"")</f>
        <v>34.985711369071801</v>
      </c>
      <c r="E36" s="14">
        <f>_xlfn.IFNA(SQRT((VLOOKUP(E$1,DATA!$A$3:$F$301,2,FALSE)-VLOOKUP($A36,DATA!$A$3:$F$301,2,FALSE))^2+(VLOOKUP(E$1,DATA!$A$3:$F$301,3,FALSE)-VLOOKUP($A36,DATA!$A$3:$F$301,3,FALSE))^2),"")</f>
        <v>28.231188426986208</v>
      </c>
      <c r="F36" s="14">
        <f>_xlfn.IFNA(SQRT((VLOOKUP(F$1,DATA!$A$3:$F$301,2,FALSE)-VLOOKUP($A36,DATA!$A$3:$F$301,2,FALSE))^2+(VLOOKUP(F$1,DATA!$A$3:$F$301,3,FALSE)-VLOOKUP($A36,DATA!$A$3:$F$301,3,FALSE))^2),"")</f>
        <v>42.953463189829058</v>
      </c>
      <c r="G36" s="14">
        <f>_xlfn.IFNA(SQRT((VLOOKUP(G$1,DATA!$A$3:$F$301,2,FALSE)-VLOOKUP($A36,DATA!$A$3:$F$301,2,FALSE))^2+(VLOOKUP(G$1,DATA!$A$3:$F$301,3,FALSE)-VLOOKUP($A36,DATA!$A$3:$F$301,3,FALSE))^2),"")</f>
        <v>9.4868329805051381</v>
      </c>
      <c r="H36" s="14">
        <f>_xlfn.IFNA(SQRT((VLOOKUP(H$1,DATA!$A$3:$F$301,2,FALSE)-VLOOKUP($A36,DATA!$A$3:$F$301,2,FALSE))^2+(VLOOKUP(H$1,DATA!$A$3:$F$301,3,FALSE)-VLOOKUP($A36,DATA!$A$3:$F$301,3,FALSE))^2),"")</f>
        <v>7</v>
      </c>
      <c r="I36" s="14">
        <f>_xlfn.IFNA(SQRT((VLOOKUP(I$1,DATA!$A$3:$F$301,2,FALSE)-VLOOKUP($A36,DATA!$A$3:$F$301,2,FALSE))^2+(VLOOKUP(I$1,DATA!$A$3:$F$301,3,FALSE)-VLOOKUP($A36,DATA!$A$3:$F$301,3,FALSE))^2),"")</f>
        <v>16.492422502470642</v>
      </c>
      <c r="J36" s="14">
        <f>_xlfn.IFNA(SQRT((VLOOKUP(J$1,DATA!$A$3:$F$301,2,FALSE)-VLOOKUP($A36,DATA!$A$3:$F$301,2,FALSE))^2+(VLOOKUP(J$1,DATA!$A$3:$F$301,3,FALSE)-VLOOKUP($A36,DATA!$A$3:$F$301,3,FALSE))^2),"")</f>
        <v>16.031219541881399</v>
      </c>
      <c r="K36" s="14">
        <f>_xlfn.IFNA(SQRT((VLOOKUP(K$1,DATA!$A$3:$F$301,2,FALSE)-VLOOKUP($A36,DATA!$A$3:$F$301,2,FALSE))^2+(VLOOKUP(K$1,DATA!$A$3:$F$301,3,FALSE)-VLOOKUP($A36,DATA!$A$3:$F$301,3,FALSE))^2),"")</f>
        <v>40.718546143004666</v>
      </c>
      <c r="L36" s="14">
        <f>_xlfn.IFNA(SQRT((VLOOKUP(L$1,DATA!$A$3:$F$301,2,FALSE)-VLOOKUP($A36,DATA!$A$3:$F$301,2,FALSE))^2+(VLOOKUP(L$1,DATA!$A$3:$F$301,3,FALSE)-VLOOKUP($A36,DATA!$A$3:$F$301,3,FALSE))^2),"")</f>
        <v>9.4868329805051381</v>
      </c>
      <c r="M36" s="14">
        <f>_xlfn.IFNA(SQRT((VLOOKUP(M$1,DATA!$A$3:$F$301,2,FALSE)-VLOOKUP($A36,DATA!$A$3:$F$301,2,FALSE))^2+(VLOOKUP(M$1,DATA!$A$3:$F$301,3,FALSE)-VLOOKUP($A36,DATA!$A$3:$F$301,3,FALSE))^2),"")</f>
        <v>28.635642126552707</v>
      </c>
      <c r="N36" s="14">
        <f>_xlfn.IFNA(SQRT((VLOOKUP(N$1,DATA!$A$3:$F$301,2,FALSE)-VLOOKUP($A36,DATA!$A$3:$F$301,2,FALSE))^2+(VLOOKUP(N$1,DATA!$A$3:$F$301,3,FALSE)-VLOOKUP($A36,DATA!$A$3:$F$301,3,FALSE))^2),"")</f>
        <v>24.515301344262525</v>
      </c>
      <c r="O36" s="14">
        <f>_xlfn.IFNA(SQRT((VLOOKUP(O$1,DATA!$A$3:$F$301,2,FALSE)-VLOOKUP($A36,DATA!$A$3:$F$301,2,FALSE))^2+(VLOOKUP(O$1,DATA!$A$3:$F$301,3,FALSE)-VLOOKUP($A36,DATA!$A$3:$F$301,3,FALSE))^2),"")</f>
        <v>48.020828814171878</v>
      </c>
      <c r="P36" s="14">
        <f>_xlfn.IFNA(SQRT((VLOOKUP(P$1,DATA!$A$3:$F$301,2,FALSE)-VLOOKUP($A36,DATA!$A$3:$F$301,2,FALSE))^2+(VLOOKUP(P$1,DATA!$A$3:$F$301,3,FALSE)-VLOOKUP($A36,DATA!$A$3:$F$301,3,FALSE))^2),"")</f>
        <v>24</v>
      </c>
      <c r="Q36" s="14">
        <f>_xlfn.IFNA(SQRT((VLOOKUP(Q$1,DATA!$A$3:$F$301,2,FALSE)-VLOOKUP($A36,DATA!$A$3:$F$301,2,FALSE))^2+(VLOOKUP(Q$1,DATA!$A$3:$F$301,3,FALSE)-VLOOKUP($A36,DATA!$A$3:$F$301,3,FALSE))^2),"")</f>
        <v>7.6157731058639087</v>
      </c>
      <c r="R36" s="14">
        <f>_xlfn.IFNA(SQRT((VLOOKUP(R$1,DATA!$A$3:$F$301,2,FALSE)-VLOOKUP($A36,DATA!$A$3:$F$301,2,FALSE))^2+(VLOOKUP(R$1,DATA!$A$3:$F$301,3,FALSE)-VLOOKUP($A36,DATA!$A$3:$F$301,3,FALSE))^2),"")</f>
        <v>22.825424421026653</v>
      </c>
      <c r="S36" s="14">
        <f>_xlfn.IFNA(SQRT((VLOOKUP(S$1,DATA!$A$3:$F$301,2,FALSE)-VLOOKUP($A36,DATA!$A$3:$F$301,2,FALSE))^2+(VLOOKUP(S$1,DATA!$A$3:$F$301,3,FALSE)-VLOOKUP($A36,DATA!$A$3:$F$301,3,FALSE))^2),"")</f>
        <v>15.264337522473747</v>
      </c>
      <c r="T36" s="14">
        <f>_xlfn.IFNA(SQRT((VLOOKUP(T$1,DATA!$A$3:$F$301,2,FALSE)-VLOOKUP($A36,DATA!$A$3:$F$301,2,FALSE))^2+(VLOOKUP(T$1,DATA!$A$3:$F$301,3,FALSE)-VLOOKUP($A36,DATA!$A$3:$F$301,3,FALSE))^2),"")</f>
        <v>39.204591567825318</v>
      </c>
      <c r="U36" s="14">
        <f>_xlfn.IFNA(SQRT((VLOOKUP(U$1,DATA!$A$3:$F$301,2,FALSE)-VLOOKUP($A36,DATA!$A$3:$F$301,2,FALSE))^2+(VLOOKUP(U$1,DATA!$A$3:$F$301,3,FALSE)-VLOOKUP($A36,DATA!$A$3:$F$301,3,FALSE))^2),"")</f>
        <v>21.931712199461309</v>
      </c>
      <c r="V36" s="14">
        <f>_xlfn.IFNA(SQRT((VLOOKUP(V$1,DATA!$A$3:$F$301,2,FALSE)-VLOOKUP($A36,DATA!$A$3:$F$301,2,FALSE))^2+(VLOOKUP(V$1,DATA!$A$3:$F$301,3,FALSE)-VLOOKUP($A36,DATA!$A$3:$F$301,3,FALSE))^2),"")</f>
        <v>8.6023252670426267</v>
      </c>
      <c r="W36" s="14">
        <f>_xlfn.IFNA(SQRT((VLOOKUP(W$1,DATA!$A$3:$F$301,2,FALSE)-VLOOKUP($A36,DATA!$A$3:$F$301,2,FALSE))^2+(VLOOKUP(W$1,DATA!$A$3:$F$301,3,FALSE)-VLOOKUP($A36,DATA!$A$3:$F$301,3,FALSE))^2),"")</f>
        <v>12.369316876852981</v>
      </c>
      <c r="X36" s="14">
        <f>_xlfn.IFNA(SQRT((VLOOKUP(X$1,DATA!$A$3:$F$301,2,FALSE)-VLOOKUP($A36,DATA!$A$3:$F$301,2,FALSE))^2+(VLOOKUP(X$1,DATA!$A$3:$F$301,3,FALSE)-VLOOKUP($A36,DATA!$A$3:$F$301,3,FALSE))^2),"")</f>
        <v>13.341664064126334</v>
      </c>
      <c r="Y36" s="14">
        <f>_xlfn.IFNA(SQRT((VLOOKUP(Y$1,DATA!$A$3:$F$301,2,FALSE)-VLOOKUP($A36,DATA!$A$3:$F$301,2,FALSE))^2+(VLOOKUP(Y$1,DATA!$A$3:$F$301,3,FALSE)-VLOOKUP($A36,DATA!$A$3:$F$301,3,FALSE))^2),"")</f>
        <v>15.811388300841896</v>
      </c>
      <c r="Z36" s="14">
        <f>_xlfn.IFNA(SQRT((VLOOKUP(Z$1,DATA!$A$3:$F$301,2,FALSE)-VLOOKUP($A36,DATA!$A$3:$F$301,2,FALSE))^2+(VLOOKUP(Z$1,DATA!$A$3:$F$301,3,FALSE)-VLOOKUP($A36,DATA!$A$3:$F$301,3,FALSE))^2),"")</f>
        <v>24.698178070456937</v>
      </c>
      <c r="AA36" s="14">
        <f>_xlfn.IFNA(SQRT((VLOOKUP(AA$1,DATA!$A$3:$F$301,2,FALSE)-VLOOKUP($A36,DATA!$A$3:$F$301,2,FALSE))^2+(VLOOKUP(AA$1,DATA!$A$3:$F$301,3,FALSE)-VLOOKUP($A36,DATA!$A$3:$F$301,3,FALSE))^2),"")</f>
        <v>24.839484696748443</v>
      </c>
      <c r="AB36" s="14">
        <f>_xlfn.IFNA(SQRT((VLOOKUP(AB$1,DATA!$A$3:$F$301,2,FALSE)-VLOOKUP($A36,DATA!$A$3:$F$301,2,FALSE))^2+(VLOOKUP(AB$1,DATA!$A$3:$F$301,3,FALSE)-VLOOKUP($A36,DATA!$A$3:$F$301,3,FALSE))^2),"")</f>
        <v>37.735924528226413</v>
      </c>
      <c r="AC36" s="14">
        <f>_xlfn.IFNA(SQRT((VLOOKUP(AC$1,DATA!$A$3:$F$301,2,FALSE)-VLOOKUP($A36,DATA!$A$3:$F$301,2,FALSE))^2+(VLOOKUP(AC$1,DATA!$A$3:$F$301,3,FALSE)-VLOOKUP($A36,DATA!$A$3:$F$301,3,FALSE))^2),"")</f>
        <v>34</v>
      </c>
      <c r="AD36" s="14">
        <f>_xlfn.IFNA(SQRT((VLOOKUP(AD$1,DATA!$A$3:$F$301,2,FALSE)-VLOOKUP($A36,DATA!$A$3:$F$301,2,FALSE))^2+(VLOOKUP(AD$1,DATA!$A$3:$F$301,3,FALSE)-VLOOKUP($A36,DATA!$A$3:$F$301,3,FALSE))^2),"")</f>
        <v>16.031219541881399</v>
      </c>
      <c r="AE36" s="14">
        <f>_xlfn.IFNA(SQRT((VLOOKUP(AE$1,DATA!$A$3:$F$301,2,FALSE)-VLOOKUP($A36,DATA!$A$3:$F$301,2,FALSE))^2+(VLOOKUP(AE$1,DATA!$A$3:$F$301,3,FALSE)-VLOOKUP($A36,DATA!$A$3:$F$301,3,FALSE))^2),"")</f>
        <v>48.383881613611777</v>
      </c>
      <c r="AF36" s="14">
        <f>_xlfn.IFNA(SQRT((VLOOKUP(AF$1,DATA!$A$3:$F$301,2,FALSE)-VLOOKUP($A36,DATA!$A$3:$F$301,2,FALSE))^2+(VLOOKUP(AF$1,DATA!$A$3:$F$301,3,FALSE)-VLOOKUP($A36,DATA!$A$3:$F$301,3,FALSE))^2),"")</f>
        <v>18.027756377319946</v>
      </c>
      <c r="AG36" s="14">
        <f>_xlfn.IFNA(SQRT((VLOOKUP(AG$1,DATA!$A$3:$F$301,2,FALSE)-VLOOKUP($A36,DATA!$A$3:$F$301,2,FALSE))^2+(VLOOKUP(AG$1,DATA!$A$3:$F$301,3,FALSE)-VLOOKUP($A36,DATA!$A$3:$F$301,3,FALSE))^2),"")</f>
        <v>33.105890714493697</v>
      </c>
      <c r="AH36" s="14">
        <f>_xlfn.IFNA(SQRT((VLOOKUP(AH$1,DATA!$A$3:$F$301,2,FALSE)-VLOOKUP($A36,DATA!$A$3:$F$301,2,FALSE))^2+(VLOOKUP(AH$1,DATA!$A$3:$F$301,3,FALSE)-VLOOKUP($A36,DATA!$A$3:$F$301,3,FALSE))^2),"")</f>
        <v>17.262676501632068</v>
      </c>
      <c r="AI36" s="14">
        <f>_xlfn.IFNA(SQRT((VLOOKUP(AI$1,DATA!$A$3:$F$301,2,FALSE)-VLOOKUP($A36,DATA!$A$3:$F$301,2,FALSE))^2+(VLOOKUP(AI$1,DATA!$A$3:$F$301,3,FALSE)-VLOOKUP($A36,DATA!$A$3:$F$301,3,FALSE))^2),"")</f>
        <v>24.413111231467404</v>
      </c>
      <c r="AJ36" s="14">
        <f>_xlfn.IFNA(SQRT((VLOOKUP(AJ$1,DATA!$A$3:$F$301,2,FALSE)-VLOOKUP($A36,DATA!$A$3:$F$301,2,FALSE))^2+(VLOOKUP(AJ$1,DATA!$A$3:$F$301,3,FALSE)-VLOOKUP($A36,DATA!$A$3:$F$301,3,FALSE))^2),"")</f>
        <v>0</v>
      </c>
      <c r="AK36" s="14">
        <f>_xlfn.IFNA(SQRT((VLOOKUP(AK$1,DATA!$A$3:$F$301,2,FALSE)-VLOOKUP($A36,DATA!$A$3:$F$301,2,FALSE))^2+(VLOOKUP(AK$1,DATA!$A$3:$F$301,3,FALSE)-VLOOKUP($A36,DATA!$A$3:$F$301,3,FALSE))^2),"")</f>
        <v>24.698178070456937</v>
      </c>
      <c r="AL36" s="14">
        <f>_xlfn.IFNA(SQRT((VLOOKUP(AL$1,DATA!$A$3:$F$301,2,FALSE)-VLOOKUP($A36,DATA!$A$3:$F$301,2,FALSE))^2+(VLOOKUP(AL$1,DATA!$A$3:$F$301,3,FALSE)-VLOOKUP($A36,DATA!$A$3:$F$301,3,FALSE))^2),"")</f>
        <v>27.202941017470888</v>
      </c>
      <c r="AM36" s="14">
        <f>_xlfn.IFNA(SQRT((VLOOKUP(AM$1,DATA!$A$3:$F$301,2,FALSE)-VLOOKUP($A36,DATA!$A$3:$F$301,2,FALSE))^2+(VLOOKUP(AM$1,DATA!$A$3:$F$301,3,FALSE)-VLOOKUP($A36,DATA!$A$3:$F$301,3,FALSE))^2),"")</f>
        <v>29.068883707497267</v>
      </c>
      <c r="AN36" s="14">
        <f>_xlfn.IFNA(SQRT((VLOOKUP(AN$1,DATA!$A$3:$F$301,2,FALSE)-VLOOKUP($A36,DATA!$A$3:$F$301,2,FALSE))^2+(VLOOKUP(AN$1,DATA!$A$3:$F$301,3,FALSE)-VLOOKUP($A36,DATA!$A$3:$F$301,3,FALSE))^2),"")</f>
        <v>17.029386365926403</v>
      </c>
      <c r="AO36" s="14">
        <f>_xlfn.IFNA(SQRT((VLOOKUP(AO$1,DATA!$A$3:$F$301,2,FALSE)-VLOOKUP($A36,DATA!$A$3:$F$301,2,FALSE))^2+(VLOOKUP(AO$1,DATA!$A$3:$F$301,3,FALSE)-VLOOKUP($A36,DATA!$A$3:$F$301,3,FALSE))^2),"")</f>
        <v>24.351591323771842</v>
      </c>
      <c r="AP36" s="14" t="str">
        <f>_xlfn.IFNA(SQRT((VLOOKUP(AP$1,DATA!$A$3:$F$301,2,FALSE)-VLOOKUP($A36,DATA!$A$3:$F$301,2,FALSE))^2+(VLOOKUP(AP$1,DATA!$A$3:$F$301,3,FALSE)-VLOOKUP($A36,DATA!$A$3:$F$301,3,FALSE))^2),"")</f>
        <v/>
      </c>
      <c r="AQ36" s="14" t="str">
        <f>_xlfn.IFNA(SQRT((VLOOKUP(AQ$1,DATA!$A$3:$F$301,2,FALSE)-VLOOKUP($A36,DATA!$A$3:$F$301,2,FALSE))^2+(VLOOKUP(AQ$1,DATA!$A$3:$F$301,3,FALSE)-VLOOKUP($A36,DATA!$A$3:$F$301,3,FALSE))^2),"")</f>
        <v/>
      </c>
      <c r="AR36" s="14" t="str">
        <f>_xlfn.IFNA(SQRT((VLOOKUP(AR$1,DATA!$A$3:$F$301,2,FALSE)-VLOOKUP($A36,DATA!$A$3:$F$301,2,FALSE))^2+(VLOOKUP(AR$1,DATA!$A$3:$F$301,3,FALSE)-VLOOKUP($A36,DATA!$A$3:$F$301,3,FALSE))^2),"")</f>
        <v/>
      </c>
      <c r="AS36" s="14" t="str">
        <f>_xlfn.IFNA(SQRT((VLOOKUP(AS$1,DATA!$A$3:$F$301,2,FALSE)-VLOOKUP($A36,DATA!$A$3:$F$301,2,FALSE))^2+(VLOOKUP(AS$1,DATA!$A$3:$F$301,3,FALSE)-VLOOKUP($A36,DATA!$A$3:$F$301,3,FALSE))^2),"")</f>
        <v/>
      </c>
      <c r="AT36" s="14" t="str">
        <f>_xlfn.IFNA(SQRT((VLOOKUP(AT$1,DATA!$A$3:$F$301,2,FALSE)-VLOOKUP($A36,DATA!$A$3:$F$301,2,FALSE))^2+(VLOOKUP(AT$1,DATA!$A$3:$F$301,3,FALSE)-VLOOKUP($A36,DATA!$A$3:$F$301,3,FALSE))^2),"")</f>
        <v/>
      </c>
      <c r="AU36" s="14" t="str">
        <f>_xlfn.IFNA(SQRT((VLOOKUP(AU$1,DATA!$A$3:$F$301,2,FALSE)-VLOOKUP($A36,DATA!$A$3:$F$301,2,FALSE))^2+(VLOOKUP(AU$1,DATA!$A$3:$F$301,3,FALSE)-VLOOKUP($A36,DATA!$A$3:$F$301,3,FALSE))^2),"")</f>
        <v/>
      </c>
      <c r="AV36" s="14" t="str">
        <f>_xlfn.IFNA(SQRT((VLOOKUP(AV$1,DATA!$A$3:$F$301,2,FALSE)-VLOOKUP($A36,DATA!$A$3:$F$301,2,FALSE))^2+(VLOOKUP(AV$1,DATA!$A$3:$F$301,3,FALSE)-VLOOKUP($A36,DATA!$A$3:$F$301,3,FALSE))^2),"")</f>
        <v/>
      </c>
      <c r="AW36" s="14" t="str">
        <f>_xlfn.IFNA(SQRT((VLOOKUP(AW$1,DATA!$A$3:$F$301,2,FALSE)-VLOOKUP($A36,DATA!$A$3:$F$301,2,FALSE))^2+(VLOOKUP(AW$1,DATA!$A$3:$F$301,3,FALSE)-VLOOKUP($A36,DATA!$A$3:$F$301,3,FALSE))^2),"")</f>
        <v/>
      </c>
      <c r="AX36" s="14" t="str">
        <f>_xlfn.IFNA(SQRT((VLOOKUP(AX$1,DATA!$A$3:$F$301,2,FALSE)-VLOOKUP($A36,DATA!$A$3:$F$301,2,FALSE))^2+(VLOOKUP(AX$1,DATA!$A$3:$F$301,3,FALSE)-VLOOKUP($A36,DATA!$A$3:$F$301,3,FALSE))^2),"")</f>
        <v/>
      </c>
      <c r="AY36" s="14" t="str">
        <f>_xlfn.IFNA(SQRT((VLOOKUP(AY$1,DATA!$A$3:$F$301,2,FALSE)-VLOOKUP($A36,DATA!$A$3:$F$301,2,FALSE))^2+(VLOOKUP(AY$1,DATA!$A$3:$F$301,3,FALSE)-VLOOKUP($A36,DATA!$A$3:$F$301,3,FALSE))^2),"")</f>
        <v/>
      </c>
      <c r="AZ36" s="14" t="str">
        <f>_xlfn.IFNA(SQRT((VLOOKUP(AZ$1,DATA!$A$3:$F$301,2,FALSE)-VLOOKUP($A36,DATA!$A$3:$F$301,2,FALSE))^2+(VLOOKUP(AZ$1,DATA!$A$3:$F$301,3,FALSE)-VLOOKUP($A36,DATA!$A$3:$F$301,3,FALSE))^2),"")</f>
        <v/>
      </c>
      <c r="BA36" s="14" t="str">
        <f>_xlfn.IFNA(SQRT((VLOOKUP(BA$1,DATA!$A$3:$F$301,2,FALSE)-VLOOKUP($A36,DATA!$A$3:$F$301,2,FALSE))^2+(VLOOKUP(BA$1,DATA!$A$3:$F$301,3,FALSE)-VLOOKUP($A36,DATA!$A$3:$F$301,3,FALSE))^2),"")</f>
        <v/>
      </c>
      <c r="BB36" s="14" t="str">
        <f>_xlfn.IFNA(SQRT((VLOOKUP(BB$1,DATA!$A$3:$F$301,2,FALSE)-VLOOKUP($A36,DATA!$A$3:$F$301,2,FALSE))^2+(VLOOKUP(BB$1,DATA!$A$3:$F$301,3,FALSE)-VLOOKUP($A36,DATA!$A$3:$F$301,3,FALSE))^2),"")</f>
        <v/>
      </c>
      <c r="BC36" s="14" t="str">
        <f>_xlfn.IFNA(SQRT((VLOOKUP(BC$1,DATA!$A$3:$F$301,2,FALSE)-VLOOKUP($A36,DATA!$A$3:$F$301,2,FALSE))^2+(VLOOKUP(BC$1,DATA!$A$3:$F$301,3,FALSE)-VLOOKUP($A36,DATA!$A$3:$F$301,3,FALSE))^2),"")</f>
        <v/>
      </c>
      <c r="BD36" s="14" t="str">
        <f>_xlfn.IFNA(SQRT((VLOOKUP(BD$1,DATA!$A$3:$F$301,2,FALSE)-VLOOKUP($A36,DATA!$A$3:$F$301,2,FALSE))^2+(VLOOKUP(BD$1,DATA!$A$3:$F$301,3,FALSE)-VLOOKUP($A36,DATA!$A$3:$F$301,3,FALSE))^2),"")</f>
        <v/>
      </c>
      <c r="BE36" s="14" t="str">
        <f>_xlfn.IFNA(SQRT((VLOOKUP(BE$1,DATA!$A$3:$F$301,2,FALSE)-VLOOKUP($A36,DATA!$A$3:$F$301,2,FALSE))^2+(VLOOKUP(BE$1,DATA!$A$3:$F$301,3,FALSE)-VLOOKUP($A36,DATA!$A$3:$F$301,3,FALSE))^2),"")</f>
        <v/>
      </c>
      <c r="BF36" s="14" t="str">
        <f>_xlfn.IFNA(SQRT((VLOOKUP(BF$1,DATA!$A$3:$F$301,2,FALSE)-VLOOKUP($A36,DATA!$A$3:$F$301,2,FALSE))^2+(VLOOKUP(BF$1,DATA!$A$3:$F$301,3,FALSE)-VLOOKUP($A36,DATA!$A$3:$F$301,3,FALSE))^2),"")</f>
        <v/>
      </c>
      <c r="BG36" s="14" t="str">
        <f>_xlfn.IFNA(SQRT((VLOOKUP(BG$1,DATA!$A$3:$F$301,2,FALSE)-VLOOKUP($A36,DATA!$A$3:$F$301,2,FALSE))^2+(VLOOKUP(BG$1,DATA!$A$3:$F$301,3,FALSE)-VLOOKUP($A36,DATA!$A$3:$F$301,3,FALSE))^2),"")</f>
        <v/>
      </c>
      <c r="BH36" s="14" t="str">
        <f>_xlfn.IFNA(SQRT((VLOOKUP(BH$1,DATA!$A$3:$F$301,2,FALSE)-VLOOKUP($A36,DATA!$A$3:$F$301,2,FALSE))^2+(VLOOKUP(BH$1,DATA!$A$3:$F$301,3,FALSE)-VLOOKUP($A36,DATA!$A$3:$F$301,3,FALSE))^2),"")</f>
        <v/>
      </c>
      <c r="BI36" s="14" t="str">
        <f>_xlfn.IFNA(SQRT((VLOOKUP(BI$1,DATA!$A$3:$F$301,2,FALSE)-VLOOKUP($A36,DATA!$A$3:$F$301,2,FALSE))^2+(VLOOKUP(BI$1,DATA!$A$3:$F$301,3,FALSE)-VLOOKUP($A36,DATA!$A$3:$F$301,3,FALSE))^2),"")</f>
        <v/>
      </c>
      <c r="BJ36" s="14" t="str">
        <f>_xlfn.IFNA(SQRT((VLOOKUP(BJ$1,DATA!$A$3:$F$301,2,FALSE)-VLOOKUP($A36,DATA!$A$3:$F$301,2,FALSE))^2+(VLOOKUP(BJ$1,DATA!$A$3:$F$301,3,FALSE)-VLOOKUP($A36,DATA!$A$3:$F$301,3,FALSE))^2),"")</f>
        <v/>
      </c>
      <c r="BK36" s="14" t="str">
        <f>_xlfn.IFNA(SQRT((VLOOKUP(BK$1,DATA!$A$3:$F$301,2,FALSE)-VLOOKUP($A36,DATA!$A$3:$F$301,2,FALSE))^2+(VLOOKUP(BK$1,DATA!$A$3:$F$301,3,FALSE)-VLOOKUP($A36,DATA!$A$3:$F$301,3,FALSE))^2),"")</f>
        <v/>
      </c>
      <c r="BL36" s="14" t="str">
        <f>_xlfn.IFNA(SQRT((VLOOKUP(BL$1,DATA!$A$3:$F$301,2,FALSE)-VLOOKUP($A36,DATA!$A$3:$F$301,2,FALSE))^2+(VLOOKUP(BL$1,DATA!$A$3:$F$301,3,FALSE)-VLOOKUP($A36,DATA!$A$3:$F$301,3,FALSE))^2),"")</f>
        <v/>
      </c>
      <c r="BM36" s="14" t="str">
        <f>_xlfn.IFNA(SQRT((VLOOKUP(BM$1,DATA!$A$3:$F$301,2,FALSE)-VLOOKUP($A36,DATA!$A$3:$F$301,2,FALSE))^2+(VLOOKUP(BM$1,DATA!$A$3:$F$301,3,FALSE)-VLOOKUP($A36,DATA!$A$3:$F$301,3,FALSE))^2),"")</f>
        <v/>
      </c>
      <c r="BN36" s="14" t="str">
        <f>_xlfn.IFNA(SQRT((VLOOKUP(BN$1,DATA!$A$3:$F$301,2,FALSE)-VLOOKUP($A36,DATA!$A$3:$F$301,2,FALSE))^2+(VLOOKUP(BN$1,DATA!$A$3:$F$301,3,FALSE)-VLOOKUP($A36,DATA!$A$3:$F$301,3,FALSE))^2),"")</f>
        <v/>
      </c>
      <c r="BO36" s="14" t="str">
        <f>_xlfn.IFNA(SQRT((VLOOKUP(BO$1,DATA!$A$3:$F$301,2,FALSE)-VLOOKUP($A36,DATA!$A$3:$F$301,2,FALSE))^2+(VLOOKUP(BO$1,DATA!$A$3:$F$301,3,FALSE)-VLOOKUP($A36,DATA!$A$3:$F$301,3,FALSE))^2),"")</f>
        <v/>
      </c>
      <c r="BP36" s="14" t="str">
        <f>_xlfn.IFNA(SQRT((VLOOKUP(BP$1,DATA!$A$3:$F$301,2,FALSE)-VLOOKUP($A36,DATA!$A$3:$F$301,2,FALSE))^2+(VLOOKUP(BP$1,DATA!$A$3:$F$301,3,FALSE)-VLOOKUP($A36,DATA!$A$3:$F$301,3,FALSE))^2),"")</f>
        <v/>
      </c>
      <c r="BQ36" s="14" t="str">
        <f>_xlfn.IFNA(SQRT((VLOOKUP(BQ$1,DATA!$A$3:$F$301,2,FALSE)-VLOOKUP($A36,DATA!$A$3:$F$301,2,FALSE))^2+(VLOOKUP(BQ$1,DATA!$A$3:$F$301,3,FALSE)-VLOOKUP($A36,DATA!$A$3:$F$301,3,FALSE))^2),"")</f>
        <v/>
      </c>
      <c r="BR36" s="14" t="str">
        <f>_xlfn.IFNA(SQRT((VLOOKUP(BR$1,DATA!$A$3:$F$301,2,FALSE)-VLOOKUP($A36,DATA!$A$3:$F$301,2,FALSE))^2+(VLOOKUP(BR$1,DATA!$A$3:$F$301,3,FALSE)-VLOOKUP($A36,DATA!$A$3:$F$301,3,FALSE))^2),"")</f>
        <v/>
      </c>
      <c r="BS36" s="14" t="str">
        <f>_xlfn.IFNA(SQRT((VLOOKUP(BS$1,DATA!$A$3:$F$301,2,FALSE)-VLOOKUP($A36,DATA!$A$3:$F$301,2,FALSE))^2+(VLOOKUP(BS$1,DATA!$A$3:$F$301,3,FALSE)-VLOOKUP($A36,DATA!$A$3:$F$301,3,FALSE))^2),"")</f>
        <v/>
      </c>
      <c r="BT36" s="14" t="str">
        <f>_xlfn.IFNA(SQRT((VLOOKUP(BT$1,DATA!$A$3:$F$301,2,FALSE)-VLOOKUP($A36,DATA!$A$3:$F$301,2,FALSE))^2+(VLOOKUP(BT$1,DATA!$A$3:$F$301,3,FALSE)-VLOOKUP($A36,DATA!$A$3:$F$301,3,FALSE))^2),"")</f>
        <v/>
      </c>
      <c r="BU36" s="14" t="str">
        <f>_xlfn.IFNA(SQRT((VLOOKUP(BU$1,DATA!$A$3:$F$301,2,FALSE)-VLOOKUP($A36,DATA!$A$3:$F$301,2,FALSE))^2+(VLOOKUP(BU$1,DATA!$A$3:$F$301,3,FALSE)-VLOOKUP($A36,DATA!$A$3:$F$301,3,FALSE))^2),"")</f>
        <v/>
      </c>
      <c r="BV36" s="14" t="str">
        <f>_xlfn.IFNA(SQRT((VLOOKUP(BV$1,DATA!$A$3:$F$301,2,FALSE)-VLOOKUP($A36,DATA!$A$3:$F$301,2,FALSE))^2+(VLOOKUP(BV$1,DATA!$A$3:$F$301,3,FALSE)-VLOOKUP($A36,DATA!$A$3:$F$301,3,FALSE))^2),"")</f>
        <v/>
      </c>
      <c r="BW36" s="14" t="str">
        <f>_xlfn.IFNA(SQRT((VLOOKUP(BW$1,DATA!$A$3:$F$301,2,FALSE)-VLOOKUP($A36,DATA!$A$3:$F$301,2,FALSE))^2+(VLOOKUP(BW$1,DATA!$A$3:$F$301,3,FALSE)-VLOOKUP($A36,DATA!$A$3:$F$301,3,FALSE))^2),"")</f>
        <v/>
      </c>
      <c r="BX36" s="14" t="str">
        <f>_xlfn.IFNA(SQRT((VLOOKUP(BX$1,DATA!$A$3:$F$301,2,FALSE)-VLOOKUP($A36,DATA!$A$3:$F$301,2,FALSE))^2+(VLOOKUP(BX$1,DATA!$A$3:$F$301,3,FALSE)-VLOOKUP($A36,DATA!$A$3:$F$301,3,FALSE))^2),"")</f>
        <v/>
      </c>
      <c r="BY36" s="14" t="str">
        <f>_xlfn.IFNA(SQRT((VLOOKUP(BY$1,DATA!$A$3:$F$301,2,FALSE)-VLOOKUP($A36,DATA!$A$3:$F$301,2,FALSE))^2+(VLOOKUP(BY$1,DATA!$A$3:$F$301,3,FALSE)-VLOOKUP($A36,DATA!$A$3:$F$301,3,FALSE))^2),"")</f>
        <v/>
      </c>
      <c r="BZ36" s="14" t="str">
        <f>_xlfn.IFNA(SQRT((VLOOKUP(BZ$1,DATA!$A$3:$F$301,2,FALSE)-VLOOKUP($A36,DATA!$A$3:$F$301,2,FALSE))^2+(VLOOKUP(BZ$1,DATA!$A$3:$F$301,3,FALSE)-VLOOKUP($A36,DATA!$A$3:$F$301,3,FALSE))^2),"")</f>
        <v/>
      </c>
      <c r="CA36" s="14" t="str">
        <f>_xlfn.IFNA(SQRT((VLOOKUP(CA$1,DATA!$A$3:$F$301,2,FALSE)-VLOOKUP($A36,DATA!$A$3:$F$301,2,FALSE))^2+(VLOOKUP(CA$1,DATA!$A$3:$F$301,3,FALSE)-VLOOKUP($A36,DATA!$A$3:$F$301,3,FALSE))^2),"")</f>
        <v/>
      </c>
      <c r="CB36" s="14" t="str">
        <f>_xlfn.IFNA(SQRT((VLOOKUP(CB$1,DATA!$A$3:$F$301,2,FALSE)-VLOOKUP($A36,DATA!$A$3:$F$301,2,FALSE))^2+(VLOOKUP(CB$1,DATA!$A$3:$F$301,3,FALSE)-VLOOKUP($A36,DATA!$A$3:$F$301,3,FALSE))^2),"")</f>
        <v/>
      </c>
      <c r="CC36" s="14" t="str">
        <f>_xlfn.IFNA(SQRT((VLOOKUP(CC$1,DATA!$A$3:$F$301,2,FALSE)-VLOOKUP($A36,DATA!$A$3:$F$301,2,FALSE))^2+(VLOOKUP(CC$1,DATA!$A$3:$F$301,3,FALSE)-VLOOKUP($A36,DATA!$A$3:$F$301,3,FALSE))^2),"")</f>
        <v/>
      </c>
      <c r="CD36" s="14" t="str">
        <f>_xlfn.IFNA(SQRT((VLOOKUP(CD$1,DATA!$A$3:$F$301,2,FALSE)-VLOOKUP($A36,DATA!$A$3:$F$301,2,FALSE))^2+(VLOOKUP(CD$1,DATA!$A$3:$F$301,3,FALSE)-VLOOKUP($A36,DATA!$A$3:$F$301,3,FALSE))^2),"")</f>
        <v/>
      </c>
      <c r="CE36" s="14" t="str">
        <f>_xlfn.IFNA(SQRT((VLOOKUP(CE$1,DATA!$A$3:$F$301,2,FALSE)-VLOOKUP($A36,DATA!$A$3:$F$301,2,FALSE))^2+(VLOOKUP(CE$1,DATA!$A$3:$F$301,3,FALSE)-VLOOKUP($A36,DATA!$A$3:$F$301,3,FALSE))^2),"")</f>
        <v/>
      </c>
      <c r="CF36" s="14" t="str">
        <f>_xlfn.IFNA(SQRT((VLOOKUP(CF$1,DATA!$A$3:$F$301,2,FALSE)-VLOOKUP($A36,DATA!$A$3:$F$301,2,FALSE))^2+(VLOOKUP(CF$1,DATA!$A$3:$F$301,3,FALSE)-VLOOKUP($A36,DATA!$A$3:$F$301,3,FALSE))^2),"")</f>
        <v/>
      </c>
      <c r="CG36" s="14" t="str">
        <f>_xlfn.IFNA(SQRT((VLOOKUP(CG$1,DATA!$A$3:$F$301,2,FALSE)-VLOOKUP($A36,DATA!$A$3:$F$301,2,FALSE))^2+(VLOOKUP(CG$1,DATA!$A$3:$F$301,3,FALSE)-VLOOKUP($A36,DATA!$A$3:$F$301,3,FALSE))^2),"")</f>
        <v/>
      </c>
      <c r="CH36" s="14" t="str">
        <f>_xlfn.IFNA(SQRT((VLOOKUP(CH$1,DATA!$A$3:$F$301,2,FALSE)-VLOOKUP($A36,DATA!$A$3:$F$301,2,FALSE))^2+(VLOOKUP(CH$1,DATA!$A$3:$F$301,3,FALSE)-VLOOKUP($A36,DATA!$A$3:$F$301,3,FALSE))^2),"")</f>
        <v/>
      </c>
      <c r="CI36" s="14" t="str">
        <f>_xlfn.IFNA(SQRT((VLOOKUP(CI$1,DATA!$A$3:$F$301,2,FALSE)-VLOOKUP($A36,DATA!$A$3:$F$301,2,FALSE))^2+(VLOOKUP(CI$1,DATA!$A$3:$F$301,3,FALSE)-VLOOKUP($A36,DATA!$A$3:$F$301,3,FALSE))^2),"")</f>
        <v/>
      </c>
      <c r="CJ36" s="14" t="str">
        <f>_xlfn.IFNA(SQRT((VLOOKUP(CJ$1,DATA!$A$3:$F$301,2,FALSE)-VLOOKUP($A36,DATA!$A$3:$F$301,2,FALSE))^2+(VLOOKUP(CJ$1,DATA!$A$3:$F$301,3,FALSE)-VLOOKUP($A36,DATA!$A$3:$F$301,3,FALSE))^2),"")</f>
        <v/>
      </c>
      <c r="CK36" s="14" t="str">
        <f>_xlfn.IFNA(SQRT((VLOOKUP(CK$1,DATA!$A$3:$F$301,2,FALSE)-VLOOKUP($A36,DATA!$A$3:$F$301,2,FALSE))^2+(VLOOKUP(CK$1,DATA!$A$3:$F$301,3,FALSE)-VLOOKUP($A36,DATA!$A$3:$F$301,3,FALSE))^2),"")</f>
        <v/>
      </c>
      <c r="CL36" s="14" t="str">
        <f>_xlfn.IFNA(SQRT((VLOOKUP(CL$1,DATA!$A$3:$F$301,2,FALSE)-VLOOKUP($A36,DATA!$A$3:$F$301,2,FALSE))^2+(VLOOKUP(CL$1,DATA!$A$3:$F$301,3,FALSE)-VLOOKUP($A36,DATA!$A$3:$F$301,3,FALSE))^2),"")</f>
        <v/>
      </c>
      <c r="CM36" s="14" t="str">
        <f>_xlfn.IFNA(SQRT((VLOOKUP(CM$1,DATA!$A$3:$F$301,2,FALSE)-VLOOKUP($A36,DATA!$A$3:$F$301,2,FALSE))^2+(VLOOKUP(CM$1,DATA!$A$3:$F$301,3,FALSE)-VLOOKUP($A36,DATA!$A$3:$F$301,3,FALSE))^2),"")</f>
        <v/>
      </c>
      <c r="CN36" s="14" t="str">
        <f>_xlfn.IFNA(SQRT((VLOOKUP(CN$1,DATA!$A$3:$F$301,2,FALSE)-VLOOKUP($A36,DATA!$A$3:$F$301,2,FALSE))^2+(VLOOKUP(CN$1,DATA!$A$3:$F$301,3,FALSE)-VLOOKUP($A36,DATA!$A$3:$F$301,3,FALSE))^2),"")</f>
        <v/>
      </c>
      <c r="CO36" s="14" t="str">
        <f>_xlfn.IFNA(SQRT((VLOOKUP(CO$1,DATA!$A$3:$F$301,2,FALSE)-VLOOKUP($A36,DATA!$A$3:$F$301,2,FALSE))^2+(VLOOKUP(CO$1,DATA!$A$3:$F$301,3,FALSE)-VLOOKUP($A36,DATA!$A$3:$F$301,3,FALSE))^2),"")</f>
        <v/>
      </c>
      <c r="CP36" s="14" t="str">
        <f>_xlfn.IFNA(SQRT((VLOOKUP(CP$1,DATA!$A$3:$F$301,2,FALSE)-VLOOKUP($A36,DATA!$A$3:$F$301,2,FALSE))^2+(VLOOKUP(CP$1,DATA!$A$3:$F$301,3,FALSE)-VLOOKUP($A36,DATA!$A$3:$F$301,3,FALSE))^2),"")</f>
        <v/>
      </c>
      <c r="CQ36" s="14" t="str">
        <f>_xlfn.IFNA(SQRT((VLOOKUP(CQ$1,DATA!$A$3:$F$301,2,FALSE)-VLOOKUP($A36,DATA!$A$3:$F$301,2,FALSE))^2+(VLOOKUP(CQ$1,DATA!$A$3:$F$301,3,FALSE)-VLOOKUP($A36,DATA!$A$3:$F$301,3,FALSE))^2),"")</f>
        <v/>
      </c>
      <c r="CR36" s="14" t="str">
        <f>_xlfn.IFNA(SQRT((VLOOKUP(CR$1,DATA!$A$3:$F$301,2,FALSE)-VLOOKUP($A36,DATA!$A$3:$F$301,2,FALSE))^2+(VLOOKUP(CR$1,DATA!$A$3:$F$301,3,FALSE)-VLOOKUP($A36,DATA!$A$3:$F$301,3,FALSE))^2),"")</f>
        <v/>
      </c>
      <c r="CS36" s="14" t="str">
        <f>_xlfn.IFNA(SQRT((VLOOKUP(CS$1,DATA!$A$3:$F$301,2,FALSE)-VLOOKUP($A36,DATA!$A$3:$F$301,2,FALSE))^2+(VLOOKUP(CS$1,DATA!$A$3:$F$301,3,FALSE)-VLOOKUP($A36,DATA!$A$3:$F$301,3,FALSE))^2),"")</f>
        <v/>
      </c>
      <c r="CT36" s="14" t="str">
        <f>_xlfn.IFNA(SQRT((VLOOKUP(CT$1,DATA!$A$3:$F$301,2,FALSE)-VLOOKUP($A36,DATA!$A$3:$F$301,2,FALSE))^2+(VLOOKUP(CT$1,DATA!$A$3:$F$301,3,FALSE)-VLOOKUP($A36,DATA!$A$3:$F$301,3,FALSE))^2),"")</f>
        <v/>
      </c>
      <c r="CU36" s="14" t="str">
        <f>_xlfn.IFNA(SQRT((VLOOKUP(CU$1,DATA!$A$3:$F$301,2,FALSE)-VLOOKUP($A36,DATA!$A$3:$F$301,2,FALSE))^2+(VLOOKUP(CU$1,DATA!$A$3:$F$301,3,FALSE)-VLOOKUP($A36,DATA!$A$3:$F$301,3,FALSE))^2),"")</f>
        <v/>
      </c>
      <c r="CV36" s="14" t="str">
        <f>_xlfn.IFNA(SQRT((VLOOKUP(CV$1,DATA!$A$3:$F$301,2,FALSE)-VLOOKUP($A36,DATA!$A$3:$F$301,2,FALSE))^2+(VLOOKUP(CV$1,DATA!$A$3:$F$301,3,FALSE)-VLOOKUP($A36,DATA!$A$3:$F$301,3,FALSE))^2),"")</f>
        <v/>
      </c>
      <c r="CW36" s="14" t="str">
        <f>_xlfn.IFNA(SQRT((VLOOKUP(CW$1,DATA!$A$3:$F$301,2,FALSE)-VLOOKUP($A36,DATA!$A$3:$F$301,2,FALSE))^2+(VLOOKUP(CW$1,DATA!$A$3:$F$301,3,FALSE)-VLOOKUP($A36,DATA!$A$3:$F$301,3,FALSE))^2),"")</f>
        <v/>
      </c>
      <c r="CX36" s="14" t="str">
        <f>_xlfn.IFNA(SQRT((VLOOKUP(CX$1,DATA!$A$3:$F$301,2,FALSE)-VLOOKUP($A36,DATA!$A$3:$F$301,2,FALSE))^2+(VLOOKUP(CX$1,DATA!$A$3:$F$301,3,FALSE)-VLOOKUP($A36,DATA!$A$3:$F$301,3,FALSE))^2),"")</f>
        <v/>
      </c>
    </row>
    <row r="37" spans="1:102">
      <c r="A37" s="13">
        <v>36</v>
      </c>
      <c r="B37" s="14">
        <f>_xlfn.IFNA(SQRT((VLOOKUP(B$1,DATA!$A$3:$F$301,2,FALSE)-VLOOKUP($A37,DATA!$A$3:$F$301,2,FALSE))^2+(VLOOKUP(B$1,DATA!$A$3:$F$301,3,FALSE)-VLOOKUP($A37,DATA!$A$3:$F$301,3,FALSE))^2),"")</f>
        <v>16.552945357246848</v>
      </c>
      <c r="C37" s="14">
        <f>_xlfn.IFNA(SQRT((VLOOKUP(C$1,DATA!$A$3:$F$301,2,FALSE)-VLOOKUP($A37,DATA!$A$3:$F$301,2,FALSE))^2+(VLOOKUP(C$1,DATA!$A$3:$F$301,3,FALSE)-VLOOKUP($A37,DATA!$A$3:$F$301,3,FALSE))^2),"")</f>
        <v>18.439088914585774</v>
      </c>
      <c r="D37" s="14">
        <f>_xlfn.IFNA(SQRT((VLOOKUP(D$1,DATA!$A$3:$F$301,2,FALSE)-VLOOKUP($A37,DATA!$A$3:$F$301,2,FALSE))^2+(VLOOKUP(D$1,DATA!$A$3:$F$301,3,FALSE)-VLOOKUP($A37,DATA!$A$3:$F$301,3,FALSE))^2),"")</f>
        <v>27.892651361962706</v>
      </c>
      <c r="E37" s="14">
        <f>_xlfn.IFNA(SQRT((VLOOKUP(E$1,DATA!$A$3:$F$301,2,FALSE)-VLOOKUP($A37,DATA!$A$3:$F$301,2,FALSE))^2+(VLOOKUP(E$1,DATA!$A$3:$F$301,3,FALSE)-VLOOKUP($A37,DATA!$A$3:$F$301,3,FALSE))^2),"")</f>
        <v>20.223748416156685</v>
      </c>
      <c r="F37" s="14">
        <f>_xlfn.IFNA(SQRT((VLOOKUP(F$1,DATA!$A$3:$F$301,2,FALSE)-VLOOKUP($A37,DATA!$A$3:$F$301,2,FALSE))^2+(VLOOKUP(F$1,DATA!$A$3:$F$301,3,FALSE)-VLOOKUP($A37,DATA!$A$3:$F$301,3,FALSE))^2),"")</f>
        <v>18.357559750685819</v>
      </c>
      <c r="G37" s="14">
        <f>_xlfn.IFNA(SQRT((VLOOKUP(G$1,DATA!$A$3:$F$301,2,FALSE)-VLOOKUP($A37,DATA!$A$3:$F$301,2,FALSE))^2+(VLOOKUP(G$1,DATA!$A$3:$F$301,3,FALSE)-VLOOKUP($A37,DATA!$A$3:$F$301,3,FALSE))^2),"")</f>
        <v>15.231546211727817</v>
      </c>
      <c r="H37" s="14">
        <f>_xlfn.IFNA(SQRT((VLOOKUP(H$1,DATA!$A$3:$F$301,2,FALSE)-VLOOKUP($A37,DATA!$A$3:$F$301,2,FALSE))^2+(VLOOKUP(H$1,DATA!$A$3:$F$301,3,FALSE)-VLOOKUP($A37,DATA!$A$3:$F$301,3,FALSE))^2),"")</f>
        <v>28.0178514522438</v>
      </c>
      <c r="I37" s="14">
        <f>_xlfn.IFNA(SQRT((VLOOKUP(I$1,DATA!$A$3:$F$301,2,FALSE)-VLOOKUP($A37,DATA!$A$3:$F$301,2,FALSE))^2+(VLOOKUP(I$1,DATA!$A$3:$F$301,3,FALSE)-VLOOKUP($A37,DATA!$A$3:$F$301,3,FALSE))^2),"")</f>
        <v>20.248456731316587</v>
      </c>
      <c r="J37" s="14">
        <f>_xlfn.IFNA(SQRT((VLOOKUP(J$1,DATA!$A$3:$F$301,2,FALSE)-VLOOKUP($A37,DATA!$A$3:$F$301,2,FALSE))^2+(VLOOKUP(J$1,DATA!$A$3:$F$301,3,FALSE)-VLOOKUP($A37,DATA!$A$3:$F$301,3,FALSE))^2),"")</f>
        <v>12.206555615733702</v>
      </c>
      <c r="K37" s="14">
        <f>_xlfn.IFNA(SQRT((VLOOKUP(K$1,DATA!$A$3:$F$301,2,FALSE)-VLOOKUP($A37,DATA!$A$3:$F$301,2,FALSE))^2+(VLOOKUP(K$1,DATA!$A$3:$F$301,3,FALSE)-VLOOKUP($A37,DATA!$A$3:$F$301,3,FALSE))^2),"")</f>
        <v>29.529646120466801</v>
      </c>
      <c r="L37" s="14">
        <f>_xlfn.IFNA(SQRT((VLOOKUP(L$1,DATA!$A$3:$F$301,2,FALSE)-VLOOKUP($A37,DATA!$A$3:$F$301,2,FALSE))^2+(VLOOKUP(L$1,DATA!$A$3:$F$301,3,FALSE)-VLOOKUP($A37,DATA!$A$3:$F$301,3,FALSE))^2),"")</f>
        <v>20</v>
      </c>
      <c r="M37" s="14">
        <f>_xlfn.IFNA(SQRT((VLOOKUP(M$1,DATA!$A$3:$F$301,2,FALSE)-VLOOKUP($A37,DATA!$A$3:$F$301,2,FALSE))^2+(VLOOKUP(M$1,DATA!$A$3:$F$301,3,FALSE)-VLOOKUP($A37,DATA!$A$3:$F$301,3,FALSE))^2),"")</f>
        <v>5.8309518948453007</v>
      </c>
      <c r="N37" s="14">
        <f>_xlfn.IFNA(SQRT((VLOOKUP(N$1,DATA!$A$3:$F$301,2,FALSE)-VLOOKUP($A37,DATA!$A$3:$F$301,2,FALSE))^2+(VLOOKUP(N$1,DATA!$A$3:$F$301,3,FALSE)-VLOOKUP($A37,DATA!$A$3:$F$301,3,FALSE))^2),"")</f>
        <v>14.035668847618199</v>
      </c>
      <c r="O37" s="14">
        <f>_xlfn.IFNA(SQRT((VLOOKUP(O$1,DATA!$A$3:$F$301,2,FALSE)-VLOOKUP($A37,DATA!$A$3:$F$301,2,FALSE))^2+(VLOOKUP(O$1,DATA!$A$3:$F$301,3,FALSE)-VLOOKUP($A37,DATA!$A$3:$F$301,3,FALSE))^2),"")</f>
        <v>24.083189157584592</v>
      </c>
      <c r="P37" s="14">
        <f>_xlfn.IFNA(SQRT((VLOOKUP(P$1,DATA!$A$3:$F$301,2,FALSE)-VLOOKUP($A37,DATA!$A$3:$F$301,2,FALSE))^2+(VLOOKUP(P$1,DATA!$A$3:$F$301,3,FALSE)-VLOOKUP($A37,DATA!$A$3:$F$301,3,FALSE))^2),"")</f>
        <v>27.459060435491963</v>
      </c>
      <c r="Q37" s="14">
        <f>_xlfn.IFNA(SQRT((VLOOKUP(Q$1,DATA!$A$3:$F$301,2,FALSE)-VLOOKUP($A37,DATA!$A$3:$F$301,2,FALSE))^2+(VLOOKUP(Q$1,DATA!$A$3:$F$301,3,FALSE)-VLOOKUP($A37,DATA!$A$3:$F$301,3,FALSE))^2),"")</f>
        <v>17.088007490635061</v>
      </c>
      <c r="R37" s="14">
        <f>_xlfn.IFNA(SQRT((VLOOKUP(R$1,DATA!$A$3:$F$301,2,FALSE)-VLOOKUP($A37,DATA!$A$3:$F$301,2,FALSE))^2+(VLOOKUP(R$1,DATA!$A$3:$F$301,3,FALSE)-VLOOKUP($A37,DATA!$A$3:$F$301,3,FALSE))^2),"")</f>
        <v>31.384709652950431</v>
      </c>
      <c r="S37" s="14">
        <f>_xlfn.IFNA(SQRT((VLOOKUP(S$1,DATA!$A$3:$F$301,2,FALSE)-VLOOKUP($A37,DATA!$A$3:$F$301,2,FALSE))^2+(VLOOKUP(S$1,DATA!$A$3:$F$301,3,FALSE)-VLOOKUP($A37,DATA!$A$3:$F$301,3,FALSE))^2),"")</f>
        <v>10.04987562112089</v>
      </c>
      <c r="T37" s="14">
        <f>_xlfn.IFNA(SQRT((VLOOKUP(T$1,DATA!$A$3:$F$301,2,FALSE)-VLOOKUP($A37,DATA!$A$3:$F$301,2,FALSE))^2+(VLOOKUP(T$1,DATA!$A$3:$F$301,3,FALSE)-VLOOKUP($A37,DATA!$A$3:$F$301,3,FALSE))^2),"")</f>
        <v>17</v>
      </c>
      <c r="U37" s="14">
        <f>_xlfn.IFNA(SQRT((VLOOKUP(U$1,DATA!$A$3:$F$301,2,FALSE)-VLOOKUP($A37,DATA!$A$3:$F$301,2,FALSE))^2+(VLOOKUP(U$1,DATA!$A$3:$F$301,3,FALSE)-VLOOKUP($A37,DATA!$A$3:$F$301,3,FALSE))^2),"")</f>
        <v>25</v>
      </c>
      <c r="V37" s="14">
        <f>_xlfn.IFNA(SQRT((VLOOKUP(V$1,DATA!$A$3:$F$301,2,FALSE)-VLOOKUP($A37,DATA!$A$3:$F$301,2,FALSE))^2+(VLOOKUP(V$1,DATA!$A$3:$F$301,3,FALSE)-VLOOKUP($A37,DATA!$A$3:$F$301,3,FALSE))^2),"")</f>
        <v>21.2602916254693</v>
      </c>
      <c r="W37" s="14">
        <f>_xlfn.IFNA(SQRT((VLOOKUP(W$1,DATA!$A$3:$F$301,2,FALSE)-VLOOKUP($A37,DATA!$A$3:$F$301,2,FALSE))^2+(VLOOKUP(W$1,DATA!$A$3:$F$301,3,FALSE)-VLOOKUP($A37,DATA!$A$3:$F$301,3,FALSE))^2),"")</f>
        <v>29</v>
      </c>
      <c r="X37" s="14">
        <f>_xlfn.IFNA(SQRT((VLOOKUP(X$1,DATA!$A$3:$F$301,2,FALSE)-VLOOKUP($A37,DATA!$A$3:$F$301,2,FALSE))^2+(VLOOKUP(X$1,DATA!$A$3:$F$301,3,FALSE)-VLOOKUP($A37,DATA!$A$3:$F$301,3,FALSE))^2),"")</f>
        <v>34.058772731852805</v>
      </c>
      <c r="Y37" s="14">
        <f>_xlfn.IFNA(SQRT((VLOOKUP(Y$1,DATA!$A$3:$F$301,2,FALSE)-VLOOKUP($A37,DATA!$A$3:$F$301,2,FALSE))^2+(VLOOKUP(Y$1,DATA!$A$3:$F$301,3,FALSE)-VLOOKUP($A37,DATA!$A$3:$F$301,3,FALSE))^2),"")</f>
        <v>18.973665961010276</v>
      </c>
      <c r="Z37" s="14">
        <f>_xlfn.IFNA(SQRT((VLOOKUP(Z$1,DATA!$A$3:$F$301,2,FALSE)-VLOOKUP($A37,DATA!$A$3:$F$301,2,FALSE))^2+(VLOOKUP(Z$1,DATA!$A$3:$F$301,3,FALSE)-VLOOKUP($A37,DATA!$A$3:$F$301,3,FALSE))^2),"")</f>
        <v>31.622776601683793</v>
      </c>
      <c r="AA37" s="14">
        <f>_xlfn.IFNA(SQRT((VLOOKUP(AA$1,DATA!$A$3:$F$301,2,FALSE)-VLOOKUP($A37,DATA!$A$3:$F$301,2,FALSE))^2+(VLOOKUP(AA$1,DATA!$A$3:$F$301,3,FALSE)-VLOOKUP($A37,DATA!$A$3:$F$301,3,FALSE))^2),"")</f>
        <v>8.0622577482985491</v>
      </c>
      <c r="AB37" s="14">
        <f>_xlfn.IFNA(SQRT((VLOOKUP(AB$1,DATA!$A$3:$F$301,2,FALSE)-VLOOKUP($A37,DATA!$A$3:$F$301,2,FALSE))^2+(VLOOKUP(AB$1,DATA!$A$3:$F$301,3,FALSE)-VLOOKUP($A37,DATA!$A$3:$F$301,3,FALSE))^2),"")</f>
        <v>30.364452901377952</v>
      </c>
      <c r="AC37" s="14">
        <f>_xlfn.IFNA(SQRT((VLOOKUP(AC$1,DATA!$A$3:$F$301,2,FALSE)-VLOOKUP($A37,DATA!$A$3:$F$301,2,FALSE))^2+(VLOOKUP(AC$1,DATA!$A$3:$F$301,3,FALSE)-VLOOKUP($A37,DATA!$A$3:$F$301,3,FALSE))^2),"")</f>
        <v>9.8994949366116654</v>
      </c>
      <c r="AD37" s="14">
        <f>_xlfn.IFNA(SQRT((VLOOKUP(AD$1,DATA!$A$3:$F$301,2,FALSE)-VLOOKUP($A37,DATA!$A$3:$F$301,2,FALSE))^2+(VLOOKUP(AD$1,DATA!$A$3:$F$301,3,FALSE)-VLOOKUP($A37,DATA!$A$3:$F$301,3,FALSE))^2),"")</f>
        <v>34.655446902326915</v>
      </c>
      <c r="AE37" s="14">
        <f>_xlfn.IFNA(SQRT((VLOOKUP(AE$1,DATA!$A$3:$F$301,2,FALSE)-VLOOKUP($A37,DATA!$A$3:$F$301,2,FALSE))^2+(VLOOKUP(AE$1,DATA!$A$3:$F$301,3,FALSE)-VLOOKUP($A37,DATA!$A$3:$F$301,3,FALSE))^2),"")</f>
        <v>23.769728648009426</v>
      </c>
      <c r="AF37" s="14">
        <f>_xlfn.IFNA(SQRT((VLOOKUP(AF$1,DATA!$A$3:$F$301,2,FALSE)-VLOOKUP($A37,DATA!$A$3:$F$301,2,FALSE))^2+(VLOOKUP(AF$1,DATA!$A$3:$F$301,3,FALSE)-VLOOKUP($A37,DATA!$A$3:$F$301,3,FALSE))^2),"")</f>
        <v>27.294688127912362</v>
      </c>
      <c r="AG37" s="14">
        <f>_xlfn.IFNA(SQRT((VLOOKUP(AG$1,DATA!$A$3:$F$301,2,FALSE)-VLOOKUP($A37,DATA!$A$3:$F$301,2,FALSE))^2+(VLOOKUP(AG$1,DATA!$A$3:$F$301,3,FALSE)-VLOOKUP($A37,DATA!$A$3:$F$301,3,FALSE))^2),"")</f>
        <v>8.6023252670426267</v>
      </c>
      <c r="AH37" s="14">
        <f>_xlfn.IFNA(SQRT((VLOOKUP(AH$1,DATA!$A$3:$F$301,2,FALSE)-VLOOKUP($A37,DATA!$A$3:$F$301,2,FALSE))^2+(VLOOKUP(AH$1,DATA!$A$3:$F$301,3,FALSE)-VLOOKUP($A37,DATA!$A$3:$F$301,3,FALSE))^2),"")</f>
        <v>8.4852813742385695</v>
      </c>
      <c r="AI37" s="14">
        <f>_xlfn.IFNA(SQRT((VLOOKUP(AI$1,DATA!$A$3:$F$301,2,FALSE)-VLOOKUP($A37,DATA!$A$3:$F$301,2,FALSE))^2+(VLOOKUP(AI$1,DATA!$A$3:$F$301,3,FALSE)-VLOOKUP($A37,DATA!$A$3:$F$301,3,FALSE))^2),"")</f>
        <v>30.364452901377952</v>
      </c>
      <c r="AJ37" s="14">
        <f>_xlfn.IFNA(SQRT((VLOOKUP(AJ$1,DATA!$A$3:$F$301,2,FALSE)-VLOOKUP($A37,DATA!$A$3:$F$301,2,FALSE))^2+(VLOOKUP(AJ$1,DATA!$A$3:$F$301,3,FALSE)-VLOOKUP($A37,DATA!$A$3:$F$301,3,FALSE))^2),"")</f>
        <v>24.698178070456937</v>
      </c>
      <c r="AK37" s="14">
        <f>_xlfn.IFNA(SQRT((VLOOKUP(AK$1,DATA!$A$3:$F$301,2,FALSE)-VLOOKUP($A37,DATA!$A$3:$F$301,2,FALSE))^2+(VLOOKUP(AK$1,DATA!$A$3:$F$301,3,FALSE)-VLOOKUP($A37,DATA!$A$3:$F$301,3,FALSE))^2),"")</f>
        <v>0</v>
      </c>
      <c r="AL37" s="14">
        <f>_xlfn.IFNA(SQRT((VLOOKUP(AL$1,DATA!$A$3:$F$301,2,FALSE)-VLOOKUP($A37,DATA!$A$3:$F$301,2,FALSE))^2+(VLOOKUP(AL$1,DATA!$A$3:$F$301,3,FALSE)-VLOOKUP($A37,DATA!$A$3:$F$301,3,FALSE))^2),"")</f>
        <v>22.671568097509269</v>
      </c>
      <c r="AM37" s="14">
        <f>_xlfn.IFNA(SQRT((VLOOKUP(AM$1,DATA!$A$3:$F$301,2,FALSE)-VLOOKUP($A37,DATA!$A$3:$F$301,2,FALSE))^2+(VLOOKUP(AM$1,DATA!$A$3:$F$301,3,FALSE)-VLOOKUP($A37,DATA!$A$3:$F$301,3,FALSE))^2),"")</f>
        <v>10.04987562112089</v>
      </c>
      <c r="AN37" s="14">
        <f>_xlfn.IFNA(SQRT((VLOOKUP(AN$1,DATA!$A$3:$F$301,2,FALSE)-VLOOKUP($A37,DATA!$A$3:$F$301,2,FALSE))^2+(VLOOKUP(AN$1,DATA!$A$3:$F$301,3,FALSE)-VLOOKUP($A37,DATA!$A$3:$F$301,3,FALSE))^2),"")</f>
        <v>35.383612025908263</v>
      </c>
      <c r="AO37" s="14">
        <f>_xlfn.IFNA(SQRT((VLOOKUP(AO$1,DATA!$A$3:$F$301,2,FALSE)-VLOOKUP($A37,DATA!$A$3:$F$301,2,FALSE))^2+(VLOOKUP(AO$1,DATA!$A$3:$F$301,3,FALSE)-VLOOKUP($A37,DATA!$A$3:$F$301,3,FALSE))^2),"")</f>
        <v>1</v>
      </c>
      <c r="AP37" s="14" t="str">
        <f>_xlfn.IFNA(SQRT((VLOOKUP(AP$1,DATA!$A$3:$F$301,2,FALSE)-VLOOKUP($A37,DATA!$A$3:$F$301,2,FALSE))^2+(VLOOKUP(AP$1,DATA!$A$3:$F$301,3,FALSE)-VLOOKUP($A37,DATA!$A$3:$F$301,3,FALSE))^2),"")</f>
        <v/>
      </c>
      <c r="AQ37" s="14" t="str">
        <f>_xlfn.IFNA(SQRT((VLOOKUP(AQ$1,DATA!$A$3:$F$301,2,FALSE)-VLOOKUP($A37,DATA!$A$3:$F$301,2,FALSE))^2+(VLOOKUP(AQ$1,DATA!$A$3:$F$301,3,FALSE)-VLOOKUP($A37,DATA!$A$3:$F$301,3,FALSE))^2),"")</f>
        <v/>
      </c>
      <c r="AR37" s="14" t="str">
        <f>_xlfn.IFNA(SQRT((VLOOKUP(AR$1,DATA!$A$3:$F$301,2,FALSE)-VLOOKUP($A37,DATA!$A$3:$F$301,2,FALSE))^2+(VLOOKUP(AR$1,DATA!$A$3:$F$301,3,FALSE)-VLOOKUP($A37,DATA!$A$3:$F$301,3,FALSE))^2),"")</f>
        <v/>
      </c>
      <c r="AS37" s="14" t="str">
        <f>_xlfn.IFNA(SQRT((VLOOKUP(AS$1,DATA!$A$3:$F$301,2,FALSE)-VLOOKUP($A37,DATA!$A$3:$F$301,2,FALSE))^2+(VLOOKUP(AS$1,DATA!$A$3:$F$301,3,FALSE)-VLOOKUP($A37,DATA!$A$3:$F$301,3,FALSE))^2),"")</f>
        <v/>
      </c>
      <c r="AT37" s="14" t="str">
        <f>_xlfn.IFNA(SQRT((VLOOKUP(AT$1,DATA!$A$3:$F$301,2,FALSE)-VLOOKUP($A37,DATA!$A$3:$F$301,2,FALSE))^2+(VLOOKUP(AT$1,DATA!$A$3:$F$301,3,FALSE)-VLOOKUP($A37,DATA!$A$3:$F$301,3,FALSE))^2),"")</f>
        <v/>
      </c>
      <c r="AU37" s="14" t="str">
        <f>_xlfn.IFNA(SQRT((VLOOKUP(AU$1,DATA!$A$3:$F$301,2,FALSE)-VLOOKUP($A37,DATA!$A$3:$F$301,2,FALSE))^2+(VLOOKUP(AU$1,DATA!$A$3:$F$301,3,FALSE)-VLOOKUP($A37,DATA!$A$3:$F$301,3,FALSE))^2),"")</f>
        <v/>
      </c>
      <c r="AV37" s="14" t="str">
        <f>_xlfn.IFNA(SQRT((VLOOKUP(AV$1,DATA!$A$3:$F$301,2,FALSE)-VLOOKUP($A37,DATA!$A$3:$F$301,2,FALSE))^2+(VLOOKUP(AV$1,DATA!$A$3:$F$301,3,FALSE)-VLOOKUP($A37,DATA!$A$3:$F$301,3,FALSE))^2),"")</f>
        <v/>
      </c>
      <c r="AW37" s="14" t="str">
        <f>_xlfn.IFNA(SQRT((VLOOKUP(AW$1,DATA!$A$3:$F$301,2,FALSE)-VLOOKUP($A37,DATA!$A$3:$F$301,2,FALSE))^2+(VLOOKUP(AW$1,DATA!$A$3:$F$301,3,FALSE)-VLOOKUP($A37,DATA!$A$3:$F$301,3,FALSE))^2),"")</f>
        <v/>
      </c>
      <c r="AX37" s="14" t="str">
        <f>_xlfn.IFNA(SQRT((VLOOKUP(AX$1,DATA!$A$3:$F$301,2,FALSE)-VLOOKUP($A37,DATA!$A$3:$F$301,2,FALSE))^2+(VLOOKUP(AX$1,DATA!$A$3:$F$301,3,FALSE)-VLOOKUP($A37,DATA!$A$3:$F$301,3,FALSE))^2),"")</f>
        <v/>
      </c>
      <c r="AY37" s="14" t="str">
        <f>_xlfn.IFNA(SQRT((VLOOKUP(AY$1,DATA!$A$3:$F$301,2,FALSE)-VLOOKUP($A37,DATA!$A$3:$F$301,2,FALSE))^2+(VLOOKUP(AY$1,DATA!$A$3:$F$301,3,FALSE)-VLOOKUP($A37,DATA!$A$3:$F$301,3,FALSE))^2),"")</f>
        <v/>
      </c>
      <c r="AZ37" s="14" t="str">
        <f>_xlfn.IFNA(SQRT((VLOOKUP(AZ$1,DATA!$A$3:$F$301,2,FALSE)-VLOOKUP($A37,DATA!$A$3:$F$301,2,FALSE))^2+(VLOOKUP(AZ$1,DATA!$A$3:$F$301,3,FALSE)-VLOOKUP($A37,DATA!$A$3:$F$301,3,FALSE))^2),"")</f>
        <v/>
      </c>
      <c r="BA37" s="14" t="str">
        <f>_xlfn.IFNA(SQRT((VLOOKUP(BA$1,DATA!$A$3:$F$301,2,FALSE)-VLOOKUP($A37,DATA!$A$3:$F$301,2,FALSE))^2+(VLOOKUP(BA$1,DATA!$A$3:$F$301,3,FALSE)-VLOOKUP($A37,DATA!$A$3:$F$301,3,FALSE))^2),"")</f>
        <v/>
      </c>
      <c r="BB37" s="14" t="str">
        <f>_xlfn.IFNA(SQRT((VLOOKUP(BB$1,DATA!$A$3:$F$301,2,FALSE)-VLOOKUP($A37,DATA!$A$3:$F$301,2,FALSE))^2+(VLOOKUP(BB$1,DATA!$A$3:$F$301,3,FALSE)-VLOOKUP($A37,DATA!$A$3:$F$301,3,FALSE))^2),"")</f>
        <v/>
      </c>
      <c r="BC37" s="14" t="str">
        <f>_xlfn.IFNA(SQRT((VLOOKUP(BC$1,DATA!$A$3:$F$301,2,FALSE)-VLOOKUP($A37,DATA!$A$3:$F$301,2,FALSE))^2+(VLOOKUP(BC$1,DATA!$A$3:$F$301,3,FALSE)-VLOOKUP($A37,DATA!$A$3:$F$301,3,FALSE))^2),"")</f>
        <v/>
      </c>
      <c r="BD37" s="14" t="str">
        <f>_xlfn.IFNA(SQRT((VLOOKUP(BD$1,DATA!$A$3:$F$301,2,FALSE)-VLOOKUP($A37,DATA!$A$3:$F$301,2,FALSE))^2+(VLOOKUP(BD$1,DATA!$A$3:$F$301,3,FALSE)-VLOOKUP($A37,DATA!$A$3:$F$301,3,FALSE))^2),"")</f>
        <v/>
      </c>
      <c r="BE37" s="14" t="str">
        <f>_xlfn.IFNA(SQRT((VLOOKUP(BE$1,DATA!$A$3:$F$301,2,FALSE)-VLOOKUP($A37,DATA!$A$3:$F$301,2,FALSE))^2+(VLOOKUP(BE$1,DATA!$A$3:$F$301,3,FALSE)-VLOOKUP($A37,DATA!$A$3:$F$301,3,FALSE))^2),"")</f>
        <v/>
      </c>
      <c r="BF37" s="14" t="str">
        <f>_xlfn.IFNA(SQRT((VLOOKUP(BF$1,DATA!$A$3:$F$301,2,FALSE)-VLOOKUP($A37,DATA!$A$3:$F$301,2,FALSE))^2+(VLOOKUP(BF$1,DATA!$A$3:$F$301,3,FALSE)-VLOOKUP($A37,DATA!$A$3:$F$301,3,FALSE))^2),"")</f>
        <v/>
      </c>
      <c r="BG37" s="14" t="str">
        <f>_xlfn.IFNA(SQRT((VLOOKUP(BG$1,DATA!$A$3:$F$301,2,FALSE)-VLOOKUP($A37,DATA!$A$3:$F$301,2,FALSE))^2+(VLOOKUP(BG$1,DATA!$A$3:$F$301,3,FALSE)-VLOOKUP($A37,DATA!$A$3:$F$301,3,FALSE))^2),"")</f>
        <v/>
      </c>
      <c r="BH37" s="14" t="str">
        <f>_xlfn.IFNA(SQRT((VLOOKUP(BH$1,DATA!$A$3:$F$301,2,FALSE)-VLOOKUP($A37,DATA!$A$3:$F$301,2,FALSE))^2+(VLOOKUP(BH$1,DATA!$A$3:$F$301,3,FALSE)-VLOOKUP($A37,DATA!$A$3:$F$301,3,FALSE))^2),"")</f>
        <v/>
      </c>
      <c r="BI37" s="14" t="str">
        <f>_xlfn.IFNA(SQRT((VLOOKUP(BI$1,DATA!$A$3:$F$301,2,FALSE)-VLOOKUP($A37,DATA!$A$3:$F$301,2,FALSE))^2+(VLOOKUP(BI$1,DATA!$A$3:$F$301,3,FALSE)-VLOOKUP($A37,DATA!$A$3:$F$301,3,FALSE))^2),"")</f>
        <v/>
      </c>
      <c r="BJ37" s="14" t="str">
        <f>_xlfn.IFNA(SQRT((VLOOKUP(BJ$1,DATA!$A$3:$F$301,2,FALSE)-VLOOKUP($A37,DATA!$A$3:$F$301,2,FALSE))^2+(VLOOKUP(BJ$1,DATA!$A$3:$F$301,3,FALSE)-VLOOKUP($A37,DATA!$A$3:$F$301,3,FALSE))^2),"")</f>
        <v/>
      </c>
      <c r="BK37" s="14" t="str">
        <f>_xlfn.IFNA(SQRT((VLOOKUP(BK$1,DATA!$A$3:$F$301,2,FALSE)-VLOOKUP($A37,DATA!$A$3:$F$301,2,FALSE))^2+(VLOOKUP(BK$1,DATA!$A$3:$F$301,3,FALSE)-VLOOKUP($A37,DATA!$A$3:$F$301,3,FALSE))^2),"")</f>
        <v/>
      </c>
      <c r="BL37" s="14" t="str">
        <f>_xlfn.IFNA(SQRT((VLOOKUP(BL$1,DATA!$A$3:$F$301,2,FALSE)-VLOOKUP($A37,DATA!$A$3:$F$301,2,FALSE))^2+(VLOOKUP(BL$1,DATA!$A$3:$F$301,3,FALSE)-VLOOKUP($A37,DATA!$A$3:$F$301,3,FALSE))^2),"")</f>
        <v/>
      </c>
      <c r="BM37" s="14" t="str">
        <f>_xlfn.IFNA(SQRT((VLOOKUP(BM$1,DATA!$A$3:$F$301,2,FALSE)-VLOOKUP($A37,DATA!$A$3:$F$301,2,FALSE))^2+(VLOOKUP(BM$1,DATA!$A$3:$F$301,3,FALSE)-VLOOKUP($A37,DATA!$A$3:$F$301,3,FALSE))^2),"")</f>
        <v/>
      </c>
      <c r="BN37" s="14" t="str">
        <f>_xlfn.IFNA(SQRT((VLOOKUP(BN$1,DATA!$A$3:$F$301,2,FALSE)-VLOOKUP($A37,DATA!$A$3:$F$301,2,FALSE))^2+(VLOOKUP(BN$1,DATA!$A$3:$F$301,3,FALSE)-VLOOKUP($A37,DATA!$A$3:$F$301,3,FALSE))^2),"")</f>
        <v/>
      </c>
      <c r="BO37" s="14" t="str">
        <f>_xlfn.IFNA(SQRT((VLOOKUP(BO$1,DATA!$A$3:$F$301,2,FALSE)-VLOOKUP($A37,DATA!$A$3:$F$301,2,FALSE))^2+(VLOOKUP(BO$1,DATA!$A$3:$F$301,3,FALSE)-VLOOKUP($A37,DATA!$A$3:$F$301,3,FALSE))^2),"")</f>
        <v/>
      </c>
      <c r="BP37" s="14" t="str">
        <f>_xlfn.IFNA(SQRT((VLOOKUP(BP$1,DATA!$A$3:$F$301,2,FALSE)-VLOOKUP($A37,DATA!$A$3:$F$301,2,FALSE))^2+(VLOOKUP(BP$1,DATA!$A$3:$F$301,3,FALSE)-VLOOKUP($A37,DATA!$A$3:$F$301,3,FALSE))^2),"")</f>
        <v/>
      </c>
      <c r="BQ37" s="14" t="str">
        <f>_xlfn.IFNA(SQRT((VLOOKUP(BQ$1,DATA!$A$3:$F$301,2,FALSE)-VLOOKUP($A37,DATA!$A$3:$F$301,2,FALSE))^2+(VLOOKUP(BQ$1,DATA!$A$3:$F$301,3,FALSE)-VLOOKUP($A37,DATA!$A$3:$F$301,3,FALSE))^2),"")</f>
        <v/>
      </c>
      <c r="BR37" s="14" t="str">
        <f>_xlfn.IFNA(SQRT((VLOOKUP(BR$1,DATA!$A$3:$F$301,2,FALSE)-VLOOKUP($A37,DATA!$A$3:$F$301,2,FALSE))^2+(VLOOKUP(BR$1,DATA!$A$3:$F$301,3,FALSE)-VLOOKUP($A37,DATA!$A$3:$F$301,3,FALSE))^2),"")</f>
        <v/>
      </c>
      <c r="BS37" s="14" t="str">
        <f>_xlfn.IFNA(SQRT((VLOOKUP(BS$1,DATA!$A$3:$F$301,2,FALSE)-VLOOKUP($A37,DATA!$A$3:$F$301,2,FALSE))^2+(VLOOKUP(BS$1,DATA!$A$3:$F$301,3,FALSE)-VLOOKUP($A37,DATA!$A$3:$F$301,3,FALSE))^2),"")</f>
        <v/>
      </c>
      <c r="BT37" s="14" t="str">
        <f>_xlfn.IFNA(SQRT((VLOOKUP(BT$1,DATA!$A$3:$F$301,2,FALSE)-VLOOKUP($A37,DATA!$A$3:$F$301,2,FALSE))^2+(VLOOKUP(BT$1,DATA!$A$3:$F$301,3,FALSE)-VLOOKUP($A37,DATA!$A$3:$F$301,3,FALSE))^2),"")</f>
        <v/>
      </c>
      <c r="BU37" s="14" t="str">
        <f>_xlfn.IFNA(SQRT((VLOOKUP(BU$1,DATA!$A$3:$F$301,2,FALSE)-VLOOKUP($A37,DATA!$A$3:$F$301,2,FALSE))^2+(VLOOKUP(BU$1,DATA!$A$3:$F$301,3,FALSE)-VLOOKUP($A37,DATA!$A$3:$F$301,3,FALSE))^2),"")</f>
        <v/>
      </c>
      <c r="BV37" s="14" t="str">
        <f>_xlfn.IFNA(SQRT((VLOOKUP(BV$1,DATA!$A$3:$F$301,2,FALSE)-VLOOKUP($A37,DATA!$A$3:$F$301,2,FALSE))^2+(VLOOKUP(BV$1,DATA!$A$3:$F$301,3,FALSE)-VLOOKUP($A37,DATA!$A$3:$F$301,3,FALSE))^2),"")</f>
        <v/>
      </c>
      <c r="BW37" s="14" t="str">
        <f>_xlfn.IFNA(SQRT((VLOOKUP(BW$1,DATA!$A$3:$F$301,2,FALSE)-VLOOKUP($A37,DATA!$A$3:$F$301,2,FALSE))^2+(VLOOKUP(BW$1,DATA!$A$3:$F$301,3,FALSE)-VLOOKUP($A37,DATA!$A$3:$F$301,3,FALSE))^2),"")</f>
        <v/>
      </c>
      <c r="BX37" s="14" t="str">
        <f>_xlfn.IFNA(SQRT((VLOOKUP(BX$1,DATA!$A$3:$F$301,2,FALSE)-VLOOKUP($A37,DATA!$A$3:$F$301,2,FALSE))^2+(VLOOKUP(BX$1,DATA!$A$3:$F$301,3,FALSE)-VLOOKUP($A37,DATA!$A$3:$F$301,3,FALSE))^2),"")</f>
        <v/>
      </c>
      <c r="BY37" s="14" t="str">
        <f>_xlfn.IFNA(SQRT((VLOOKUP(BY$1,DATA!$A$3:$F$301,2,FALSE)-VLOOKUP($A37,DATA!$A$3:$F$301,2,FALSE))^2+(VLOOKUP(BY$1,DATA!$A$3:$F$301,3,FALSE)-VLOOKUP($A37,DATA!$A$3:$F$301,3,FALSE))^2),"")</f>
        <v/>
      </c>
      <c r="BZ37" s="14" t="str">
        <f>_xlfn.IFNA(SQRT((VLOOKUP(BZ$1,DATA!$A$3:$F$301,2,FALSE)-VLOOKUP($A37,DATA!$A$3:$F$301,2,FALSE))^2+(VLOOKUP(BZ$1,DATA!$A$3:$F$301,3,FALSE)-VLOOKUP($A37,DATA!$A$3:$F$301,3,FALSE))^2),"")</f>
        <v/>
      </c>
      <c r="CA37" s="14" t="str">
        <f>_xlfn.IFNA(SQRT((VLOOKUP(CA$1,DATA!$A$3:$F$301,2,FALSE)-VLOOKUP($A37,DATA!$A$3:$F$301,2,FALSE))^2+(VLOOKUP(CA$1,DATA!$A$3:$F$301,3,FALSE)-VLOOKUP($A37,DATA!$A$3:$F$301,3,FALSE))^2),"")</f>
        <v/>
      </c>
      <c r="CB37" s="14" t="str">
        <f>_xlfn.IFNA(SQRT((VLOOKUP(CB$1,DATA!$A$3:$F$301,2,FALSE)-VLOOKUP($A37,DATA!$A$3:$F$301,2,FALSE))^2+(VLOOKUP(CB$1,DATA!$A$3:$F$301,3,FALSE)-VLOOKUP($A37,DATA!$A$3:$F$301,3,FALSE))^2),"")</f>
        <v/>
      </c>
      <c r="CC37" s="14" t="str">
        <f>_xlfn.IFNA(SQRT((VLOOKUP(CC$1,DATA!$A$3:$F$301,2,FALSE)-VLOOKUP($A37,DATA!$A$3:$F$301,2,FALSE))^2+(VLOOKUP(CC$1,DATA!$A$3:$F$301,3,FALSE)-VLOOKUP($A37,DATA!$A$3:$F$301,3,FALSE))^2),"")</f>
        <v/>
      </c>
      <c r="CD37" s="14" t="str">
        <f>_xlfn.IFNA(SQRT((VLOOKUP(CD$1,DATA!$A$3:$F$301,2,FALSE)-VLOOKUP($A37,DATA!$A$3:$F$301,2,FALSE))^2+(VLOOKUP(CD$1,DATA!$A$3:$F$301,3,FALSE)-VLOOKUP($A37,DATA!$A$3:$F$301,3,FALSE))^2),"")</f>
        <v/>
      </c>
      <c r="CE37" s="14" t="str">
        <f>_xlfn.IFNA(SQRT((VLOOKUP(CE$1,DATA!$A$3:$F$301,2,FALSE)-VLOOKUP($A37,DATA!$A$3:$F$301,2,FALSE))^2+(VLOOKUP(CE$1,DATA!$A$3:$F$301,3,FALSE)-VLOOKUP($A37,DATA!$A$3:$F$301,3,FALSE))^2),"")</f>
        <v/>
      </c>
      <c r="CF37" s="14" t="str">
        <f>_xlfn.IFNA(SQRT((VLOOKUP(CF$1,DATA!$A$3:$F$301,2,FALSE)-VLOOKUP($A37,DATA!$A$3:$F$301,2,FALSE))^2+(VLOOKUP(CF$1,DATA!$A$3:$F$301,3,FALSE)-VLOOKUP($A37,DATA!$A$3:$F$301,3,FALSE))^2),"")</f>
        <v/>
      </c>
      <c r="CG37" s="14" t="str">
        <f>_xlfn.IFNA(SQRT((VLOOKUP(CG$1,DATA!$A$3:$F$301,2,FALSE)-VLOOKUP($A37,DATA!$A$3:$F$301,2,FALSE))^2+(VLOOKUP(CG$1,DATA!$A$3:$F$301,3,FALSE)-VLOOKUP($A37,DATA!$A$3:$F$301,3,FALSE))^2),"")</f>
        <v/>
      </c>
      <c r="CH37" s="14" t="str">
        <f>_xlfn.IFNA(SQRT((VLOOKUP(CH$1,DATA!$A$3:$F$301,2,FALSE)-VLOOKUP($A37,DATA!$A$3:$F$301,2,FALSE))^2+(VLOOKUP(CH$1,DATA!$A$3:$F$301,3,FALSE)-VLOOKUP($A37,DATA!$A$3:$F$301,3,FALSE))^2),"")</f>
        <v/>
      </c>
      <c r="CI37" s="14" t="str">
        <f>_xlfn.IFNA(SQRT((VLOOKUP(CI$1,DATA!$A$3:$F$301,2,FALSE)-VLOOKUP($A37,DATA!$A$3:$F$301,2,FALSE))^2+(VLOOKUP(CI$1,DATA!$A$3:$F$301,3,FALSE)-VLOOKUP($A37,DATA!$A$3:$F$301,3,FALSE))^2),"")</f>
        <v/>
      </c>
      <c r="CJ37" s="14" t="str">
        <f>_xlfn.IFNA(SQRT((VLOOKUP(CJ$1,DATA!$A$3:$F$301,2,FALSE)-VLOOKUP($A37,DATA!$A$3:$F$301,2,FALSE))^2+(VLOOKUP(CJ$1,DATA!$A$3:$F$301,3,FALSE)-VLOOKUP($A37,DATA!$A$3:$F$301,3,FALSE))^2),"")</f>
        <v/>
      </c>
      <c r="CK37" s="14" t="str">
        <f>_xlfn.IFNA(SQRT((VLOOKUP(CK$1,DATA!$A$3:$F$301,2,FALSE)-VLOOKUP($A37,DATA!$A$3:$F$301,2,FALSE))^2+(VLOOKUP(CK$1,DATA!$A$3:$F$301,3,FALSE)-VLOOKUP($A37,DATA!$A$3:$F$301,3,FALSE))^2),"")</f>
        <v/>
      </c>
      <c r="CL37" s="14" t="str">
        <f>_xlfn.IFNA(SQRT((VLOOKUP(CL$1,DATA!$A$3:$F$301,2,FALSE)-VLOOKUP($A37,DATA!$A$3:$F$301,2,FALSE))^2+(VLOOKUP(CL$1,DATA!$A$3:$F$301,3,FALSE)-VLOOKUP($A37,DATA!$A$3:$F$301,3,FALSE))^2),"")</f>
        <v/>
      </c>
      <c r="CM37" s="14" t="str">
        <f>_xlfn.IFNA(SQRT((VLOOKUP(CM$1,DATA!$A$3:$F$301,2,FALSE)-VLOOKUP($A37,DATA!$A$3:$F$301,2,FALSE))^2+(VLOOKUP(CM$1,DATA!$A$3:$F$301,3,FALSE)-VLOOKUP($A37,DATA!$A$3:$F$301,3,FALSE))^2),"")</f>
        <v/>
      </c>
      <c r="CN37" s="14" t="str">
        <f>_xlfn.IFNA(SQRT((VLOOKUP(CN$1,DATA!$A$3:$F$301,2,FALSE)-VLOOKUP($A37,DATA!$A$3:$F$301,2,FALSE))^2+(VLOOKUP(CN$1,DATA!$A$3:$F$301,3,FALSE)-VLOOKUP($A37,DATA!$A$3:$F$301,3,FALSE))^2),"")</f>
        <v/>
      </c>
      <c r="CO37" s="14" t="str">
        <f>_xlfn.IFNA(SQRT((VLOOKUP(CO$1,DATA!$A$3:$F$301,2,FALSE)-VLOOKUP($A37,DATA!$A$3:$F$301,2,FALSE))^2+(VLOOKUP(CO$1,DATA!$A$3:$F$301,3,FALSE)-VLOOKUP($A37,DATA!$A$3:$F$301,3,FALSE))^2),"")</f>
        <v/>
      </c>
      <c r="CP37" s="14" t="str">
        <f>_xlfn.IFNA(SQRT((VLOOKUP(CP$1,DATA!$A$3:$F$301,2,FALSE)-VLOOKUP($A37,DATA!$A$3:$F$301,2,FALSE))^2+(VLOOKUP(CP$1,DATA!$A$3:$F$301,3,FALSE)-VLOOKUP($A37,DATA!$A$3:$F$301,3,FALSE))^2),"")</f>
        <v/>
      </c>
      <c r="CQ37" s="14" t="str">
        <f>_xlfn.IFNA(SQRT((VLOOKUP(CQ$1,DATA!$A$3:$F$301,2,FALSE)-VLOOKUP($A37,DATA!$A$3:$F$301,2,FALSE))^2+(VLOOKUP(CQ$1,DATA!$A$3:$F$301,3,FALSE)-VLOOKUP($A37,DATA!$A$3:$F$301,3,FALSE))^2),"")</f>
        <v/>
      </c>
      <c r="CR37" s="14" t="str">
        <f>_xlfn.IFNA(SQRT((VLOOKUP(CR$1,DATA!$A$3:$F$301,2,FALSE)-VLOOKUP($A37,DATA!$A$3:$F$301,2,FALSE))^2+(VLOOKUP(CR$1,DATA!$A$3:$F$301,3,FALSE)-VLOOKUP($A37,DATA!$A$3:$F$301,3,FALSE))^2),"")</f>
        <v/>
      </c>
      <c r="CS37" s="14" t="str">
        <f>_xlfn.IFNA(SQRT((VLOOKUP(CS$1,DATA!$A$3:$F$301,2,FALSE)-VLOOKUP($A37,DATA!$A$3:$F$301,2,FALSE))^2+(VLOOKUP(CS$1,DATA!$A$3:$F$301,3,FALSE)-VLOOKUP($A37,DATA!$A$3:$F$301,3,FALSE))^2),"")</f>
        <v/>
      </c>
      <c r="CT37" s="14" t="str">
        <f>_xlfn.IFNA(SQRT((VLOOKUP(CT$1,DATA!$A$3:$F$301,2,FALSE)-VLOOKUP($A37,DATA!$A$3:$F$301,2,FALSE))^2+(VLOOKUP(CT$1,DATA!$A$3:$F$301,3,FALSE)-VLOOKUP($A37,DATA!$A$3:$F$301,3,FALSE))^2),"")</f>
        <v/>
      </c>
      <c r="CU37" s="14" t="str">
        <f>_xlfn.IFNA(SQRT((VLOOKUP(CU$1,DATA!$A$3:$F$301,2,FALSE)-VLOOKUP($A37,DATA!$A$3:$F$301,2,FALSE))^2+(VLOOKUP(CU$1,DATA!$A$3:$F$301,3,FALSE)-VLOOKUP($A37,DATA!$A$3:$F$301,3,FALSE))^2),"")</f>
        <v/>
      </c>
      <c r="CV37" s="14" t="str">
        <f>_xlfn.IFNA(SQRT((VLOOKUP(CV$1,DATA!$A$3:$F$301,2,FALSE)-VLOOKUP($A37,DATA!$A$3:$F$301,2,FALSE))^2+(VLOOKUP(CV$1,DATA!$A$3:$F$301,3,FALSE)-VLOOKUP($A37,DATA!$A$3:$F$301,3,FALSE))^2),"")</f>
        <v/>
      </c>
      <c r="CW37" s="14" t="str">
        <f>_xlfn.IFNA(SQRT((VLOOKUP(CW$1,DATA!$A$3:$F$301,2,FALSE)-VLOOKUP($A37,DATA!$A$3:$F$301,2,FALSE))^2+(VLOOKUP(CW$1,DATA!$A$3:$F$301,3,FALSE)-VLOOKUP($A37,DATA!$A$3:$F$301,3,FALSE))^2),"")</f>
        <v/>
      </c>
      <c r="CX37" s="14" t="str">
        <f>_xlfn.IFNA(SQRT((VLOOKUP(CX$1,DATA!$A$3:$F$301,2,FALSE)-VLOOKUP($A37,DATA!$A$3:$F$301,2,FALSE))^2+(VLOOKUP(CX$1,DATA!$A$3:$F$301,3,FALSE)-VLOOKUP($A37,DATA!$A$3:$F$301,3,FALSE))^2),"")</f>
        <v/>
      </c>
    </row>
    <row r="38" spans="1:102">
      <c r="A38" s="13">
        <v>37</v>
      </c>
      <c r="B38" s="14">
        <f>_xlfn.IFNA(SQRT((VLOOKUP(B$1,DATA!$A$3:$F$301,2,FALSE)-VLOOKUP($A38,DATA!$A$3:$F$301,2,FALSE))^2+(VLOOKUP(B$1,DATA!$A$3:$F$301,3,FALSE)-VLOOKUP($A38,DATA!$A$3:$F$301,3,FALSE))^2),"")</f>
        <v>38.832975677895199</v>
      </c>
      <c r="C38" s="14">
        <f>_xlfn.IFNA(SQRT((VLOOKUP(C$1,DATA!$A$3:$F$301,2,FALSE)-VLOOKUP($A38,DATA!$A$3:$F$301,2,FALSE))^2+(VLOOKUP(C$1,DATA!$A$3:$F$301,3,FALSE)-VLOOKUP($A38,DATA!$A$3:$F$301,3,FALSE))^2),"")</f>
        <v>41.109609582188931</v>
      </c>
      <c r="D38" s="14">
        <f>_xlfn.IFNA(SQRT((VLOOKUP(D$1,DATA!$A$3:$F$301,2,FALSE)-VLOOKUP($A38,DATA!$A$3:$F$301,2,FALSE))^2+(VLOOKUP(D$1,DATA!$A$3:$F$301,3,FALSE)-VLOOKUP($A38,DATA!$A$3:$F$301,3,FALSE))^2),"")</f>
        <v>49.193495504995376</v>
      </c>
      <c r="E38" s="14">
        <f>_xlfn.IFNA(SQRT((VLOOKUP(E$1,DATA!$A$3:$F$301,2,FALSE)-VLOOKUP($A38,DATA!$A$3:$F$301,2,FALSE))^2+(VLOOKUP(E$1,DATA!$A$3:$F$301,3,FALSE)-VLOOKUP($A38,DATA!$A$3:$F$301,3,FALSE))^2),"")</f>
        <v>41.146081222881968</v>
      </c>
      <c r="F38" s="14">
        <f>_xlfn.IFNA(SQRT((VLOOKUP(F$1,DATA!$A$3:$F$301,2,FALSE)-VLOOKUP($A38,DATA!$A$3:$F$301,2,FALSE))^2+(VLOOKUP(F$1,DATA!$A$3:$F$301,3,FALSE)-VLOOKUP($A38,DATA!$A$3:$F$301,3,FALSE))^2),"")</f>
        <v>32.015621187164243</v>
      </c>
      <c r="G38" s="14">
        <f>_xlfn.IFNA(SQRT((VLOOKUP(G$1,DATA!$A$3:$F$301,2,FALSE)-VLOOKUP($A38,DATA!$A$3:$F$301,2,FALSE))^2+(VLOOKUP(G$1,DATA!$A$3:$F$301,3,FALSE)-VLOOKUP($A38,DATA!$A$3:$F$301,3,FALSE))^2),"")</f>
        <v>23.021728866442675</v>
      </c>
      <c r="H38" s="14">
        <f>_xlfn.IFNA(SQRT((VLOOKUP(H$1,DATA!$A$3:$F$301,2,FALSE)-VLOOKUP($A38,DATA!$A$3:$F$301,2,FALSE))^2+(VLOOKUP(H$1,DATA!$A$3:$F$301,3,FALSE)-VLOOKUP($A38,DATA!$A$3:$F$301,3,FALSE))^2),"")</f>
        <v>33.955853692699293</v>
      </c>
      <c r="I38" s="14">
        <f>_xlfn.IFNA(SQRT((VLOOKUP(I$1,DATA!$A$3:$F$301,2,FALSE)-VLOOKUP($A38,DATA!$A$3:$F$301,2,FALSE))^2+(VLOOKUP(I$1,DATA!$A$3:$F$301,3,FALSE)-VLOOKUP($A38,DATA!$A$3:$F$301,3,FALSE))^2),"")</f>
        <v>10.770329614269007</v>
      </c>
      <c r="J38" s="14">
        <f>_xlfn.IFNA(SQRT((VLOOKUP(J$1,DATA!$A$3:$F$301,2,FALSE)-VLOOKUP($A38,DATA!$A$3:$F$301,2,FALSE))^2+(VLOOKUP(J$1,DATA!$A$3:$F$301,3,FALSE)-VLOOKUP($A38,DATA!$A$3:$F$301,3,FALSE))^2),"")</f>
        <v>28.160255680657446</v>
      </c>
      <c r="K38" s="14">
        <f>_xlfn.IFNA(SQRT((VLOOKUP(K$1,DATA!$A$3:$F$301,2,FALSE)-VLOOKUP($A38,DATA!$A$3:$F$301,2,FALSE))^2+(VLOOKUP(K$1,DATA!$A$3:$F$301,3,FALSE)-VLOOKUP($A38,DATA!$A$3:$F$301,3,FALSE))^2),"")</f>
        <v>51.86520991955976</v>
      </c>
      <c r="L38" s="14">
        <f>_xlfn.IFNA(SQRT((VLOOKUP(L$1,DATA!$A$3:$F$301,2,FALSE)-VLOOKUP($A38,DATA!$A$3:$F$301,2,FALSE))^2+(VLOOKUP(L$1,DATA!$A$3:$F$301,3,FALSE)-VLOOKUP($A38,DATA!$A$3:$F$301,3,FALSE))^2),"")</f>
        <v>17.720045146669349</v>
      </c>
      <c r="M38" s="14">
        <f>_xlfn.IFNA(SQRT((VLOOKUP(M$1,DATA!$A$3:$F$301,2,FALSE)-VLOOKUP($A38,DATA!$A$3:$F$301,2,FALSE))^2+(VLOOKUP(M$1,DATA!$A$3:$F$301,3,FALSE)-VLOOKUP($A38,DATA!$A$3:$F$301,3,FALSE))^2),"")</f>
        <v>28.284271247461902</v>
      </c>
      <c r="N38" s="14">
        <f>_xlfn.IFNA(SQRT((VLOOKUP(N$1,DATA!$A$3:$F$301,2,FALSE)-VLOOKUP($A38,DATA!$A$3:$F$301,2,FALSE))^2+(VLOOKUP(N$1,DATA!$A$3:$F$301,3,FALSE)-VLOOKUP($A38,DATA!$A$3:$F$301,3,FALSE))^2),"")</f>
        <v>34.885527085024819</v>
      </c>
      <c r="O38" s="14">
        <f>_xlfn.IFNA(SQRT((VLOOKUP(O$1,DATA!$A$3:$F$301,2,FALSE)-VLOOKUP($A38,DATA!$A$3:$F$301,2,FALSE))^2+(VLOOKUP(O$1,DATA!$A$3:$F$301,3,FALSE)-VLOOKUP($A38,DATA!$A$3:$F$301,3,FALSE))^2),"")</f>
        <v>33.015148038438355</v>
      </c>
      <c r="P38" s="14">
        <f>_xlfn.IFNA(SQRT((VLOOKUP(P$1,DATA!$A$3:$F$301,2,FALSE)-VLOOKUP($A38,DATA!$A$3:$F$301,2,FALSE))^2+(VLOOKUP(P$1,DATA!$A$3:$F$301,3,FALSE)-VLOOKUP($A38,DATA!$A$3:$F$301,3,FALSE))^2),"")</f>
        <v>8.2462112512353212</v>
      </c>
      <c r="Q38" s="14">
        <f>_xlfn.IFNA(SQRT((VLOOKUP(Q$1,DATA!$A$3:$F$301,2,FALSE)-VLOOKUP($A38,DATA!$A$3:$F$301,2,FALSE))^2+(VLOOKUP(Q$1,DATA!$A$3:$F$301,3,FALSE)-VLOOKUP($A38,DATA!$A$3:$F$301,3,FALSE))^2),"")</f>
        <v>23.021728866442675</v>
      </c>
      <c r="R38" s="14">
        <f>_xlfn.IFNA(SQRT((VLOOKUP(R$1,DATA!$A$3:$F$301,2,FALSE)-VLOOKUP($A38,DATA!$A$3:$F$301,2,FALSE))^2+(VLOOKUP(R$1,DATA!$A$3:$F$301,3,FALSE)-VLOOKUP($A38,DATA!$A$3:$F$301,3,FALSE))^2),"")</f>
        <v>46.097722286464439</v>
      </c>
      <c r="S38" s="14">
        <f>_xlfn.IFNA(SQRT((VLOOKUP(S$1,DATA!$A$3:$F$301,2,FALSE)-VLOOKUP($A38,DATA!$A$3:$F$301,2,FALSE))^2+(VLOOKUP(S$1,DATA!$A$3:$F$301,3,FALSE)-VLOOKUP($A38,DATA!$A$3:$F$301,3,FALSE))^2),"")</f>
        <v>18.681541692269406</v>
      </c>
      <c r="T38" s="14">
        <f>_xlfn.IFNA(SQRT((VLOOKUP(T$1,DATA!$A$3:$F$301,2,FALSE)-VLOOKUP($A38,DATA!$A$3:$F$301,2,FALSE))^2+(VLOOKUP(T$1,DATA!$A$3:$F$301,3,FALSE)-VLOOKUP($A38,DATA!$A$3:$F$301,3,FALSE))^2),"")</f>
        <v>23.086792761230392</v>
      </c>
      <c r="U38" s="14">
        <f>_xlfn.IFNA(SQRT((VLOOKUP(U$1,DATA!$A$3:$F$301,2,FALSE)-VLOOKUP($A38,DATA!$A$3:$F$301,2,FALSE))^2+(VLOOKUP(U$1,DATA!$A$3:$F$301,3,FALSE)-VLOOKUP($A38,DATA!$A$3:$F$301,3,FALSE))^2),"")</f>
        <v>41.773197148410844</v>
      </c>
      <c r="V38" s="14">
        <f>_xlfn.IFNA(SQRT((VLOOKUP(V$1,DATA!$A$3:$F$301,2,FALSE)-VLOOKUP($A38,DATA!$A$3:$F$301,2,FALSE))^2+(VLOOKUP(V$1,DATA!$A$3:$F$301,3,FALSE)-VLOOKUP($A38,DATA!$A$3:$F$301,3,FALSE))^2),"")</f>
        <v>31.016124838541646</v>
      </c>
      <c r="W38" s="14">
        <f>_xlfn.IFNA(SQRT((VLOOKUP(W$1,DATA!$A$3:$F$301,2,FALSE)-VLOOKUP($A38,DATA!$A$3:$F$301,2,FALSE))^2+(VLOOKUP(W$1,DATA!$A$3:$F$301,3,FALSE)-VLOOKUP($A38,DATA!$A$3:$F$301,3,FALSE))^2),"")</f>
        <v>38.327535793473601</v>
      </c>
      <c r="X38" s="14">
        <f>_xlfn.IFNA(SQRT((VLOOKUP(X$1,DATA!$A$3:$F$301,2,FALSE)-VLOOKUP($A38,DATA!$A$3:$F$301,2,FALSE))^2+(VLOOKUP(X$1,DATA!$A$3:$F$301,3,FALSE)-VLOOKUP($A38,DATA!$A$3:$F$301,3,FALSE))^2),"")</f>
        <v>40.521599178709621</v>
      </c>
      <c r="Y38" s="14">
        <f>_xlfn.IFNA(SQRT((VLOOKUP(Y$1,DATA!$A$3:$F$301,2,FALSE)-VLOOKUP($A38,DATA!$A$3:$F$301,2,FALSE))^2+(VLOOKUP(Y$1,DATA!$A$3:$F$301,3,FALSE)-VLOOKUP($A38,DATA!$A$3:$F$301,3,FALSE))^2),"")</f>
        <v>11.401754250991379</v>
      </c>
      <c r="Z38" s="14">
        <f>_xlfn.IFNA(SQRT((VLOOKUP(Z$1,DATA!$A$3:$F$301,2,FALSE)-VLOOKUP($A38,DATA!$A$3:$F$301,2,FALSE))^2+(VLOOKUP(Z$1,DATA!$A$3:$F$301,3,FALSE)-VLOOKUP($A38,DATA!$A$3:$F$301,3,FALSE))^2),"")</f>
        <v>47.265209192385896</v>
      </c>
      <c r="AA38" s="14">
        <f>_xlfn.IFNA(SQRT((VLOOKUP(AA$1,DATA!$A$3:$F$301,2,FALSE)-VLOOKUP($A38,DATA!$A$3:$F$301,2,FALSE))^2+(VLOOKUP(AA$1,DATA!$A$3:$F$301,3,FALSE)-VLOOKUP($A38,DATA!$A$3:$F$301,3,FALSE))^2),"")</f>
        <v>14.866068747318506</v>
      </c>
      <c r="AB38" s="14">
        <f>_xlfn.IFNA(SQRT((VLOOKUP(AB$1,DATA!$A$3:$F$301,2,FALSE)-VLOOKUP($A38,DATA!$A$3:$F$301,2,FALSE))^2+(VLOOKUP(AB$1,DATA!$A$3:$F$301,3,FALSE)-VLOOKUP($A38,DATA!$A$3:$F$301,3,FALSE))^2),"")</f>
        <v>51.884487084291386</v>
      </c>
      <c r="AC38" s="14">
        <f>_xlfn.IFNA(SQRT((VLOOKUP(AC$1,DATA!$A$3:$F$301,2,FALSE)-VLOOKUP($A38,DATA!$A$3:$F$301,2,FALSE))^2+(VLOOKUP(AC$1,DATA!$A$3:$F$301,3,FALSE)-VLOOKUP($A38,DATA!$A$3:$F$301,3,FALSE))^2),"")</f>
        <v>24.166091947189145</v>
      </c>
      <c r="AD38" s="14">
        <f>_xlfn.IFNA(SQRT((VLOOKUP(AD$1,DATA!$A$3:$F$301,2,FALSE)-VLOOKUP($A38,DATA!$A$3:$F$301,2,FALSE))^2+(VLOOKUP(AD$1,DATA!$A$3:$F$301,3,FALSE)-VLOOKUP($A38,DATA!$A$3:$F$301,3,FALSE))^2),"")</f>
        <v>42.953463189829058</v>
      </c>
      <c r="AE38" s="14">
        <f>_xlfn.IFNA(SQRT((VLOOKUP(AE$1,DATA!$A$3:$F$301,2,FALSE)-VLOOKUP($A38,DATA!$A$3:$F$301,2,FALSE))^2+(VLOOKUP(AE$1,DATA!$A$3:$F$301,3,FALSE)-VLOOKUP($A38,DATA!$A$3:$F$301,3,FALSE))^2),"")</f>
        <v>39.560080889704963</v>
      </c>
      <c r="AF38" s="14">
        <f>_xlfn.IFNA(SQRT((VLOOKUP(AF$1,DATA!$A$3:$F$301,2,FALSE)-VLOOKUP($A38,DATA!$A$3:$F$301,2,FALSE))^2+(VLOOKUP(AF$1,DATA!$A$3:$F$301,3,FALSE)-VLOOKUP($A38,DATA!$A$3:$F$301,3,FALSE))^2),"")</f>
        <v>41.048751503547585</v>
      </c>
      <c r="AG38" s="14">
        <f>_xlfn.IFNA(SQRT((VLOOKUP(AG$1,DATA!$A$3:$F$301,2,FALSE)-VLOOKUP($A38,DATA!$A$3:$F$301,2,FALSE))^2+(VLOOKUP(AG$1,DATA!$A$3:$F$301,3,FALSE)-VLOOKUP($A38,DATA!$A$3:$F$301,3,FALSE))^2),"")</f>
        <v>25.059928172283335</v>
      </c>
      <c r="AH38" s="14">
        <f>_xlfn.IFNA(SQRT((VLOOKUP(AH$1,DATA!$A$3:$F$301,2,FALSE)-VLOOKUP($A38,DATA!$A$3:$F$301,2,FALSE))^2+(VLOOKUP(AH$1,DATA!$A$3:$F$301,3,FALSE)-VLOOKUP($A38,DATA!$A$3:$F$301,3,FALSE))^2),"")</f>
        <v>24.698178070456937</v>
      </c>
      <c r="AI38" s="14">
        <f>_xlfn.IFNA(SQRT((VLOOKUP(AI$1,DATA!$A$3:$F$301,2,FALSE)-VLOOKUP($A38,DATA!$A$3:$F$301,2,FALSE))^2+(VLOOKUP(AI$1,DATA!$A$3:$F$301,3,FALSE)-VLOOKUP($A38,DATA!$A$3:$F$301,3,FALSE))^2),"")</f>
        <v>46.389654018972806</v>
      </c>
      <c r="AJ38" s="14">
        <f>_xlfn.IFNA(SQRT((VLOOKUP(AJ$1,DATA!$A$3:$F$301,2,FALSE)-VLOOKUP($A38,DATA!$A$3:$F$301,2,FALSE))^2+(VLOOKUP(AJ$1,DATA!$A$3:$F$301,3,FALSE)-VLOOKUP($A38,DATA!$A$3:$F$301,3,FALSE))^2),"")</f>
        <v>27.202941017470888</v>
      </c>
      <c r="AK38" s="14">
        <f>_xlfn.IFNA(SQRT((VLOOKUP(AK$1,DATA!$A$3:$F$301,2,FALSE)-VLOOKUP($A38,DATA!$A$3:$F$301,2,FALSE))^2+(VLOOKUP(AK$1,DATA!$A$3:$F$301,3,FALSE)-VLOOKUP($A38,DATA!$A$3:$F$301,3,FALSE))^2),"")</f>
        <v>22.671568097509269</v>
      </c>
      <c r="AL38" s="14">
        <f>_xlfn.IFNA(SQRT((VLOOKUP(AL$1,DATA!$A$3:$F$301,2,FALSE)-VLOOKUP($A38,DATA!$A$3:$F$301,2,FALSE))^2+(VLOOKUP(AL$1,DATA!$A$3:$F$301,3,FALSE)-VLOOKUP($A38,DATA!$A$3:$F$301,3,FALSE))^2),"")</f>
        <v>0</v>
      </c>
      <c r="AM38" s="14">
        <f>_xlfn.IFNA(SQRT((VLOOKUP(AM$1,DATA!$A$3:$F$301,2,FALSE)-VLOOKUP($A38,DATA!$A$3:$F$301,2,FALSE))^2+(VLOOKUP(AM$1,DATA!$A$3:$F$301,3,FALSE)-VLOOKUP($A38,DATA!$A$3:$F$301,3,FALSE))^2),"")</f>
        <v>15.652475842498529</v>
      </c>
      <c r="AN38" s="14">
        <f>_xlfn.IFNA(SQRT((VLOOKUP(AN$1,DATA!$A$3:$F$301,2,FALSE)-VLOOKUP($A38,DATA!$A$3:$F$301,2,FALSE))^2+(VLOOKUP(AN$1,DATA!$A$3:$F$301,3,FALSE)-VLOOKUP($A38,DATA!$A$3:$F$301,3,FALSE))^2),"")</f>
        <v>43.931765272977593</v>
      </c>
      <c r="AO38" s="14">
        <f>_xlfn.IFNA(SQRT((VLOOKUP(AO$1,DATA!$A$3:$F$301,2,FALSE)-VLOOKUP($A38,DATA!$A$3:$F$301,2,FALSE))^2+(VLOOKUP(AO$1,DATA!$A$3:$F$301,3,FALSE)-VLOOKUP($A38,DATA!$A$3:$F$301,3,FALSE))^2),"")</f>
        <v>23.430749027719962</v>
      </c>
      <c r="AP38" s="14" t="str">
        <f>_xlfn.IFNA(SQRT((VLOOKUP(AP$1,DATA!$A$3:$F$301,2,FALSE)-VLOOKUP($A38,DATA!$A$3:$F$301,2,FALSE))^2+(VLOOKUP(AP$1,DATA!$A$3:$F$301,3,FALSE)-VLOOKUP($A38,DATA!$A$3:$F$301,3,FALSE))^2),"")</f>
        <v/>
      </c>
      <c r="AQ38" s="14" t="str">
        <f>_xlfn.IFNA(SQRT((VLOOKUP(AQ$1,DATA!$A$3:$F$301,2,FALSE)-VLOOKUP($A38,DATA!$A$3:$F$301,2,FALSE))^2+(VLOOKUP(AQ$1,DATA!$A$3:$F$301,3,FALSE)-VLOOKUP($A38,DATA!$A$3:$F$301,3,FALSE))^2),"")</f>
        <v/>
      </c>
      <c r="AR38" s="14" t="str">
        <f>_xlfn.IFNA(SQRT((VLOOKUP(AR$1,DATA!$A$3:$F$301,2,FALSE)-VLOOKUP($A38,DATA!$A$3:$F$301,2,FALSE))^2+(VLOOKUP(AR$1,DATA!$A$3:$F$301,3,FALSE)-VLOOKUP($A38,DATA!$A$3:$F$301,3,FALSE))^2),"")</f>
        <v/>
      </c>
      <c r="AS38" s="14" t="str">
        <f>_xlfn.IFNA(SQRT((VLOOKUP(AS$1,DATA!$A$3:$F$301,2,FALSE)-VLOOKUP($A38,DATA!$A$3:$F$301,2,FALSE))^2+(VLOOKUP(AS$1,DATA!$A$3:$F$301,3,FALSE)-VLOOKUP($A38,DATA!$A$3:$F$301,3,FALSE))^2),"")</f>
        <v/>
      </c>
      <c r="AT38" s="14" t="str">
        <f>_xlfn.IFNA(SQRT((VLOOKUP(AT$1,DATA!$A$3:$F$301,2,FALSE)-VLOOKUP($A38,DATA!$A$3:$F$301,2,FALSE))^2+(VLOOKUP(AT$1,DATA!$A$3:$F$301,3,FALSE)-VLOOKUP($A38,DATA!$A$3:$F$301,3,FALSE))^2),"")</f>
        <v/>
      </c>
      <c r="AU38" s="14" t="str">
        <f>_xlfn.IFNA(SQRT((VLOOKUP(AU$1,DATA!$A$3:$F$301,2,FALSE)-VLOOKUP($A38,DATA!$A$3:$F$301,2,FALSE))^2+(VLOOKUP(AU$1,DATA!$A$3:$F$301,3,FALSE)-VLOOKUP($A38,DATA!$A$3:$F$301,3,FALSE))^2),"")</f>
        <v/>
      </c>
      <c r="AV38" s="14" t="str">
        <f>_xlfn.IFNA(SQRT((VLOOKUP(AV$1,DATA!$A$3:$F$301,2,FALSE)-VLOOKUP($A38,DATA!$A$3:$F$301,2,FALSE))^2+(VLOOKUP(AV$1,DATA!$A$3:$F$301,3,FALSE)-VLOOKUP($A38,DATA!$A$3:$F$301,3,FALSE))^2),"")</f>
        <v/>
      </c>
      <c r="AW38" s="14" t="str">
        <f>_xlfn.IFNA(SQRT((VLOOKUP(AW$1,DATA!$A$3:$F$301,2,FALSE)-VLOOKUP($A38,DATA!$A$3:$F$301,2,FALSE))^2+(VLOOKUP(AW$1,DATA!$A$3:$F$301,3,FALSE)-VLOOKUP($A38,DATA!$A$3:$F$301,3,FALSE))^2),"")</f>
        <v/>
      </c>
      <c r="AX38" s="14" t="str">
        <f>_xlfn.IFNA(SQRT((VLOOKUP(AX$1,DATA!$A$3:$F$301,2,FALSE)-VLOOKUP($A38,DATA!$A$3:$F$301,2,FALSE))^2+(VLOOKUP(AX$1,DATA!$A$3:$F$301,3,FALSE)-VLOOKUP($A38,DATA!$A$3:$F$301,3,FALSE))^2),"")</f>
        <v/>
      </c>
      <c r="AY38" s="14" t="str">
        <f>_xlfn.IFNA(SQRT((VLOOKUP(AY$1,DATA!$A$3:$F$301,2,FALSE)-VLOOKUP($A38,DATA!$A$3:$F$301,2,FALSE))^2+(VLOOKUP(AY$1,DATA!$A$3:$F$301,3,FALSE)-VLOOKUP($A38,DATA!$A$3:$F$301,3,FALSE))^2),"")</f>
        <v/>
      </c>
      <c r="AZ38" s="14" t="str">
        <f>_xlfn.IFNA(SQRT((VLOOKUP(AZ$1,DATA!$A$3:$F$301,2,FALSE)-VLOOKUP($A38,DATA!$A$3:$F$301,2,FALSE))^2+(VLOOKUP(AZ$1,DATA!$A$3:$F$301,3,FALSE)-VLOOKUP($A38,DATA!$A$3:$F$301,3,FALSE))^2),"")</f>
        <v/>
      </c>
      <c r="BA38" s="14" t="str">
        <f>_xlfn.IFNA(SQRT((VLOOKUP(BA$1,DATA!$A$3:$F$301,2,FALSE)-VLOOKUP($A38,DATA!$A$3:$F$301,2,FALSE))^2+(VLOOKUP(BA$1,DATA!$A$3:$F$301,3,FALSE)-VLOOKUP($A38,DATA!$A$3:$F$301,3,FALSE))^2),"")</f>
        <v/>
      </c>
      <c r="BB38" s="14" t="str">
        <f>_xlfn.IFNA(SQRT((VLOOKUP(BB$1,DATA!$A$3:$F$301,2,FALSE)-VLOOKUP($A38,DATA!$A$3:$F$301,2,FALSE))^2+(VLOOKUP(BB$1,DATA!$A$3:$F$301,3,FALSE)-VLOOKUP($A38,DATA!$A$3:$F$301,3,FALSE))^2),"")</f>
        <v/>
      </c>
      <c r="BC38" s="14" t="str">
        <f>_xlfn.IFNA(SQRT((VLOOKUP(BC$1,DATA!$A$3:$F$301,2,FALSE)-VLOOKUP($A38,DATA!$A$3:$F$301,2,FALSE))^2+(VLOOKUP(BC$1,DATA!$A$3:$F$301,3,FALSE)-VLOOKUP($A38,DATA!$A$3:$F$301,3,FALSE))^2),"")</f>
        <v/>
      </c>
      <c r="BD38" s="14" t="str">
        <f>_xlfn.IFNA(SQRT((VLOOKUP(BD$1,DATA!$A$3:$F$301,2,FALSE)-VLOOKUP($A38,DATA!$A$3:$F$301,2,FALSE))^2+(VLOOKUP(BD$1,DATA!$A$3:$F$301,3,FALSE)-VLOOKUP($A38,DATA!$A$3:$F$301,3,FALSE))^2),"")</f>
        <v/>
      </c>
      <c r="BE38" s="14" t="str">
        <f>_xlfn.IFNA(SQRT((VLOOKUP(BE$1,DATA!$A$3:$F$301,2,FALSE)-VLOOKUP($A38,DATA!$A$3:$F$301,2,FALSE))^2+(VLOOKUP(BE$1,DATA!$A$3:$F$301,3,FALSE)-VLOOKUP($A38,DATA!$A$3:$F$301,3,FALSE))^2),"")</f>
        <v/>
      </c>
      <c r="BF38" s="14" t="str">
        <f>_xlfn.IFNA(SQRT((VLOOKUP(BF$1,DATA!$A$3:$F$301,2,FALSE)-VLOOKUP($A38,DATA!$A$3:$F$301,2,FALSE))^2+(VLOOKUP(BF$1,DATA!$A$3:$F$301,3,FALSE)-VLOOKUP($A38,DATA!$A$3:$F$301,3,FALSE))^2),"")</f>
        <v/>
      </c>
      <c r="BG38" s="14" t="str">
        <f>_xlfn.IFNA(SQRT((VLOOKUP(BG$1,DATA!$A$3:$F$301,2,FALSE)-VLOOKUP($A38,DATA!$A$3:$F$301,2,FALSE))^2+(VLOOKUP(BG$1,DATA!$A$3:$F$301,3,FALSE)-VLOOKUP($A38,DATA!$A$3:$F$301,3,FALSE))^2),"")</f>
        <v/>
      </c>
      <c r="BH38" s="14" t="str">
        <f>_xlfn.IFNA(SQRT((VLOOKUP(BH$1,DATA!$A$3:$F$301,2,FALSE)-VLOOKUP($A38,DATA!$A$3:$F$301,2,FALSE))^2+(VLOOKUP(BH$1,DATA!$A$3:$F$301,3,FALSE)-VLOOKUP($A38,DATA!$A$3:$F$301,3,FALSE))^2),"")</f>
        <v/>
      </c>
      <c r="BI38" s="14" t="str">
        <f>_xlfn.IFNA(SQRT((VLOOKUP(BI$1,DATA!$A$3:$F$301,2,FALSE)-VLOOKUP($A38,DATA!$A$3:$F$301,2,FALSE))^2+(VLOOKUP(BI$1,DATA!$A$3:$F$301,3,FALSE)-VLOOKUP($A38,DATA!$A$3:$F$301,3,FALSE))^2),"")</f>
        <v/>
      </c>
      <c r="BJ38" s="14" t="str">
        <f>_xlfn.IFNA(SQRT((VLOOKUP(BJ$1,DATA!$A$3:$F$301,2,FALSE)-VLOOKUP($A38,DATA!$A$3:$F$301,2,FALSE))^2+(VLOOKUP(BJ$1,DATA!$A$3:$F$301,3,FALSE)-VLOOKUP($A38,DATA!$A$3:$F$301,3,FALSE))^2),"")</f>
        <v/>
      </c>
      <c r="BK38" s="14" t="str">
        <f>_xlfn.IFNA(SQRT((VLOOKUP(BK$1,DATA!$A$3:$F$301,2,FALSE)-VLOOKUP($A38,DATA!$A$3:$F$301,2,FALSE))^2+(VLOOKUP(BK$1,DATA!$A$3:$F$301,3,FALSE)-VLOOKUP($A38,DATA!$A$3:$F$301,3,FALSE))^2),"")</f>
        <v/>
      </c>
      <c r="BL38" s="14" t="str">
        <f>_xlfn.IFNA(SQRT((VLOOKUP(BL$1,DATA!$A$3:$F$301,2,FALSE)-VLOOKUP($A38,DATA!$A$3:$F$301,2,FALSE))^2+(VLOOKUP(BL$1,DATA!$A$3:$F$301,3,FALSE)-VLOOKUP($A38,DATA!$A$3:$F$301,3,FALSE))^2),"")</f>
        <v/>
      </c>
      <c r="BM38" s="14" t="str">
        <f>_xlfn.IFNA(SQRT((VLOOKUP(BM$1,DATA!$A$3:$F$301,2,FALSE)-VLOOKUP($A38,DATA!$A$3:$F$301,2,FALSE))^2+(VLOOKUP(BM$1,DATA!$A$3:$F$301,3,FALSE)-VLOOKUP($A38,DATA!$A$3:$F$301,3,FALSE))^2),"")</f>
        <v/>
      </c>
      <c r="BN38" s="14" t="str">
        <f>_xlfn.IFNA(SQRT((VLOOKUP(BN$1,DATA!$A$3:$F$301,2,FALSE)-VLOOKUP($A38,DATA!$A$3:$F$301,2,FALSE))^2+(VLOOKUP(BN$1,DATA!$A$3:$F$301,3,FALSE)-VLOOKUP($A38,DATA!$A$3:$F$301,3,FALSE))^2),"")</f>
        <v/>
      </c>
      <c r="BO38" s="14" t="str">
        <f>_xlfn.IFNA(SQRT((VLOOKUP(BO$1,DATA!$A$3:$F$301,2,FALSE)-VLOOKUP($A38,DATA!$A$3:$F$301,2,FALSE))^2+(VLOOKUP(BO$1,DATA!$A$3:$F$301,3,FALSE)-VLOOKUP($A38,DATA!$A$3:$F$301,3,FALSE))^2),"")</f>
        <v/>
      </c>
      <c r="BP38" s="14" t="str">
        <f>_xlfn.IFNA(SQRT((VLOOKUP(BP$1,DATA!$A$3:$F$301,2,FALSE)-VLOOKUP($A38,DATA!$A$3:$F$301,2,FALSE))^2+(VLOOKUP(BP$1,DATA!$A$3:$F$301,3,FALSE)-VLOOKUP($A38,DATA!$A$3:$F$301,3,FALSE))^2),"")</f>
        <v/>
      </c>
      <c r="BQ38" s="14" t="str">
        <f>_xlfn.IFNA(SQRT((VLOOKUP(BQ$1,DATA!$A$3:$F$301,2,FALSE)-VLOOKUP($A38,DATA!$A$3:$F$301,2,FALSE))^2+(VLOOKUP(BQ$1,DATA!$A$3:$F$301,3,FALSE)-VLOOKUP($A38,DATA!$A$3:$F$301,3,FALSE))^2),"")</f>
        <v/>
      </c>
      <c r="BR38" s="14" t="str">
        <f>_xlfn.IFNA(SQRT((VLOOKUP(BR$1,DATA!$A$3:$F$301,2,FALSE)-VLOOKUP($A38,DATA!$A$3:$F$301,2,FALSE))^2+(VLOOKUP(BR$1,DATA!$A$3:$F$301,3,FALSE)-VLOOKUP($A38,DATA!$A$3:$F$301,3,FALSE))^2),"")</f>
        <v/>
      </c>
      <c r="BS38" s="14" t="str">
        <f>_xlfn.IFNA(SQRT((VLOOKUP(BS$1,DATA!$A$3:$F$301,2,FALSE)-VLOOKUP($A38,DATA!$A$3:$F$301,2,FALSE))^2+(VLOOKUP(BS$1,DATA!$A$3:$F$301,3,FALSE)-VLOOKUP($A38,DATA!$A$3:$F$301,3,FALSE))^2),"")</f>
        <v/>
      </c>
      <c r="BT38" s="14" t="str">
        <f>_xlfn.IFNA(SQRT((VLOOKUP(BT$1,DATA!$A$3:$F$301,2,FALSE)-VLOOKUP($A38,DATA!$A$3:$F$301,2,FALSE))^2+(VLOOKUP(BT$1,DATA!$A$3:$F$301,3,FALSE)-VLOOKUP($A38,DATA!$A$3:$F$301,3,FALSE))^2),"")</f>
        <v/>
      </c>
      <c r="BU38" s="14" t="str">
        <f>_xlfn.IFNA(SQRT((VLOOKUP(BU$1,DATA!$A$3:$F$301,2,FALSE)-VLOOKUP($A38,DATA!$A$3:$F$301,2,FALSE))^2+(VLOOKUP(BU$1,DATA!$A$3:$F$301,3,FALSE)-VLOOKUP($A38,DATA!$A$3:$F$301,3,FALSE))^2),"")</f>
        <v/>
      </c>
      <c r="BV38" s="14" t="str">
        <f>_xlfn.IFNA(SQRT((VLOOKUP(BV$1,DATA!$A$3:$F$301,2,FALSE)-VLOOKUP($A38,DATA!$A$3:$F$301,2,FALSE))^2+(VLOOKUP(BV$1,DATA!$A$3:$F$301,3,FALSE)-VLOOKUP($A38,DATA!$A$3:$F$301,3,FALSE))^2),"")</f>
        <v/>
      </c>
      <c r="BW38" s="14" t="str">
        <f>_xlfn.IFNA(SQRT((VLOOKUP(BW$1,DATA!$A$3:$F$301,2,FALSE)-VLOOKUP($A38,DATA!$A$3:$F$301,2,FALSE))^2+(VLOOKUP(BW$1,DATA!$A$3:$F$301,3,FALSE)-VLOOKUP($A38,DATA!$A$3:$F$301,3,FALSE))^2),"")</f>
        <v/>
      </c>
      <c r="BX38" s="14" t="str">
        <f>_xlfn.IFNA(SQRT((VLOOKUP(BX$1,DATA!$A$3:$F$301,2,FALSE)-VLOOKUP($A38,DATA!$A$3:$F$301,2,FALSE))^2+(VLOOKUP(BX$1,DATA!$A$3:$F$301,3,FALSE)-VLOOKUP($A38,DATA!$A$3:$F$301,3,FALSE))^2),"")</f>
        <v/>
      </c>
      <c r="BY38" s="14" t="str">
        <f>_xlfn.IFNA(SQRT((VLOOKUP(BY$1,DATA!$A$3:$F$301,2,FALSE)-VLOOKUP($A38,DATA!$A$3:$F$301,2,FALSE))^2+(VLOOKUP(BY$1,DATA!$A$3:$F$301,3,FALSE)-VLOOKUP($A38,DATA!$A$3:$F$301,3,FALSE))^2),"")</f>
        <v/>
      </c>
      <c r="BZ38" s="14" t="str">
        <f>_xlfn.IFNA(SQRT((VLOOKUP(BZ$1,DATA!$A$3:$F$301,2,FALSE)-VLOOKUP($A38,DATA!$A$3:$F$301,2,FALSE))^2+(VLOOKUP(BZ$1,DATA!$A$3:$F$301,3,FALSE)-VLOOKUP($A38,DATA!$A$3:$F$301,3,FALSE))^2),"")</f>
        <v/>
      </c>
      <c r="CA38" s="14" t="str">
        <f>_xlfn.IFNA(SQRT((VLOOKUP(CA$1,DATA!$A$3:$F$301,2,FALSE)-VLOOKUP($A38,DATA!$A$3:$F$301,2,FALSE))^2+(VLOOKUP(CA$1,DATA!$A$3:$F$301,3,FALSE)-VLOOKUP($A38,DATA!$A$3:$F$301,3,FALSE))^2),"")</f>
        <v/>
      </c>
      <c r="CB38" s="14" t="str">
        <f>_xlfn.IFNA(SQRT((VLOOKUP(CB$1,DATA!$A$3:$F$301,2,FALSE)-VLOOKUP($A38,DATA!$A$3:$F$301,2,FALSE))^2+(VLOOKUP(CB$1,DATA!$A$3:$F$301,3,FALSE)-VLOOKUP($A38,DATA!$A$3:$F$301,3,FALSE))^2),"")</f>
        <v/>
      </c>
      <c r="CC38" s="14" t="str">
        <f>_xlfn.IFNA(SQRT((VLOOKUP(CC$1,DATA!$A$3:$F$301,2,FALSE)-VLOOKUP($A38,DATA!$A$3:$F$301,2,FALSE))^2+(VLOOKUP(CC$1,DATA!$A$3:$F$301,3,FALSE)-VLOOKUP($A38,DATA!$A$3:$F$301,3,FALSE))^2),"")</f>
        <v/>
      </c>
      <c r="CD38" s="14" t="str">
        <f>_xlfn.IFNA(SQRT((VLOOKUP(CD$1,DATA!$A$3:$F$301,2,FALSE)-VLOOKUP($A38,DATA!$A$3:$F$301,2,FALSE))^2+(VLOOKUP(CD$1,DATA!$A$3:$F$301,3,FALSE)-VLOOKUP($A38,DATA!$A$3:$F$301,3,FALSE))^2),"")</f>
        <v/>
      </c>
      <c r="CE38" s="14" t="str">
        <f>_xlfn.IFNA(SQRT((VLOOKUP(CE$1,DATA!$A$3:$F$301,2,FALSE)-VLOOKUP($A38,DATA!$A$3:$F$301,2,FALSE))^2+(VLOOKUP(CE$1,DATA!$A$3:$F$301,3,FALSE)-VLOOKUP($A38,DATA!$A$3:$F$301,3,FALSE))^2),"")</f>
        <v/>
      </c>
      <c r="CF38" s="14" t="str">
        <f>_xlfn.IFNA(SQRT((VLOOKUP(CF$1,DATA!$A$3:$F$301,2,FALSE)-VLOOKUP($A38,DATA!$A$3:$F$301,2,FALSE))^2+(VLOOKUP(CF$1,DATA!$A$3:$F$301,3,FALSE)-VLOOKUP($A38,DATA!$A$3:$F$301,3,FALSE))^2),"")</f>
        <v/>
      </c>
      <c r="CG38" s="14" t="str">
        <f>_xlfn.IFNA(SQRT((VLOOKUP(CG$1,DATA!$A$3:$F$301,2,FALSE)-VLOOKUP($A38,DATA!$A$3:$F$301,2,FALSE))^2+(VLOOKUP(CG$1,DATA!$A$3:$F$301,3,FALSE)-VLOOKUP($A38,DATA!$A$3:$F$301,3,FALSE))^2),"")</f>
        <v/>
      </c>
      <c r="CH38" s="14" t="str">
        <f>_xlfn.IFNA(SQRT((VLOOKUP(CH$1,DATA!$A$3:$F$301,2,FALSE)-VLOOKUP($A38,DATA!$A$3:$F$301,2,FALSE))^2+(VLOOKUP(CH$1,DATA!$A$3:$F$301,3,FALSE)-VLOOKUP($A38,DATA!$A$3:$F$301,3,FALSE))^2),"")</f>
        <v/>
      </c>
      <c r="CI38" s="14" t="str">
        <f>_xlfn.IFNA(SQRT((VLOOKUP(CI$1,DATA!$A$3:$F$301,2,FALSE)-VLOOKUP($A38,DATA!$A$3:$F$301,2,FALSE))^2+(VLOOKUP(CI$1,DATA!$A$3:$F$301,3,FALSE)-VLOOKUP($A38,DATA!$A$3:$F$301,3,FALSE))^2),"")</f>
        <v/>
      </c>
      <c r="CJ38" s="14" t="str">
        <f>_xlfn.IFNA(SQRT((VLOOKUP(CJ$1,DATA!$A$3:$F$301,2,FALSE)-VLOOKUP($A38,DATA!$A$3:$F$301,2,FALSE))^2+(VLOOKUP(CJ$1,DATA!$A$3:$F$301,3,FALSE)-VLOOKUP($A38,DATA!$A$3:$F$301,3,FALSE))^2),"")</f>
        <v/>
      </c>
      <c r="CK38" s="14" t="str">
        <f>_xlfn.IFNA(SQRT((VLOOKUP(CK$1,DATA!$A$3:$F$301,2,FALSE)-VLOOKUP($A38,DATA!$A$3:$F$301,2,FALSE))^2+(VLOOKUP(CK$1,DATA!$A$3:$F$301,3,FALSE)-VLOOKUP($A38,DATA!$A$3:$F$301,3,FALSE))^2),"")</f>
        <v/>
      </c>
      <c r="CL38" s="14" t="str">
        <f>_xlfn.IFNA(SQRT((VLOOKUP(CL$1,DATA!$A$3:$F$301,2,FALSE)-VLOOKUP($A38,DATA!$A$3:$F$301,2,FALSE))^2+(VLOOKUP(CL$1,DATA!$A$3:$F$301,3,FALSE)-VLOOKUP($A38,DATA!$A$3:$F$301,3,FALSE))^2),"")</f>
        <v/>
      </c>
      <c r="CM38" s="14" t="str">
        <f>_xlfn.IFNA(SQRT((VLOOKUP(CM$1,DATA!$A$3:$F$301,2,FALSE)-VLOOKUP($A38,DATA!$A$3:$F$301,2,FALSE))^2+(VLOOKUP(CM$1,DATA!$A$3:$F$301,3,FALSE)-VLOOKUP($A38,DATA!$A$3:$F$301,3,FALSE))^2),"")</f>
        <v/>
      </c>
      <c r="CN38" s="14" t="str">
        <f>_xlfn.IFNA(SQRT((VLOOKUP(CN$1,DATA!$A$3:$F$301,2,FALSE)-VLOOKUP($A38,DATA!$A$3:$F$301,2,FALSE))^2+(VLOOKUP(CN$1,DATA!$A$3:$F$301,3,FALSE)-VLOOKUP($A38,DATA!$A$3:$F$301,3,FALSE))^2),"")</f>
        <v/>
      </c>
      <c r="CO38" s="14" t="str">
        <f>_xlfn.IFNA(SQRT((VLOOKUP(CO$1,DATA!$A$3:$F$301,2,FALSE)-VLOOKUP($A38,DATA!$A$3:$F$301,2,FALSE))^2+(VLOOKUP(CO$1,DATA!$A$3:$F$301,3,FALSE)-VLOOKUP($A38,DATA!$A$3:$F$301,3,FALSE))^2),"")</f>
        <v/>
      </c>
      <c r="CP38" s="14" t="str">
        <f>_xlfn.IFNA(SQRT((VLOOKUP(CP$1,DATA!$A$3:$F$301,2,FALSE)-VLOOKUP($A38,DATA!$A$3:$F$301,2,FALSE))^2+(VLOOKUP(CP$1,DATA!$A$3:$F$301,3,FALSE)-VLOOKUP($A38,DATA!$A$3:$F$301,3,FALSE))^2),"")</f>
        <v/>
      </c>
      <c r="CQ38" s="14" t="str">
        <f>_xlfn.IFNA(SQRT((VLOOKUP(CQ$1,DATA!$A$3:$F$301,2,FALSE)-VLOOKUP($A38,DATA!$A$3:$F$301,2,FALSE))^2+(VLOOKUP(CQ$1,DATA!$A$3:$F$301,3,FALSE)-VLOOKUP($A38,DATA!$A$3:$F$301,3,FALSE))^2),"")</f>
        <v/>
      </c>
      <c r="CR38" s="14" t="str">
        <f>_xlfn.IFNA(SQRT((VLOOKUP(CR$1,DATA!$A$3:$F$301,2,FALSE)-VLOOKUP($A38,DATA!$A$3:$F$301,2,FALSE))^2+(VLOOKUP(CR$1,DATA!$A$3:$F$301,3,FALSE)-VLOOKUP($A38,DATA!$A$3:$F$301,3,FALSE))^2),"")</f>
        <v/>
      </c>
      <c r="CS38" s="14" t="str">
        <f>_xlfn.IFNA(SQRT((VLOOKUP(CS$1,DATA!$A$3:$F$301,2,FALSE)-VLOOKUP($A38,DATA!$A$3:$F$301,2,FALSE))^2+(VLOOKUP(CS$1,DATA!$A$3:$F$301,3,FALSE)-VLOOKUP($A38,DATA!$A$3:$F$301,3,FALSE))^2),"")</f>
        <v/>
      </c>
      <c r="CT38" s="14" t="str">
        <f>_xlfn.IFNA(SQRT((VLOOKUP(CT$1,DATA!$A$3:$F$301,2,FALSE)-VLOOKUP($A38,DATA!$A$3:$F$301,2,FALSE))^2+(VLOOKUP(CT$1,DATA!$A$3:$F$301,3,FALSE)-VLOOKUP($A38,DATA!$A$3:$F$301,3,FALSE))^2),"")</f>
        <v/>
      </c>
      <c r="CU38" s="14" t="str">
        <f>_xlfn.IFNA(SQRT((VLOOKUP(CU$1,DATA!$A$3:$F$301,2,FALSE)-VLOOKUP($A38,DATA!$A$3:$F$301,2,FALSE))^2+(VLOOKUP(CU$1,DATA!$A$3:$F$301,3,FALSE)-VLOOKUP($A38,DATA!$A$3:$F$301,3,FALSE))^2),"")</f>
        <v/>
      </c>
      <c r="CV38" s="14" t="str">
        <f>_xlfn.IFNA(SQRT((VLOOKUP(CV$1,DATA!$A$3:$F$301,2,FALSE)-VLOOKUP($A38,DATA!$A$3:$F$301,2,FALSE))^2+(VLOOKUP(CV$1,DATA!$A$3:$F$301,3,FALSE)-VLOOKUP($A38,DATA!$A$3:$F$301,3,FALSE))^2),"")</f>
        <v/>
      </c>
      <c r="CW38" s="14" t="str">
        <f>_xlfn.IFNA(SQRT((VLOOKUP(CW$1,DATA!$A$3:$F$301,2,FALSE)-VLOOKUP($A38,DATA!$A$3:$F$301,2,FALSE))^2+(VLOOKUP(CW$1,DATA!$A$3:$F$301,3,FALSE)-VLOOKUP($A38,DATA!$A$3:$F$301,3,FALSE))^2),"")</f>
        <v/>
      </c>
      <c r="CX38" s="14" t="str">
        <f>_xlfn.IFNA(SQRT((VLOOKUP(CX$1,DATA!$A$3:$F$301,2,FALSE)-VLOOKUP($A38,DATA!$A$3:$F$301,2,FALSE))^2+(VLOOKUP(CX$1,DATA!$A$3:$F$301,3,FALSE)-VLOOKUP($A38,DATA!$A$3:$F$301,3,FALSE))^2),"")</f>
        <v/>
      </c>
    </row>
    <row r="39" spans="1:102">
      <c r="A39" s="13">
        <v>38</v>
      </c>
      <c r="B39" s="14">
        <f>_xlfn.IFNA(SQRT((VLOOKUP(B$1,DATA!$A$3:$F$301,2,FALSE)-VLOOKUP($A39,DATA!$A$3:$F$301,2,FALSE))^2+(VLOOKUP(B$1,DATA!$A$3:$F$301,3,FALSE)-VLOOKUP($A39,DATA!$A$3:$F$301,3,FALSE))^2),"")</f>
        <v>26.248809496813376</v>
      </c>
      <c r="C39" s="14">
        <f>_xlfn.IFNA(SQRT((VLOOKUP(C$1,DATA!$A$3:$F$301,2,FALSE)-VLOOKUP($A39,DATA!$A$3:$F$301,2,FALSE))^2+(VLOOKUP(C$1,DATA!$A$3:$F$301,3,FALSE)-VLOOKUP($A39,DATA!$A$3:$F$301,3,FALSE))^2),"")</f>
        <v>27.294688127912362</v>
      </c>
      <c r="D39" s="14">
        <f>_xlfn.IFNA(SQRT((VLOOKUP(D$1,DATA!$A$3:$F$301,2,FALSE)-VLOOKUP($A39,DATA!$A$3:$F$301,2,FALSE))^2+(VLOOKUP(D$1,DATA!$A$3:$F$301,3,FALSE)-VLOOKUP($A39,DATA!$A$3:$F$301,3,FALSE))^2),"")</f>
        <v>37.8549864614954</v>
      </c>
      <c r="E39" s="14">
        <f>_xlfn.IFNA(SQRT((VLOOKUP(E$1,DATA!$A$3:$F$301,2,FALSE)-VLOOKUP($A39,DATA!$A$3:$F$301,2,FALSE))^2+(VLOOKUP(E$1,DATA!$A$3:$F$301,3,FALSE)-VLOOKUP($A39,DATA!$A$3:$F$301,3,FALSE))^2),"")</f>
        <v>30.265491900843113</v>
      </c>
      <c r="F39" s="14">
        <f>_xlfn.IFNA(SQRT((VLOOKUP(F$1,DATA!$A$3:$F$301,2,FALSE)-VLOOKUP($A39,DATA!$A$3:$F$301,2,FALSE))^2+(VLOOKUP(F$1,DATA!$A$3:$F$301,3,FALSE)-VLOOKUP($A39,DATA!$A$3:$F$301,3,FALSE))^2),"")</f>
        <v>17.029386365926403</v>
      </c>
      <c r="G39" s="14">
        <f>_xlfn.IFNA(SQRT((VLOOKUP(G$1,DATA!$A$3:$F$301,2,FALSE)-VLOOKUP($A39,DATA!$A$3:$F$301,2,FALSE))^2+(VLOOKUP(G$1,DATA!$A$3:$F$301,3,FALSE)-VLOOKUP($A39,DATA!$A$3:$F$301,3,FALSE))^2),"")</f>
        <v>20.615528128088304</v>
      </c>
      <c r="H39" s="14">
        <f>_xlfn.IFNA(SQRT((VLOOKUP(H$1,DATA!$A$3:$F$301,2,FALSE)-VLOOKUP($A39,DATA!$A$3:$F$301,2,FALSE))^2+(VLOOKUP(H$1,DATA!$A$3:$F$301,3,FALSE)-VLOOKUP($A39,DATA!$A$3:$F$301,3,FALSE))^2),"")</f>
        <v>34.058772731852805</v>
      </c>
      <c r="I39" s="14">
        <f>_xlfn.IFNA(SQRT((VLOOKUP(I$1,DATA!$A$3:$F$301,2,FALSE)-VLOOKUP($A39,DATA!$A$3:$F$301,2,FALSE))^2+(VLOOKUP(I$1,DATA!$A$3:$F$301,3,FALSE)-VLOOKUP($A39,DATA!$A$3:$F$301,3,FALSE))^2),"")</f>
        <v>18.248287590894659</v>
      </c>
      <c r="J39" s="14">
        <f>_xlfn.IFNA(SQRT((VLOOKUP(J$1,DATA!$A$3:$F$301,2,FALSE)-VLOOKUP($A39,DATA!$A$3:$F$301,2,FALSE))^2+(VLOOKUP(J$1,DATA!$A$3:$F$301,3,FALSE)-VLOOKUP($A39,DATA!$A$3:$F$301,3,FALSE))^2),"")</f>
        <v>20.880613017821101</v>
      </c>
      <c r="K39" s="14">
        <f>_xlfn.IFNA(SQRT((VLOOKUP(K$1,DATA!$A$3:$F$301,2,FALSE)-VLOOKUP($A39,DATA!$A$3:$F$301,2,FALSE))^2+(VLOOKUP(K$1,DATA!$A$3:$F$301,3,FALSE)-VLOOKUP($A39,DATA!$A$3:$F$301,3,FALSE))^2),"")</f>
        <v>39</v>
      </c>
      <c r="L39" s="14">
        <f>_xlfn.IFNA(SQRT((VLOOKUP(L$1,DATA!$A$3:$F$301,2,FALSE)-VLOOKUP($A39,DATA!$A$3:$F$301,2,FALSE))^2+(VLOOKUP(L$1,DATA!$A$3:$F$301,3,FALSE)-VLOOKUP($A39,DATA!$A$3:$F$301,3,FALSE))^2),"")</f>
        <v>21.470910553583888</v>
      </c>
      <c r="M39" s="14">
        <f>_xlfn.IFNA(SQRT((VLOOKUP(M$1,DATA!$A$3:$F$301,2,FALSE)-VLOOKUP($A39,DATA!$A$3:$F$301,2,FALSE))^2+(VLOOKUP(M$1,DATA!$A$3:$F$301,3,FALSE)-VLOOKUP($A39,DATA!$A$3:$F$301,3,FALSE))^2),"")</f>
        <v>14.317821063276353</v>
      </c>
      <c r="N39" s="14">
        <f>_xlfn.IFNA(SQRT((VLOOKUP(N$1,DATA!$A$3:$F$301,2,FALSE)-VLOOKUP($A39,DATA!$A$3:$F$301,2,FALSE))^2+(VLOOKUP(N$1,DATA!$A$3:$F$301,3,FALSE)-VLOOKUP($A39,DATA!$A$3:$F$301,3,FALSE))^2),"")</f>
        <v>24.083189157584592</v>
      </c>
      <c r="O39" s="14">
        <f>_xlfn.IFNA(SQRT((VLOOKUP(O$1,DATA!$A$3:$F$301,2,FALSE)-VLOOKUP($A39,DATA!$A$3:$F$301,2,FALSE))^2+(VLOOKUP(O$1,DATA!$A$3:$F$301,3,FALSE)-VLOOKUP($A39,DATA!$A$3:$F$301,3,FALSE))^2),"")</f>
        <v>19.924858845171276</v>
      </c>
      <c r="P39" s="14">
        <f>_xlfn.IFNA(SQRT((VLOOKUP(P$1,DATA!$A$3:$F$301,2,FALSE)-VLOOKUP($A39,DATA!$A$3:$F$301,2,FALSE))^2+(VLOOKUP(P$1,DATA!$A$3:$F$301,3,FALSE)-VLOOKUP($A39,DATA!$A$3:$F$301,3,FALSE))^2),"")</f>
        <v>22.561028345356956</v>
      </c>
      <c r="Q39" s="14">
        <f>_xlfn.IFNA(SQRT((VLOOKUP(Q$1,DATA!$A$3:$F$301,2,FALSE)-VLOOKUP($A39,DATA!$A$3:$F$301,2,FALSE))^2+(VLOOKUP(Q$1,DATA!$A$3:$F$301,3,FALSE)-VLOOKUP($A39,DATA!$A$3:$F$301,3,FALSE))^2),"")</f>
        <v>21.931712199461309</v>
      </c>
      <c r="R39" s="14">
        <f>_xlfn.IFNA(SQRT((VLOOKUP(R$1,DATA!$A$3:$F$301,2,FALSE)-VLOOKUP($A39,DATA!$A$3:$F$301,2,FALSE))^2+(VLOOKUP(R$1,DATA!$A$3:$F$301,3,FALSE)-VLOOKUP($A39,DATA!$A$3:$F$301,3,FALSE))^2),"")</f>
        <v>40.521599178709621</v>
      </c>
      <c r="S39" s="14">
        <f>_xlfn.IFNA(SQRT((VLOOKUP(S$1,DATA!$A$3:$F$301,2,FALSE)-VLOOKUP($A39,DATA!$A$3:$F$301,2,FALSE))^2+(VLOOKUP(S$1,DATA!$A$3:$F$301,3,FALSE)-VLOOKUP($A39,DATA!$A$3:$F$301,3,FALSE))^2),"")</f>
        <v>14.212670403551895</v>
      </c>
      <c r="T39" s="14">
        <f>_xlfn.IFNA(SQRT((VLOOKUP(T$1,DATA!$A$3:$F$301,2,FALSE)-VLOOKUP($A39,DATA!$A$3:$F$301,2,FALSE))^2+(VLOOKUP(T$1,DATA!$A$3:$F$301,3,FALSE)-VLOOKUP($A39,DATA!$A$3:$F$301,3,FALSE))^2),"")</f>
        <v>10.295630140987001</v>
      </c>
      <c r="U39" s="14">
        <f>_xlfn.IFNA(SQRT((VLOOKUP(U$1,DATA!$A$3:$F$301,2,FALSE)-VLOOKUP($A39,DATA!$A$3:$F$301,2,FALSE))^2+(VLOOKUP(U$1,DATA!$A$3:$F$301,3,FALSE)-VLOOKUP($A39,DATA!$A$3:$F$301,3,FALSE))^2),"")</f>
        <v>34.525353003264136</v>
      </c>
      <c r="V39" s="14">
        <f>_xlfn.IFNA(SQRT((VLOOKUP(V$1,DATA!$A$3:$F$301,2,FALSE)-VLOOKUP($A39,DATA!$A$3:$F$301,2,FALSE))^2+(VLOOKUP(V$1,DATA!$A$3:$F$301,3,FALSE)-VLOOKUP($A39,DATA!$A$3:$F$301,3,FALSE))^2),"")</f>
        <v>28.301943396169811</v>
      </c>
      <c r="W39" s="14">
        <f>_xlfn.IFNA(SQRT((VLOOKUP(W$1,DATA!$A$3:$F$301,2,FALSE)-VLOOKUP($A39,DATA!$A$3:$F$301,2,FALSE))^2+(VLOOKUP(W$1,DATA!$A$3:$F$301,3,FALSE)-VLOOKUP($A39,DATA!$A$3:$F$301,3,FALSE))^2),"")</f>
        <v>36.359317925395686</v>
      </c>
      <c r="X39" s="14">
        <f>_xlfn.IFNA(SQRT((VLOOKUP(X$1,DATA!$A$3:$F$301,2,FALSE)-VLOOKUP($A39,DATA!$A$3:$F$301,2,FALSE))^2+(VLOOKUP(X$1,DATA!$A$3:$F$301,3,FALSE)-VLOOKUP($A39,DATA!$A$3:$F$301,3,FALSE))^2),"")</f>
        <v>40.607881008493905</v>
      </c>
      <c r="Y39" s="14">
        <f>_xlfn.IFNA(SQRT((VLOOKUP(Y$1,DATA!$A$3:$F$301,2,FALSE)-VLOOKUP($A39,DATA!$A$3:$F$301,2,FALSE))^2+(VLOOKUP(Y$1,DATA!$A$3:$F$301,3,FALSE)-VLOOKUP($A39,DATA!$A$3:$F$301,3,FALSE))^2),"")</f>
        <v>17.464249196572979</v>
      </c>
      <c r="Z39" s="14">
        <f>_xlfn.IFNA(SQRT((VLOOKUP(Z$1,DATA!$A$3:$F$301,2,FALSE)-VLOOKUP($A39,DATA!$A$3:$F$301,2,FALSE))^2+(VLOOKUP(Z$1,DATA!$A$3:$F$301,3,FALSE)-VLOOKUP($A39,DATA!$A$3:$F$301,3,FALSE))^2),"")</f>
        <v>41</v>
      </c>
      <c r="AA39" s="14">
        <f>_xlfn.IFNA(SQRT((VLOOKUP(AA$1,DATA!$A$3:$F$301,2,FALSE)-VLOOKUP($A39,DATA!$A$3:$F$301,2,FALSE))^2+(VLOOKUP(AA$1,DATA!$A$3:$F$301,3,FALSE)-VLOOKUP($A39,DATA!$A$3:$F$301,3,FALSE))^2),"")</f>
        <v>4.2426406871192848</v>
      </c>
      <c r="AB39" s="14">
        <f>_xlfn.IFNA(SQRT((VLOOKUP(AB$1,DATA!$A$3:$F$301,2,FALSE)-VLOOKUP($A39,DATA!$A$3:$F$301,2,FALSE))^2+(VLOOKUP(AB$1,DATA!$A$3:$F$301,3,FALSE)-VLOOKUP($A39,DATA!$A$3:$F$301,3,FALSE))^2),"")</f>
        <v>40.26164427839479</v>
      </c>
      <c r="AC39" s="14">
        <f>_xlfn.IFNA(SQRT((VLOOKUP(AC$1,DATA!$A$3:$F$301,2,FALSE)-VLOOKUP($A39,DATA!$A$3:$F$301,2,FALSE))^2+(VLOOKUP(AC$1,DATA!$A$3:$F$301,3,FALSE)-VLOOKUP($A39,DATA!$A$3:$F$301,3,FALSE))^2),"")</f>
        <v>8.5440037453175304</v>
      </c>
      <c r="AD39" s="14">
        <f>_xlfn.IFNA(SQRT((VLOOKUP(AD$1,DATA!$A$3:$F$301,2,FALSE)-VLOOKUP($A39,DATA!$A$3:$F$301,2,FALSE))^2+(VLOOKUP(AD$1,DATA!$A$3:$F$301,3,FALSE)-VLOOKUP($A39,DATA!$A$3:$F$301,3,FALSE))^2),"")</f>
        <v>41.880783182743848</v>
      </c>
      <c r="AE39" s="14">
        <f>_xlfn.IFNA(SQRT((VLOOKUP(AE$1,DATA!$A$3:$F$301,2,FALSE)-VLOOKUP($A39,DATA!$A$3:$F$301,2,FALSE))^2+(VLOOKUP(AE$1,DATA!$A$3:$F$301,3,FALSE)-VLOOKUP($A39,DATA!$A$3:$F$301,3,FALSE))^2),"")</f>
        <v>24.331050121192877</v>
      </c>
      <c r="AF39" s="14">
        <f>_xlfn.IFNA(SQRT((VLOOKUP(AF$1,DATA!$A$3:$F$301,2,FALSE)-VLOOKUP($A39,DATA!$A$3:$F$301,2,FALSE))^2+(VLOOKUP(AF$1,DATA!$A$3:$F$301,3,FALSE)-VLOOKUP($A39,DATA!$A$3:$F$301,3,FALSE))^2),"")</f>
        <v>36.055512754639892</v>
      </c>
      <c r="AG39" s="14">
        <f>_xlfn.IFNA(SQRT((VLOOKUP(AG$1,DATA!$A$3:$F$301,2,FALSE)-VLOOKUP($A39,DATA!$A$3:$F$301,2,FALSE))^2+(VLOOKUP(AG$1,DATA!$A$3:$F$301,3,FALSE)-VLOOKUP($A39,DATA!$A$3:$F$301,3,FALSE))^2),"")</f>
        <v>9.4339811320566032</v>
      </c>
      <c r="AH39" s="14">
        <f>_xlfn.IFNA(SQRT((VLOOKUP(AH$1,DATA!$A$3:$F$301,2,FALSE)-VLOOKUP($A39,DATA!$A$3:$F$301,2,FALSE))^2+(VLOOKUP(AH$1,DATA!$A$3:$F$301,3,FALSE)-VLOOKUP($A39,DATA!$A$3:$F$301,3,FALSE))^2),"")</f>
        <v>16.763054614240211</v>
      </c>
      <c r="AI39" s="14">
        <f>_xlfn.IFNA(SQRT((VLOOKUP(AI$1,DATA!$A$3:$F$301,2,FALSE)-VLOOKUP($A39,DATA!$A$3:$F$301,2,FALSE))^2+(VLOOKUP(AI$1,DATA!$A$3:$F$301,3,FALSE)-VLOOKUP($A39,DATA!$A$3:$F$301,3,FALSE))^2),"")</f>
        <v>39.812058474788763</v>
      </c>
      <c r="AJ39" s="14">
        <f>_xlfn.IFNA(SQRT((VLOOKUP(AJ$1,DATA!$A$3:$F$301,2,FALSE)-VLOOKUP($A39,DATA!$A$3:$F$301,2,FALSE))^2+(VLOOKUP(AJ$1,DATA!$A$3:$F$301,3,FALSE)-VLOOKUP($A39,DATA!$A$3:$F$301,3,FALSE))^2),"")</f>
        <v>29.068883707497267</v>
      </c>
      <c r="AK39" s="14">
        <f>_xlfn.IFNA(SQRT((VLOOKUP(AK$1,DATA!$A$3:$F$301,2,FALSE)-VLOOKUP($A39,DATA!$A$3:$F$301,2,FALSE))^2+(VLOOKUP(AK$1,DATA!$A$3:$F$301,3,FALSE)-VLOOKUP($A39,DATA!$A$3:$F$301,3,FALSE))^2),"")</f>
        <v>10.04987562112089</v>
      </c>
      <c r="AL39" s="14">
        <f>_xlfn.IFNA(SQRT((VLOOKUP(AL$1,DATA!$A$3:$F$301,2,FALSE)-VLOOKUP($A39,DATA!$A$3:$F$301,2,FALSE))^2+(VLOOKUP(AL$1,DATA!$A$3:$F$301,3,FALSE)-VLOOKUP($A39,DATA!$A$3:$F$301,3,FALSE))^2),"")</f>
        <v>15.652475842498529</v>
      </c>
      <c r="AM39" s="14">
        <f>_xlfn.IFNA(SQRT((VLOOKUP(AM$1,DATA!$A$3:$F$301,2,FALSE)-VLOOKUP($A39,DATA!$A$3:$F$301,2,FALSE))^2+(VLOOKUP(AM$1,DATA!$A$3:$F$301,3,FALSE)-VLOOKUP($A39,DATA!$A$3:$F$301,3,FALSE))^2),"")</f>
        <v>0</v>
      </c>
      <c r="AN39" s="14">
        <f>_xlfn.IFNA(SQRT((VLOOKUP(AN$1,DATA!$A$3:$F$301,2,FALSE)-VLOOKUP($A39,DATA!$A$3:$F$301,2,FALSE))^2+(VLOOKUP(AN$1,DATA!$A$3:$F$301,3,FALSE)-VLOOKUP($A39,DATA!$A$3:$F$301,3,FALSE))^2),"")</f>
        <v>42.720018726587654</v>
      </c>
      <c r="AO39" s="14">
        <f>_xlfn.IFNA(SQRT((VLOOKUP(AO$1,DATA!$A$3:$F$301,2,FALSE)-VLOOKUP($A39,DATA!$A$3:$F$301,2,FALSE))^2+(VLOOKUP(AO$1,DATA!$A$3:$F$301,3,FALSE)-VLOOKUP($A39,DATA!$A$3:$F$301,3,FALSE))^2),"")</f>
        <v>11.045361017187261</v>
      </c>
      <c r="AP39" s="14" t="str">
        <f>_xlfn.IFNA(SQRT((VLOOKUP(AP$1,DATA!$A$3:$F$301,2,FALSE)-VLOOKUP($A39,DATA!$A$3:$F$301,2,FALSE))^2+(VLOOKUP(AP$1,DATA!$A$3:$F$301,3,FALSE)-VLOOKUP($A39,DATA!$A$3:$F$301,3,FALSE))^2),"")</f>
        <v/>
      </c>
      <c r="AQ39" s="14" t="str">
        <f>_xlfn.IFNA(SQRT((VLOOKUP(AQ$1,DATA!$A$3:$F$301,2,FALSE)-VLOOKUP($A39,DATA!$A$3:$F$301,2,FALSE))^2+(VLOOKUP(AQ$1,DATA!$A$3:$F$301,3,FALSE)-VLOOKUP($A39,DATA!$A$3:$F$301,3,FALSE))^2),"")</f>
        <v/>
      </c>
      <c r="AR39" s="14" t="str">
        <f>_xlfn.IFNA(SQRT((VLOOKUP(AR$1,DATA!$A$3:$F$301,2,FALSE)-VLOOKUP($A39,DATA!$A$3:$F$301,2,FALSE))^2+(VLOOKUP(AR$1,DATA!$A$3:$F$301,3,FALSE)-VLOOKUP($A39,DATA!$A$3:$F$301,3,FALSE))^2),"")</f>
        <v/>
      </c>
      <c r="AS39" s="14" t="str">
        <f>_xlfn.IFNA(SQRT((VLOOKUP(AS$1,DATA!$A$3:$F$301,2,FALSE)-VLOOKUP($A39,DATA!$A$3:$F$301,2,FALSE))^2+(VLOOKUP(AS$1,DATA!$A$3:$F$301,3,FALSE)-VLOOKUP($A39,DATA!$A$3:$F$301,3,FALSE))^2),"")</f>
        <v/>
      </c>
      <c r="AT39" s="14" t="str">
        <f>_xlfn.IFNA(SQRT((VLOOKUP(AT$1,DATA!$A$3:$F$301,2,FALSE)-VLOOKUP($A39,DATA!$A$3:$F$301,2,FALSE))^2+(VLOOKUP(AT$1,DATA!$A$3:$F$301,3,FALSE)-VLOOKUP($A39,DATA!$A$3:$F$301,3,FALSE))^2),"")</f>
        <v/>
      </c>
      <c r="AU39" s="14" t="str">
        <f>_xlfn.IFNA(SQRT((VLOOKUP(AU$1,DATA!$A$3:$F$301,2,FALSE)-VLOOKUP($A39,DATA!$A$3:$F$301,2,FALSE))^2+(VLOOKUP(AU$1,DATA!$A$3:$F$301,3,FALSE)-VLOOKUP($A39,DATA!$A$3:$F$301,3,FALSE))^2),"")</f>
        <v/>
      </c>
      <c r="AV39" s="14" t="str">
        <f>_xlfn.IFNA(SQRT((VLOOKUP(AV$1,DATA!$A$3:$F$301,2,FALSE)-VLOOKUP($A39,DATA!$A$3:$F$301,2,FALSE))^2+(VLOOKUP(AV$1,DATA!$A$3:$F$301,3,FALSE)-VLOOKUP($A39,DATA!$A$3:$F$301,3,FALSE))^2),"")</f>
        <v/>
      </c>
      <c r="AW39" s="14" t="str">
        <f>_xlfn.IFNA(SQRT((VLOOKUP(AW$1,DATA!$A$3:$F$301,2,FALSE)-VLOOKUP($A39,DATA!$A$3:$F$301,2,FALSE))^2+(VLOOKUP(AW$1,DATA!$A$3:$F$301,3,FALSE)-VLOOKUP($A39,DATA!$A$3:$F$301,3,FALSE))^2),"")</f>
        <v/>
      </c>
      <c r="AX39" s="14" t="str">
        <f>_xlfn.IFNA(SQRT((VLOOKUP(AX$1,DATA!$A$3:$F$301,2,FALSE)-VLOOKUP($A39,DATA!$A$3:$F$301,2,FALSE))^2+(VLOOKUP(AX$1,DATA!$A$3:$F$301,3,FALSE)-VLOOKUP($A39,DATA!$A$3:$F$301,3,FALSE))^2),"")</f>
        <v/>
      </c>
      <c r="AY39" s="14" t="str">
        <f>_xlfn.IFNA(SQRT((VLOOKUP(AY$1,DATA!$A$3:$F$301,2,FALSE)-VLOOKUP($A39,DATA!$A$3:$F$301,2,FALSE))^2+(VLOOKUP(AY$1,DATA!$A$3:$F$301,3,FALSE)-VLOOKUP($A39,DATA!$A$3:$F$301,3,FALSE))^2),"")</f>
        <v/>
      </c>
      <c r="AZ39" s="14" t="str">
        <f>_xlfn.IFNA(SQRT((VLOOKUP(AZ$1,DATA!$A$3:$F$301,2,FALSE)-VLOOKUP($A39,DATA!$A$3:$F$301,2,FALSE))^2+(VLOOKUP(AZ$1,DATA!$A$3:$F$301,3,FALSE)-VLOOKUP($A39,DATA!$A$3:$F$301,3,FALSE))^2),"")</f>
        <v/>
      </c>
      <c r="BA39" s="14" t="str">
        <f>_xlfn.IFNA(SQRT((VLOOKUP(BA$1,DATA!$A$3:$F$301,2,FALSE)-VLOOKUP($A39,DATA!$A$3:$F$301,2,FALSE))^2+(VLOOKUP(BA$1,DATA!$A$3:$F$301,3,FALSE)-VLOOKUP($A39,DATA!$A$3:$F$301,3,FALSE))^2),"")</f>
        <v/>
      </c>
      <c r="BB39" s="14" t="str">
        <f>_xlfn.IFNA(SQRT((VLOOKUP(BB$1,DATA!$A$3:$F$301,2,FALSE)-VLOOKUP($A39,DATA!$A$3:$F$301,2,FALSE))^2+(VLOOKUP(BB$1,DATA!$A$3:$F$301,3,FALSE)-VLOOKUP($A39,DATA!$A$3:$F$301,3,FALSE))^2),"")</f>
        <v/>
      </c>
      <c r="BC39" s="14" t="str">
        <f>_xlfn.IFNA(SQRT((VLOOKUP(BC$1,DATA!$A$3:$F$301,2,FALSE)-VLOOKUP($A39,DATA!$A$3:$F$301,2,FALSE))^2+(VLOOKUP(BC$1,DATA!$A$3:$F$301,3,FALSE)-VLOOKUP($A39,DATA!$A$3:$F$301,3,FALSE))^2),"")</f>
        <v/>
      </c>
      <c r="BD39" s="14" t="str">
        <f>_xlfn.IFNA(SQRT((VLOOKUP(BD$1,DATA!$A$3:$F$301,2,FALSE)-VLOOKUP($A39,DATA!$A$3:$F$301,2,FALSE))^2+(VLOOKUP(BD$1,DATA!$A$3:$F$301,3,FALSE)-VLOOKUP($A39,DATA!$A$3:$F$301,3,FALSE))^2),"")</f>
        <v/>
      </c>
      <c r="BE39" s="14" t="str">
        <f>_xlfn.IFNA(SQRT((VLOOKUP(BE$1,DATA!$A$3:$F$301,2,FALSE)-VLOOKUP($A39,DATA!$A$3:$F$301,2,FALSE))^2+(VLOOKUP(BE$1,DATA!$A$3:$F$301,3,FALSE)-VLOOKUP($A39,DATA!$A$3:$F$301,3,FALSE))^2),"")</f>
        <v/>
      </c>
      <c r="BF39" s="14" t="str">
        <f>_xlfn.IFNA(SQRT((VLOOKUP(BF$1,DATA!$A$3:$F$301,2,FALSE)-VLOOKUP($A39,DATA!$A$3:$F$301,2,FALSE))^2+(VLOOKUP(BF$1,DATA!$A$3:$F$301,3,FALSE)-VLOOKUP($A39,DATA!$A$3:$F$301,3,FALSE))^2),"")</f>
        <v/>
      </c>
      <c r="BG39" s="14" t="str">
        <f>_xlfn.IFNA(SQRT((VLOOKUP(BG$1,DATA!$A$3:$F$301,2,FALSE)-VLOOKUP($A39,DATA!$A$3:$F$301,2,FALSE))^2+(VLOOKUP(BG$1,DATA!$A$3:$F$301,3,FALSE)-VLOOKUP($A39,DATA!$A$3:$F$301,3,FALSE))^2),"")</f>
        <v/>
      </c>
      <c r="BH39" s="14" t="str">
        <f>_xlfn.IFNA(SQRT((VLOOKUP(BH$1,DATA!$A$3:$F$301,2,FALSE)-VLOOKUP($A39,DATA!$A$3:$F$301,2,FALSE))^2+(VLOOKUP(BH$1,DATA!$A$3:$F$301,3,FALSE)-VLOOKUP($A39,DATA!$A$3:$F$301,3,FALSE))^2),"")</f>
        <v/>
      </c>
      <c r="BI39" s="14" t="str">
        <f>_xlfn.IFNA(SQRT((VLOOKUP(BI$1,DATA!$A$3:$F$301,2,FALSE)-VLOOKUP($A39,DATA!$A$3:$F$301,2,FALSE))^2+(VLOOKUP(BI$1,DATA!$A$3:$F$301,3,FALSE)-VLOOKUP($A39,DATA!$A$3:$F$301,3,FALSE))^2),"")</f>
        <v/>
      </c>
      <c r="BJ39" s="14" t="str">
        <f>_xlfn.IFNA(SQRT((VLOOKUP(BJ$1,DATA!$A$3:$F$301,2,FALSE)-VLOOKUP($A39,DATA!$A$3:$F$301,2,FALSE))^2+(VLOOKUP(BJ$1,DATA!$A$3:$F$301,3,FALSE)-VLOOKUP($A39,DATA!$A$3:$F$301,3,FALSE))^2),"")</f>
        <v/>
      </c>
      <c r="BK39" s="14" t="str">
        <f>_xlfn.IFNA(SQRT((VLOOKUP(BK$1,DATA!$A$3:$F$301,2,FALSE)-VLOOKUP($A39,DATA!$A$3:$F$301,2,FALSE))^2+(VLOOKUP(BK$1,DATA!$A$3:$F$301,3,FALSE)-VLOOKUP($A39,DATA!$A$3:$F$301,3,FALSE))^2),"")</f>
        <v/>
      </c>
      <c r="BL39" s="14" t="str">
        <f>_xlfn.IFNA(SQRT((VLOOKUP(BL$1,DATA!$A$3:$F$301,2,FALSE)-VLOOKUP($A39,DATA!$A$3:$F$301,2,FALSE))^2+(VLOOKUP(BL$1,DATA!$A$3:$F$301,3,FALSE)-VLOOKUP($A39,DATA!$A$3:$F$301,3,FALSE))^2),"")</f>
        <v/>
      </c>
      <c r="BM39" s="14" t="str">
        <f>_xlfn.IFNA(SQRT((VLOOKUP(BM$1,DATA!$A$3:$F$301,2,FALSE)-VLOOKUP($A39,DATA!$A$3:$F$301,2,FALSE))^2+(VLOOKUP(BM$1,DATA!$A$3:$F$301,3,FALSE)-VLOOKUP($A39,DATA!$A$3:$F$301,3,FALSE))^2),"")</f>
        <v/>
      </c>
      <c r="BN39" s="14" t="str">
        <f>_xlfn.IFNA(SQRT((VLOOKUP(BN$1,DATA!$A$3:$F$301,2,FALSE)-VLOOKUP($A39,DATA!$A$3:$F$301,2,FALSE))^2+(VLOOKUP(BN$1,DATA!$A$3:$F$301,3,FALSE)-VLOOKUP($A39,DATA!$A$3:$F$301,3,FALSE))^2),"")</f>
        <v/>
      </c>
      <c r="BO39" s="14" t="str">
        <f>_xlfn.IFNA(SQRT((VLOOKUP(BO$1,DATA!$A$3:$F$301,2,FALSE)-VLOOKUP($A39,DATA!$A$3:$F$301,2,FALSE))^2+(VLOOKUP(BO$1,DATA!$A$3:$F$301,3,FALSE)-VLOOKUP($A39,DATA!$A$3:$F$301,3,FALSE))^2),"")</f>
        <v/>
      </c>
      <c r="BP39" s="14" t="str">
        <f>_xlfn.IFNA(SQRT((VLOOKUP(BP$1,DATA!$A$3:$F$301,2,FALSE)-VLOOKUP($A39,DATA!$A$3:$F$301,2,FALSE))^2+(VLOOKUP(BP$1,DATA!$A$3:$F$301,3,FALSE)-VLOOKUP($A39,DATA!$A$3:$F$301,3,FALSE))^2),"")</f>
        <v/>
      </c>
      <c r="BQ39" s="14" t="str">
        <f>_xlfn.IFNA(SQRT((VLOOKUP(BQ$1,DATA!$A$3:$F$301,2,FALSE)-VLOOKUP($A39,DATA!$A$3:$F$301,2,FALSE))^2+(VLOOKUP(BQ$1,DATA!$A$3:$F$301,3,FALSE)-VLOOKUP($A39,DATA!$A$3:$F$301,3,FALSE))^2),"")</f>
        <v/>
      </c>
      <c r="BR39" s="14" t="str">
        <f>_xlfn.IFNA(SQRT((VLOOKUP(BR$1,DATA!$A$3:$F$301,2,FALSE)-VLOOKUP($A39,DATA!$A$3:$F$301,2,FALSE))^2+(VLOOKUP(BR$1,DATA!$A$3:$F$301,3,FALSE)-VLOOKUP($A39,DATA!$A$3:$F$301,3,FALSE))^2),"")</f>
        <v/>
      </c>
      <c r="BS39" s="14" t="str">
        <f>_xlfn.IFNA(SQRT((VLOOKUP(BS$1,DATA!$A$3:$F$301,2,FALSE)-VLOOKUP($A39,DATA!$A$3:$F$301,2,FALSE))^2+(VLOOKUP(BS$1,DATA!$A$3:$F$301,3,FALSE)-VLOOKUP($A39,DATA!$A$3:$F$301,3,FALSE))^2),"")</f>
        <v/>
      </c>
      <c r="BT39" s="14" t="str">
        <f>_xlfn.IFNA(SQRT((VLOOKUP(BT$1,DATA!$A$3:$F$301,2,FALSE)-VLOOKUP($A39,DATA!$A$3:$F$301,2,FALSE))^2+(VLOOKUP(BT$1,DATA!$A$3:$F$301,3,FALSE)-VLOOKUP($A39,DATA!$A$3:$F$301,3,FALSE))^2),"")</f>
        <v/>
      </c>
      <c r="BU39" s="14" t="str">
        <f>_xlfn.IFNA(SQRT((VLOOKUP(BU$1,DATA!$A$3:$F$301,2,FALSE)-VLOOKUP($A39,DATA!$A$3:$F$301,2,FALSE))^2+(VLOOKUP(BU$1,DATA!$A$3:$F$301,3,FALSE)-VLOOKUP($A39,DATA!$A$3:$F$301,3,FALSE))^2),"")</f>
        <v/>
      </c>
      <c r="BV39" s="14" t="str">
        <f>_xlfn.IFNA(SQRT((VLOOKUP(BV$1,DATA!$A$3:$F$301,2,FALSE)-VLOOKUP($A39,DATA!$A$3:$F$301,2,FALSE))^2+(VLOOKUP(BV$1,DATA!$A$3:$F$301,3,FALSE)-VLOOKUP($A39,DATA!$A$3:$F$301,3,FALSE))^2),"")</f>
        <v/>
      </c>
      <c r="BW39" s="14" t="str">
        <f>_xlfn.IFNA(SQRT((VLOOKUP(BW$1,DATA!$A$3:$F$301,2,FALSE)-VLOOKUP($A39,DATA!$A$3:$F$301,2,FALSE))^2+(VLOOKUP(BW$1,DATA!$A$3:$F$301,3,FALSE)-VLOOKUP($A39,DATA!$A$3:$F$301,3,FALSE))^2),"")</f>
        <v/>
      </c>
      <c r="BX39" s="14" t="str">
        <f>_xlfn.IFNA(SQRT((VLOOKUP(BX$1,DATA!$A$3:$F$301,2,FALSE)-VLOOKUP($A39,DATA!$A$3:$F$301,2,FALSE))^2+(VLOOKUP(BX$1,DATA!$A$3:$F$301,3,FALSE)-VLOOKUP($A39,DATA!$A$3:$F$301,3,FALSE))^2),"")</f>
        <v/>
      </c>
      <c r="BY39" s="14" t="str">
        <f>_xlfn.IFNA(SQRT((VLOOKUP(BY$1,DATA!$A$3:$F$301,2,FALSE)-VLOOKUP($A39,DATA!$A$3:$F$301,2,FALSE))^2+(VLOOKUP(BY$1,DATA!$A$3:$F$301,3,FALSE)-VLOOKUP($A39,DATA!$A$3:$F$301,3,FALSE))^2),"")</f>
        <v/>
      </c>
      <c r="BZ39" s="14" t="str">
        <f>_xlfn.IFNA(SQRT((VLOOKUP(BZ$1,DATA!$A$3:$F$301,2,FALSE)-VLOOKUP($A39,DATA!$A$3:$F$301,2,FALSE))^2+(VLOOKUP(BZ$1,DATA!$A$3:$F$301,3,FALSE)-VLOOKUP($A39,DATA!$A$3:$F$301,3,FALSE))^2),"")</f>
        <v/>
      </c>
      <c r="CA39" s="14" t="str">
        <f>_xlfn.IFNA(SQRT((VLOOKUP(CA$1,DATA!$A$3:$F$301,2,FALSE)-VLOOKUP($A39,DATA!$A$3:$F$301,2,FALSE))^2+(VLOOKUP(CA$1,DATA!$A$3:$F$301,3,FALSE)-VLOOKUP($A39,DATA!$A$3:$F$301,3,FALSE))^2),"")</f>
        <v/>
      </c>
      <c r="CB39" s="14" t="str">
        <f>_xlfn.IFNA(SQRT((VLOOKUP(CB$1,DATA!$A$3:$F$301,2,FALSE)-VLOOKUP($A39,DATA!$A$3:$F$301,2,FALSE))^2+(VLOOKUP(CB$1,DATA!$A$3:$F$301,3,FALSE)-VLOOKUP($A39,DATA!$A$3:$F$301,3,FALSE))^2),"")</f>
        <v/>
      </c>
      <c r="CC39" s="14" t="str">
        <f>_xlfn.IFNA(SQRT((VLOOKUP(CC$1,DATA!$A$3:$F$301,2,FALSE)-VLOOKUP($A39,DATA!$A$3:$F$301,2,FALSE))^2+(VLOOKUP(CC$1,DATA!$A$3:$F$301,3,FALSE)-VLOOKUP($A39,DATA!$A$3:$F$301,3,FALSE))^2),"")</f>
        <v/>
      </c>
      <c r="CD39" s="14" t="str">
        <f>_xlfn.IFNA(SQRT((VLOOKUP(CD$1,DATA!$A$3:$F$301,2,FALSE)-VLOOKUP($A39,DATA!$A$3:$F$301,2,FALSE))^2+(VLOOKUP(CD$1,DATA!$A$3:$F$301,3,FALSE)-VLOOKUP($A39,DATA!$A$3:$F$301,3,FALSE))^2),"")</f>
        <v/>
      </c>
      <c r="CE39" s="14" t="str">
        <f>_xlfn.IFNA(SQRT((VLOOKUP(CE$1,DATA!$A$3:$F$301,2,FALSE)-VLOOKUP($A39,DATA!$A$3:$F$301,2,FALSE))^2+(VLOOKUP(CE$1,DATA!$A$3:$F$301,3,FALSE)-VLOOKUP($A39,DATA!$A$3:$F$301,3,FALSE))^2),"")</f>
        <v/>
      </c>
      <c r="CF39" s="14" t="str">
        <f>_xlfn.IFNA(SQRT((VLOOKUP(CF$1,DATA!$A$3:$F$301,2,FALSE)-VLOOKUP($A39,DATA!$A$3:$F$301,2,FALSE))^2+(VLOOKUP(CF$1,DATA!$A$3:$F$301,3,FALSE)-VLOOKUP($A39,DATA!$A$3:$F$301,3,FALSE))^2),"")</f>
        <v/>
      </c>
      <c r="CG39" s="14" t="str">
        <f>_xlfn.IFNA(SQRT((VLOOKUP(CG$1,DATA!$A$3:$F$301,2,FALSE)-VLOOKUP($A39,DATA!$A$3:$F$301,2,FALSE))^2+(VLOOKUP(CG$1,DATA!$A$3:$F$301,3,FALSE)-VLOOKUP($A39,DATA!$A$3:$F$301,3,FALSE))^2),"")</f>
        <v/>
      </c>
      <c r="CH39" s="14" t="str">
        <f>_xlfn.IFNA(SQRT((VLOOKUP(CH$1,DATA!$A$3:$F$301,2,FALSE)-VLOOKUP($A39,DATA!$A$3:$F$301,2,FALSE))^2+(VLOOKUP(CH$1,DATA!$A$3:$F$301,3,FALSE)-VLOOKUP($A39,DATA!$A$3:$F$301,3,FALSE))^2),"")</f>
        <v/>
      </c>
      <c r="CI39" s="14" t="str">
        <f>_xlfn.IFNA(SQRT((VLOOKUP(CI$1,DATA!$A$3:$F$301,2,FALSE)-VLOOKUP($A39,DATA!$A$3:$F$301,2,FALSE))^2+(VLOOKUP(CI$1,DATA!$A$3:$F$301,3,FALSE)-VLOOKUP($A39,DATA!$A$3:$F$301,3,FALSE))^2),"")</f>
        <v/>
      </c>
      <c r="CJ39" s="14" t="str">
        <f>_xlfn.IFNA(SQRT((VLOOKUP(CJ$1,DATA!$A$3:$F$301,2,FALSE)-VLOOKUP($A39,DATA!$A$3:$F$301,2,FALSE))^2+(VLOOKUP(CJ$1,DATA!$A$3:$F$301,3,FALSE)-VLOOKUP($A39,DATA!$A$3:$F$301,3,FALSE))^2),"")</f>
        <v/>
      </c>
      <c r="CK39" s="14" t="str">
        <f>_xlfn.IFNA(SQRT((VLOOKUP(CK$1,DATA!$A$3:$F$301,2,FALSE)-VLOOKUP($A39,DATA!$A$3:$F$301,2,FALSE))^2+(VLOOKUP(CK$1,DATA!$A$3:$F$301,3,FALSE)-VLOOKUP($A39,DATA!$A$3:$F$301,3,FALSE))^2),"")</f>
        <v/>
      </c>
      <c r="CL39" s="14" t="str">
        <f>_xlfn.IFNA(SQRT((VLOOKUP(CL$1,DATA!$A$3:$F$301,2,FALSE)-VLOOKUP($A39,DATA!$A$3:$F$301,2,FALSE))^2+(VLOOKUP(CL$1,DATA!$A$3:$F$301,3,FALSE)-VLOOKUP($A39,DATA!$A$3:$F$301,3,FALSE))^2),"")</f>
        <v/>
      </c>
      <c r="CM39" s="14" t="str">
        <f>_xlfn.IFNA(SQRT((VLOOKUP(CM$1,DATA!$A$3:$F$301,2,FALSE)-VLOOKUP($A39,DATA!$A$3:$F$301,2,FALSE))^2+(VLOOKUP(CM$1,DATA!$A$3:$F$301,3,FALSE)-VLOOKUP($A39,DATA!$A$3:$F$301,3,FALSE))^2),"")</f>
        <v/>
      </c>
      <c r="CN39" s="14" t="str">
        <f>_xlfn.IFNA(SQRT((VLOOKUP(CN$1,DATA!$A$3:$F$301,2,FALSE)-VLOOKUP($A39,DATA!$A$3:$F$301,2,FALSE))^2+(VLOOKUP(CN$1,DATA!$A$3:$F$301,3,FALSE)-VLOOKUP($A39,DATA!$A$3:$F$301,3,FALSE))^2),"")</f>
        <v/>
      </c>
      <c r="CO39" s="14" t="str">
        <f>_xlfn.IFNA(SQRT((VLOOKUP(CO$1,DATA!$A$3:$F$301,2,FALSE)-VLOOKUP($A39,DATA!$A$3:$F$301,2,FALSE))^2+(VLOOKUP(CO$1,DATA!$A$3:$F$301,3,FALSE)-VLOOKUP($A39,DATA!$A$3:$F$301,3,FALSE))^2),"")</f>
        <v/>
      </c>
      <c r="CP39" s="14" t="str">
        <f>_xlfn.IFNA(SQRT((VLOOKUP(CP$1,DATA!$A$3:$F$301,2,FALSE)-VLOOKUP($A39,DATA!$A$3:$F$301,2,FALSE))^2+(VLOOKUP(CP$1,DATA!$A$3:$F$301,3,FALSE)-VLOOKUP($A39,DATA!$A$3:$F$301,3,FALSE))^2),"")</f>
        <v/>
      </c>
      <c r="CQ39" s="14" t="str">
        <f>_xlfn.IFNA(SQRT((VLOOKUP(CQ$1,DATA!$A$3:$F$301,2,FALSE)-VLOOKUP($A39,DATA!$A$3:$F$301,2,FALSE))^2+(VLOOKUP(CQ$1,DATA!$A$3:$F$301,3,FALSE)-VLOOKUP($A39,DATA!$A$3:$F$301,3,FALSE))^2),"")</f>
        <v/>
      </c>
      <c r="CR39" s="14" t="str">
        <f>_xlfn.IFNA(SQRT((VLOOKUP(CR$1,DATA!$A$3:$F$301,2,FALSE)-VLOOKUP($A39,DATA!$A$3:$F$301,2,FALSE))^2+(VLOOKUP(CR$1,DATA!$A$3:$F$301,3,FALSE)-VLOOKUP($A39,DATA!$A$3:$F$301,3,FALSE))^2),"")</f>
        <v/>
      </c>
      <c r="CS39" s="14" t="str">
        <f>_xlfn.IFNA(SQRT((VLOOKUP(CS$1,DATA!$A$3:$F$301,2,FALSE)-VLOOKUP($A39,DATA!$A$3:$F$301,2,FALSE))^2+(VLOOKUP(CS$1,DATA!$A$3:$F$301,3,FALSE)-VLOOKUP($A39,DATA!$A$3:$F$301,3,FALSE))^2),"")</f>
        <v/>
      </c>
      <c r="CT39" s="14" t="str">
        <f>_xlfn.IFNA(SQRT((VLOOKUP(CT$1,DATA!$A$3:$F$301,2,FALSE)-VLOOKUP($A39,DATA!$A$3:$F$301,2,FALSE))^2+(VLOOKUP(CT$1,DATA!$A$3:$F$301,3,FALSE)-VLOOKUP($A39,DATA!$A$3:$F$301,3,FALSE))^2),"")</f>
        <v/>
      </c>
      <c r="CU39" s="14" t="str">
        <f>_xlfn.IFNA(SQRT((VLOOKUP(CU$1,DATA!$A$3:$F$301,2,FALSE)-VLOOKUP($A39,DATA!$A$3:$F$301,2,FALSE))^2+(VLOOKUP(CU$1,DATA!$A$3:$F$301,3,FALSE)-VLOOKUP($A39,DATA!$A$3:$F$301,3,FALSE))^2),"")</f>
        <v/>
      </c>
      <c r="CV39" s="14" t="str">
        <f>_xlfn.IFNA(SQRT((VLOOKUP(CV$1,DATA!$A$3:$F$301,2,FALSE)-VLOOKUP($A39,DATA!$A$3:$F$301,2,FALSE))^2+(VLOOKUP(CV$1,DATA!$A$3:$F$301,3,FALSE)-VLOOKUP($A39,DATA!$A$3:$F$301,3,FALSE))^2),"")</f>
        <v/>
      </c>
      <c r="CW39" s="14" t="str">
        <f>_xlfn.IFNA(SQRT((VLOOKUP(CW$1,DATA!$A$3:$F$301,2,FALSE)-VLOOKUP($A39,DATA!$A$3:$F$301,2,FALSE))^2+(VLOOKUP(CW$1,DATA!$A$3:$F$301,3,FALSE)-VLOOKUP($A39,DATA!$A$3:$F$301,3,FALSE))^2),"")</f>
        <v/>
      </c>
      <c r="CX39" s="14" t="str">
        <f>_xlfn.IFNA(SQRT((VLOOKUP(CX$1,DATA!$A$3:$F$301,2,FALSE)-VLOOKUP($A39,DATA!$A$3:$F$301,2,FALSE))^2+(VLOOKUP(CX$1,DATA!$A$3:$F$301,3,FALSE)-VLOOKUP($A39,DATA!$A$3:$F$301,3,FALSE))^2),"")</f>
        <v/>
      </c>
    </row>
    <row r="40" spans="1:102">
      <c r="A40" s="13">
        <v>39</v>
      </c>
      <c r="B40" s="14">
        <f>_xlfn.IFNA(SQRT((VLOOKUP(B$1,DATA!$A$3:$F$301,2,FALSE)-VLOOKUP($A40,DATA!$A$3:$F$301,2,FALSE))^2+(VLOOKUP(B$1,DATA!$A$3:$F$301,3,FALSE)-VLOOKUP($A40,DATA!$A$3:$F$301,3,FALSE))^2),"")</f>
        <v>32.893768406797051</v>
      </c>
      <c r="C40" s="14">
        <f>_xlfn.IFNA(SQRT((VLOOKUP(C$1,DATA!$A$3:$F$301,2,FALSE)-VLOOKUP($A40,DATA!$A$3:$F$301,2,FALSE))^2+(VLOOKUP(C$1,DATA!$A$3:$F$301,3,FALSE)-VLOOKUP($A40,DATA!$A$3:$F$301,3,FALSE))^2),"")</f>
        <v>37.947331922020552</v>
      </c>
      <c r="D40" s="14">
        <f>_xlfn.IFNA(SQRT((VLOOKUP(D$1,DATA!$A$3:$F$301,2,FALSE)-VLOOKUP($A40,DATA!$A$3:$F$301,2,FALSE))^2+(VLOOKUP(D$1,DATA!$A$3:$F$301,3,FALSE)-VLOOKUP($A40,DATA!$A$3:$F$301,3,FALSE))^2),"")</f>
        <v>31.016124838541646</v>
      </c>
      <c r="E40" s="14">
        <f>_xlfn.IFNA(SQRT((VLOOKUP(E$1,DATA!$A$3:$F$301,2,FALSE)-VLOOKUP($A40,DATA!$A$3:$F$301,2,FALSE))^2+(VLOOKUP(E$1,DATA!$A$3:$F$301,3,FALSE)-VLOOKUP($A40,DATA!$A$3:$F$301,3,FALSE))^2),"")</f>
        <v>27.658633371878661</v>
      </c>
      <c r="F40" s="14">
        <f>_xlfn.IFNA(SQRT((VLOOKUP(F$1,DATA!$A$3:$F$301,2,FALSE)-VLOOKUP($A40,DATA!$A$3:$F$301,2,FALSE))^2+(VLOOKUP(F$1,DATA!$A$3:$F$301,3,FALSE)-VLOOKUP($A40,DATA!$A$3:$F$301,3,FALSE))^2),"")</f>
        <v>53.150729063673246</v>
      </c>
      <c r="G40" s="14">
        <f>_xlfn.IFNA(SQRT((VLOOKUP(G$1,DATA!$A$3:$F$301,2,FALSE)-VLOOKUP($A40,DATA!$A$3:$F$301,2,FALSE))^2+(VLOOKUP(G$1,DATA!$A$3:$F$301,3,FALSE)-VLOOKUP($A40,DATA!$A$3:$F$301,3,FALSE))^2),"")</f>
        <v>22.360679774997898</v>
      </c>
      <c r="H40" s="14">
        <f>_xlfn.IFNA(SQRT((VLOOKUP(H$1,DATA!$A$3:$F$301,2,FALSE)-VLOOKUP($A40,DATA!$A$3:$F$301,2,FALSE))^2+(VLOOKUP(H$1,DATA!$A$3:$F$301,3,FALSE)-VLOOKUP($A40,DATA!$A$3:$F$301,3,FALSE))^2),"")</f>
        <v>10.04987562112089</v>
      </c>
      <c r="I40" s="14">
        <f>_xlfn.IFNA(SQRT((VLOOKUP(I$1,DATA!$A$3:$F$301,2,FALSE)-VLOOKUP($A40,DATA!$A$3:$F$301,2,FALSE))^2+(VLOOKUP(I$1,DATA!$A$3:$F$301,3,FALSE)-VLOOKUP($A40,DATA!$A$3:$F$301,3,FALSE))^2),"")</f>
        <v>33.376638536557273</v>
      </c>
      <c r="J40" s="14">
        <f>_xlfn.IFNA(SQRT((VLOOKUP(J$1,DATA!$A$3:$F$301,2,FALSE)-VLOOKUP($A40,DATA!$A$3:$F$301,2,FALSE))^2+(VLOOKUP(J$1,DATA!$A$3:$F$301,3,FALSE)-VLOOKUP($A40,DATA!$A$3:$F$301,3,FALSE))^2),"")</f>
        <v>23.345235059857504</v>
      </c>
      <c r="K40" s="14">
        <f>_xlfn.IFNA(SQRT((VLOOKUP(K$1,DATA!$A$3:$F$301,2,FALSE)-VLOOKUP($A40,DATA!$A$3:$F$301,2,FALSE))^2+(VLOOKUP(K$1,DATA!$A$3:$F$301,3,FALSE)-VLOOKUP($A40,DATA!$A$3:$F$301,3,FALSE))^2),"")</f>
        <v>38</v>
      </c>
      <c r="L40" s="14">
        <f>_xlfn.IFNA(SQRT((VLOOKUP(L$1,DATA!$A$3:$F$301,2,FALSE)-VLOOKUP($A40,DATA!$A$3:$F$301,2,FALSE))^2+(VLOOKUP(L$1,DATA!$A$3:$F$301,3,FALSE)-VLOOKUP($A40,DATA!$A$3:$F$301,3,FALSE))^2),"")</f>
        <v>26.305892875931811</v>
      </c>
      <c r="M40" s="14">
        <f>_xlfn.IFNA(SQRT((VLOOKUP(M$1,DATA!$A$3:$F$301,2,FALSE)-VLOOKUP($A40,DATA!$A$3:$F$301,2,FALSE))^2+(VLOOKUP(M$1,DATA!$A$3:$F$301,3,FALSE)-VLOOKUP($A40,DATA!$A$3:$F$301,3,FALSE))^2),"")</f>
        <v>37.013511046643494</v>
      </c>
      <c r="N40" s="14">
        <f>_xlfn.IFNA(SQRT((VLOOKUP(N$1,DATA!$A$3:$F$301,2,FALSE)-VLOOKUP($A40,DATA!$A$3:$F$301,2,FALSE))^2+(VLOOKUP(N$1,DATA!$A$3:$F$301,3,FALSE)-VLOOKUP($A40,DATA!$A$3:$F$301,3,FALSE))^2),"")</f>
        <v>27.730849247724095</v>
      </c>
      <c r="O40" s="14">
        <f>_xlfn.IFNA(SQRT((VLOOKUP(O$1,DATA!$A$3:$F$301,2,FALSE)-VLOOKUP($A40,DATA!$A$3:$F$301,2,FALSE))^2+(VLOOKUP(O$1,DATA!$A$3:$F$301,3,FALSE)-VLOOKUP($A40,DATA!$A$3:$F$301,3,FALSE))^2),"")</f>
        <v>59.396969619669989</v>
      </c>
      <c r="P40" s="14">
        <f>_xlfn.IFNA(SQRT((VLOOKUP(P$1,DATA!$A$3:$F$301,2,FALSE)-VLOOKUP($A40,DATA!$A$3:$F$301,2,FALSE))^2+(VLOOKUP(P$1,DATA!$A$3:$F$301,3,FALSE)-VLOOKUP($A40,DATA!$A$3:$F$301,3,FALSE))^2),"")</f>
        <v>41.012193308819754</v>
      </c>
      <c r="Q40" s="14">
        <f>_xlfn.IFNA(SQRT((VLOOKUP(Q$1,DATA!$A$3:$F$301,2,FALSE)-VLOOKUP($A40,DATA!$A$3:$F$301,2,FALSE))^2+(VLOOKUP(Q$1,DATA!$A$3:$F$301,3,FALSE)-VLOOKUP($A40,DATA!$A$3:$F$301,3,FALSE))^2),"")</f>
        <v>21.540659228538015</v>
      </c>
      <c r="R40" s="14">
        <f>_xlfn.IFNA(SQRT((VLOOKUP(R$1,DATA!$A$3:$F$301,2,FALSE)-VLOOKUP($A40,DATA!$A$3:$F$301,2,FALSE))^2+(VLOOKUP(R$1,DATA!$A$3:$F$301,3,FALSE)-VLOOKUP($A40,DATA!$A$3:$F$301,3,FALSE))^2),"")</f>
        <v>12.369316876852981</v>
      </c>
      <c r="S40" s="14">
        <f>_xlfn.IFNA(SQRT((VLOOKUP(S$1,DATA!$A$3:$F$301,2,FALSE)-VLOOKUP($A40,DATA!$A$3:$F$301,2,FALSE))^2+(VLOOKUP(S$1,DATA!$A$3:$F$301,3,FALSE)-VLOOKUP($A40,DATA!$A$3:$F$301,3,FALSE))^2),"")</f>
        <v>28.653097563788805</v>
      </c>
      <c r="T40" s="14">
        <f>_xlfn.IFNA(SQRT((VLOOKUP(T$1,DATA!$A$3:$F$301,2,FALSE)-VLOOKUP($A40,DATA!$A$3:$F$301,2,FALSE))^2+(VLOOKUP(T$1,DATA!$A$3:$F$301,3,FALSE)-VLOOKUP($A40,DATA!$A$3:$F$301,3,FALSE))^2),"")</f>
        <v>52.009614495783374</v>
      </c>
      <c r="U40" s="14">
        <f>_xlfn.IFNA(SQRT((VLOOKUP(U$1,DATA!$A$3:$F$301,2,FALSE)-VLOOKUP($A40,DATA!$A$3:$F$301,2,FALSE))^2+(VLOOKUP(U$1,DATA!$A$3:$F$301,3,FALSE)-VLOOKUP($A40,DATA!$A$3:$F$301,3,FALSE))^2),"")</f>
        <v>17.11724276862369</v>
      </c>
      <c r="V40" s="14">
        <f>_xlfn.IFNA(SQRT((VLOOKUP(V$1,DATA!$A$3:$F$301,2,FALSE)-VLOOKUP($A40,DATA!$A$3:$F$301,2,FALSE))^2+(VLOOKUP(V$1,DATA!$A$3:$F$301,3,FALSE)-VLOOKUP($A40,DATA!$A$3:$F$301,3,FALSE))^2),"")</f>
        <v>14.422205101855956</v>
      </c>
      <c r="W40" s="14">
        <f>_xlfn.IFNA(SQRT((VLOOKUP(W$1,DATA!$A$3:$F$301,2,FALSE)-VLOOKUP($A40,DATA!$A$3:$F$301,2,FALSE))^2+(VLOOKUP(W$1,DATA!$A$3:$F$301,3,FALSE)-VLOOKUP($A40,DATA!$A$3:$F$301,3,FALSE))^2),"")</f>
        <v>6.4031242374328485</v>
      </c>
      <c r="X40" s="14">
        <f>_xlfn.IFNA(SQRT((VLOOKUP(X$1,DATA!$A$3:$F$301,2,FALSE)-VLOOKUP($A40,DATA!$A$3:$F$301,2,FALSE))^2+(VLOOKUP(X$1,DATA!$A$3:$F$301,3,FALSE)-VLOOKUP($A40,DATA!$A$3:$F$301,3,FALSE))^2),"")</f>
        <v>4.4721359549995796</v>
      </c>
      <c r="Y40" s="14">
        <f>_xlfn.IFNA(SQRT((VLOOKUP(Y$1,DATA!$A$3:$F$301,2,FALSE)-VLOOKUP($A40,DATA!$A$3:$F$301,2,FALSE))^2+(VLOOKUP(Y$1,DATA!$A$3:$F$301,3,FALSE)-VLOOKUP($A40,DATA!$A$3:$F$301,3,FALSE))^2),"")</f>
        <v>32.557641192199412</v>
      </c>
      <c r="Z40" s="14">
        <f>_xlfn.IFNA(SQRT((VLOOKUP(Z$1,DATA!$A$3:$F$301,2,FALSE)-VLOOKUP($A40,DATA!$A$3:$F$301,2,FALSE))^2+(VLOOKUP(Z$1,DATA!$A$3:$F$301,3,FALSE)-VLOOKUP($A40,DATA!$A$3:$F$301,3,FALSE))^2),"")</f>
        <v>14.560219778561036</v>
      </c>
      <c r="AA40" s="14">
        <f>_xlfn.IFNA(SQRT((VLOOKUP(AA$1,DATA!$A$3:$F$301,2,FALSE)-VLOOKUP($A40,DATA!$A$3:$F$301,2,FALSE))^2+(VLOOKUP(AA$1,DATA!$A$3:$F$301,3,FALSE)-VLOOKUP($A40,DATA!$A$3:$F$301,3,FALSE))^2),"")</f>
        <v>38.587562763149478</v>
      </c>
      <c r="AB40" s="14">
        <f>_xlfn.IFNA(SQRT((VLOOKUP(AB$1,DATA!$A$3:$F$301,2,FALSE)-VLOOKUP($A40,DATA!$A$3:$F$301,2,FALSE))^2+(VLOOKUP(AB$1,DATA!$A$3:$F$301,3,FALSE)-VLOOKUP($A40,DATA!$A$3:$F$301,3,FALSE))^2),"")</f>
        <v>33.136083051561783</v>
      </c>
      <c r="AC40" s="14">
        <f>_xlfn.IFNA(SQRT((VLOOKUP(AC$1,DATA!$A$3:$F$301,2,FALSE)-VLOOKUP($A40,DATA!$A$3:$F$301,2,FALSE))^2+(VLOOKUP(AC$1,DATA!$A$3:$F$301,3,FALSE)-VLOOKUP($A40,DATA!$A$3:$F$301,3,FALSE))^2),"")</f>
        <v>45.276925690687087</v>
      </c>
      <c r="AD40" s="14">
        <f>_xlfn.IFNA(SQRT((VLOOKUP(AD$1,DATA!$A$3:$F$301,2,FALSE)-VLOOKUP($A40,DATA!$A$3:$F$301,2,FALSE))^2+(VLOOKUP(AD$1,DATA!$A$3:$F$301,3,FALSE)-VLOOKUP($A40,DATA!$A$3:$F$301,3,FALSE))^2),"")</f>
        <v>1</v>
      </c>
      <c r="AE40" s="14">
        <f>_xlfn.IFNA(SQRT((VLOOKUP(AE$1,DATA!$A$3:$F$301,2,FALSE)-VLOOKUP($A40,DATA!$A$3:$F$301,2,FALSE))^2+(VLOOKUP(AE$1,DATA!$A$3:$F$301,3,FALSE)-VLOOKUP($A40,DATA!$A$3:$F$301,3,FALSE))^2),"")</f>
        <v>56.859475903318</v>
      </c>
      <c r="AF40" s="14">
        <f>_xlfn.IFNA(SQRT((VLOOKUP(AF$1,DATA!$A$3:$F$301,2,FALSE)-VLOOKUP($A40,DATA!$A$3:$F$301,2,FALSE))^2+(VLOOKUP(AF$1,DATA!$A$3:$F$301,3,FALSE)-VLOOKUP($A40,DATA!$A$3:$F$301,3,FALSE))^2),"")</f>
        <v>11.180339887498949</v>
      </c>
      <c r="AG40" s="14">
        <f>_xlfn.IFNA(SQRT((VLOOKUP(AG$1,DATA!$A$3:$F$301,2,FALSE)-VLOOKUP($A40,DATA!$A$3:$F$301,2,FALSE))^2+(VLOOKUP(AG$1,DATA!$A$3:$F$301,3,FALSE)-VLOOKUP($A40,DATA!$A$3:$F$301,3,FALSE))^2),"")</f>
        <v>43.840620433565945</v>
      </c>
      <c r="AH40" s="14">
        <f>_xlfn.IFNA(SQRT((VLOOKUP(AH$1,DATA!$A$3:$F$301,2,FALSE)-VLOOKUP($A40,DATA!$A$3:$F$301,2,FALSE))^2+(VLOOKUP(AH$1,DATA!$A$3:$F$301,3,FALSE)-VLOOKUP($A40,DATA!$A$3:$F$301,3,FALSE))^2),"")</f>
        <v>26.90724809414742</v>
      </c>
      <c r="AI40" s="14">
        <f>_xlfn.IFNA(SQRT((VLOOKUP(AI$1,DATA!$A$3:$F$301,2,FALSE)-VLOOKUP($A40,DATA!$A$3:$F$301,2,FALSE))^2+(VLOOKUP(AI$1,DATA!$A$3:$F$301,3,FALSE)-VLOOKUP($A40,DATA!$A$3:$F$301,3,FALSE))^2),"")</f>
        <v>15.297058540778355</v>
      </c>
      <c r="AJ40" s="14">
        <f>_xlfn.IFNA(SQRT((VLOOKUP(AJ$1,DATA!$A$3:$F$301,2,FALSE)-VLOOKUP($A40,DATA!$A$3:$F$301,2,FALSE))^2+(VLOOKUP(AJ$1,DATA!$A$3:$F$301,3,FALSE)-VLOOKUP($A40,DATA!$A$3:$F$301,3,FALSE))^2),"")</f>
        <v>17.029386365926403</v>
      </c>
      <c r="AK40" s="14">
        <f>_xlfn.IFNA(SQRT((VLOOKUP(AK$1,DATA!$A$3:$F$301,2,FALSE)-VLOOKUP($A40,DATA!$A$3:$F$301,2,FALSE))^2+(VLOOKUP(AK$1,DATA!$A$3:$F$301,3,FALSE)-VLOOKUP($A40,DATA!$A$3:$F$301,3,FALSE))^2),"")</f>
        <v>35.383612025908263</v>
      </c>
      <c r="AL40" s="14">
        <f>_xlfn.IFNA(SQRT((VLOOKUP(AL$1,DATA!$A$3:$F$301,2,FALSE)-VLOOKUP($A40,DATA!$A$3:$F$301,2,FALSE))^2+(VLOOKUP(AL$1,DATA!$A$3:$F$301,3,FALSE)-VLOOKUP($A40,DATA!$A$3:$F$301,3,FALSE))^2),"")</f>
        <v>43.931765272977593</v>
      </c>
      <c r="AM40" s="14">
        <f>_xlfn.IFNA(SQRT((VLOOKUP(AM$1,DATA!$A$3:$F$301,2,FALSE)-VLOOKUP($A40,DATA!$A$3:$F$301,2,FALSE))^2+(VLOOKUP(AM$1,DATA!$A$3:$F$301,3,FALSE)-VLOOKUP($A40,DATA!$A$3:$F$301,3,FALSE))^2),"")</f>
        <v>42.720018726587654</v>
      </c>
      <c r="AN40" s="14">
        <f>_xlfn.IFNA(SQRT((VLOOKUP(AN$1,DATA!$A$3:$F$301,2,FALSE)-VLOOKUP($A40,DATA!$A$3:$F$301,2,FALSE))^2+(VLOOKUP(AN$1,DATA!$A$3:$F$301,3,FALSE)-VLOOKUP($A40,DATA!$A$3:$F$301,3,FALSE))^2),"")</f>
        <v>0</v>
      </c>
      <c r="AO40" s="14">
        <f>_xlfn.IFNA(SQRT((VLOOKUP(AO$1,DATA!$A$3:$F$301,2,FALSE)-VLOOKUP($A40,DATA!$A$3:$F$301,2,FALSE))^2+(VLOOKUP(AO$1,DATA!$A$3:$F$301,3,FALSE)-VLOOKUP($A40,DATA!$A$3:$F$301,3,FALSE))^2),"")</f>
        <v>34.655446902326915</v>
      </c>
      <c r="AP40" s="14" t="str">
        <f>_xlfn.IFNA(SQRT((VLOOKUP(AP$1,DATA!$A$3:$F$301,2,FALSE)-VLOOKUP($A40,DATA!$A$3:$F$301,2,FALSE))^2+(VLOOKUP(AP$1,DATA!$A$3:$F$301,3,FALSE)-VLOOKUP($A40,DATA!$A$3:$F$301,3,FALSE))^2),"")</f>
        <v/>
      </c>
      <c r="AQ40" s="14" t="str">
        <f>_xlfn.IFNA(SQRT((VLOOKUP(AQ$1,DATA!$A$3:$F$301,2,FALSE)-VLOOKUP($A40,DATA!$A$3:$F$301,2,FALSE))^2+(VLOOKUP(AQ$1,DATA!$A$3:$F$301,3,FALSE)-VLOOKUP($A40,DATA!$A$3:$F$301,3,FALSE))^2),"")</f>
        <v/>
      </c>
      <c r="AR40" s="14" t="str">
        <f>_xlfn.IFNA(SQRT((VLOOKUP(AR$1,DATA!$A$3:$F$301,2,FALSE)-VLOOKUP($A40,DATA!$A$3:$F$301,2,FALSE))^2+(VLOOKUP(AR$1,DATA!$A$3:$F$301,3,FALSE)-VLOOKUP($A40,DATA!$A$3:$F$301,3,FALSE))^2),"")</f>
        <v/>
      </c>
      <c r="AS40" s="14" t="str">
        <f>_xlfn.IFNA(SQRT((VLOOKUP(AS$1,DATA!$A$3:$F$301,2,FALSE)-VLOOKUP($A40,DATA!$A$3:$F$301,2,FALSE))^2+(VLOOKUP(AS$1,DATA!$A$3:$F$301,3,FALSE)-VLOOKUP($A40,DATA!$A$3:$F$301,3,FALSE))^2),"")</f>
        <v/>
      </c>
      <c r="AT40" s="14" t="str">
        <f>_xlfn.IFNA(SQRT((VLOOKUP(AT$1,DATA!$A$3:$F$301,2,FALSE)-VLOOKUP($A40,DATA!$A$3:$F$301,2,FALSE))^2+(VLOOKUP(AT$1,DATA!$A$3:$F$301,3,FALSE)-VLOOKUP($A40,DATA!$A$3:$F$301,3,FALSE))^2),"")</f>
        <v/>
      </c>
      <c r="AU40" s="14" t="str">
        <f>_xlfn.IFNA(SQRT((VLOOKUP(AU$1,DATA!$A$3:$F$301,2,FALSE)-VLOOKUP($A40,DATA!$A$3:$F$301,2,FALSE))^2+(VLOOKUP(AU$1,DATA!$A$3:$F$301,3,FALSE)-VLOOKUP($A40,DATA!$A$3:$F$301,3,FALSE))^2),"")</f>
        <v/>
      </c>
      <c r="AV40" s="14" t="str">
        <f>_xlfn.IFNA(SQRT((VLOOKUP(AV$1,DATA!$A$3:$F$301,2,FALSE)-VLOOKUP($A40,DATA!$A$3:$F$301,2,FALSE))^2+(VLOOKUP(AV$1,DATA!$A$3:$F$301,3,FALSE)-VLOOKUP($A40,DATA!$A$3:$F$301,3,FALSE))^2),"")</f>
        <v/>
      </c>
      <c r="AW40" s="14" t="str">
        <f>_xlfn.IFNA(SQRT((VLOOKUP(AW$1,DATA!$A$3:$F$301,2,FALSE)-VLOOKUP($A40,DATA!$A$3:$F$301,2,FALSE))^2+(VLOOKUP(AW$1,DATA!$A$3:$F$301,3,FALSE)-VLOOKUP($A40,DATA!$A$3:$F$301,3,FALSE))^2),"")</f>
        <v/>
      </c>
      <c r="AX40" s="14" t="str">
        <f>_xlfn.IFNA(SQRT((VLOOKUP(AX$1,DATA!$A$3:$F$301,2,FALSE)-VLOOKUP($A40,DATA!$A$3:$F$301,2,FALSE))^2+(VLOOKUP(AX$1,DATA!$A$3:$F$301,3,FALSE)-VLOOKUP($A40,DATA!$A$3:$F$301,3,FALSE))^2),"")</f>
        <v/>
      </c>
      <c r="AY40" s="14" t="str">
        <f>_xlfn.IFNA(SQRT((VLOOKUP(AY$1,DATA!$A$3:$F$301,2,FALSE)-VLOOKUP($A40,DATA!$A$3:$F$301,2,FALSE))^2+(VLOOKUP(AY$1,DATA!$A$3:$F$301,3,FALSE)-VLOOKUP($A40,DATA!$A$3:$F$301,3,FALSE))^2),"")</f>
        <v/>
      </c>
      <c r="AZ40" s="14" t="str">
        <f>_xlfn.IFNA(SQRT((VLOOKUP(AZ$1,DATA!$A$3:$F$301,2,FALSE)-VLOOKUP($A40,DATA!$A$3:$F$301,2,FALSE))^2+(VLOOKUP(AZ$1,DATA!$A$3:$F$301,3,FALSE)-VLOOKUP($A40,DATA!$A$3:$F$301,3,FALSE))^2),"")</f>
        <v/>
      </c>
      <c r="BA40" s="14" t="str">
        <f>_xlfn.IFNA(SQRT((VLOOKUP(BA$1,DATA!$A$3:$F$301,2,FALSE)-VLOOKUP($A40,DATA!$A$3:$F$301,2,FALSE))^2+(VLOOKUP(BA$1,DATA!$A$3:$F$301,3,FALSE)-VLOOKUP($A40,DATA!$A$3:$F$301,3,FALSE))^2),"")</f>
        <v/>
      </c>
      <c r="BB40" s="14" t="str">
        <f>_xlfn.IFNA(SQRT((VLOOKUP(BB$1,DATA!$A$3:$F$301,2,FALSE)-VLOOKUP($A40,DATA!$A$3:$F$301,2,FALSE))^2+(VLOOKUP(BB$1,DATA!$A$3:$F$301,3,FALSE)-VLOOKUP($A40,DATA!$A$3:$F$301,3,FALSE))^2),"")</f>
        <v/>
      </c>
      <c r="BC40" s="14" t="str">
        <f>_xlfn.IFNA(SQRT((VLOOKUP(BC$1,DATA!$A$3:$F$301,2,FALSE)-VLOOKUP($A40,DATA!$A$3:$F$301,2,FALSE))^2+(VLOOKUP(BC$1,DATA!$A$3:$F$301,3,FALSE)-VLOOKUP($A40,DATA!$A$3:$F$301,3,FALSE))^2),"")</f>
        <v/>
      </c>
      <c r="BD40" s="14" t="str">
        <f>_xlfn.IFNA(SQRT((VLOOKUP(BD$1,DATA!$A$3:$F$301,2,FALSE)-VLOOKUP($A40,DATA!$A$3:$F$301,2,FALSE))^2+(VLOOKUP(BD$1,DATA!$A$3:$F$301,3,FALSE)-VLOOKUP($A40,DATA!$A$3:$F$301,3,FALSE))^2),"")</f>
        <v/>
      </c>
      <c r="BE40" s="14" t="str">
        <f>_xlfn.IFNA(SQRT((VLOOKUP(BE$1,DATA!$A$3:$F$301,2,FALSE)-VLOOKUP($A40,DATA!$A$3:$F$301,2,FALSE))^2+(VLOOKUP(BE$1,DATA!$A$3:$F$301,3,FALSE)-VLOOKUP($A40,DATA!$A$3:$F$301,3,FALSE))^2),"")</f>
        <v/>
      </c>
      <c r="BF40" s="14" t="str">
        <f>_xlfn.IFNA(SQRT((VLOOKUP(BF$1,DATA!$A$3:$F$301,2,FALSE)-VLOOKUP($A40,DATA!$A$3:$F$301,2,FALSE))^2+(VLOOKUP(BF$1,DATA!$A$3:$F$301,3,FALSE)-VLOOKUP($A40,DATA!$A$3:$F$301,3,FALSE))^2),"")</f>
        <v/>
      </c>
      <c r="BG40" s="14" t="str">
        <f>_xlfn.IFNA(SQRT((VLOOKUP(BG$1,DATA!$A$3:$F$301,2,FALSE)-VLOOKUP($A40,DATA!$A$3:$F$301,2,FALSE))^2+(VLOOKUP(BG$1,DATA!$A$3:$F$301,3,FALSE)-VLOOKUP($A40,DATA!$A$3:$F$301,3,FALSE))^2),"")</f>
        <v/>
      </c>
      <c r="BH40" s="14" t="str">
        <f>_xlfn.IFNA(SQRT((VLOOKUP(BH$1,DATA!$A$3:$F$301,2,FALSE)-VLOOKUP($A40,DATA!$A$3:$F$301,2,FALSE))^2+(VLOOKUP(BH$1,DATA!$A$3:$F$301,3,FALSE)-VLOOKUP($A40,DATA!$A$3:$F$301,3,FALSE))^2),"")</f>
        <v/>
      </c>
      <c r="BI40" s="14" t="str">
        <f>_xlfn.IFNA(SQRT((VLOOKUP(BI$1,DATA!$A$3:$F$301,2,FALSE)-VLOOKUP($A40,DATA!$A$3:$F$301,2,FALSE))^2+(VLOOKUP(BI$1,DATA!$A$3:$F$301,3,FALSE)-VLOOKUP($A40,DATA!$A$3:$F$301,3,FALSE))^2),"")</f>
        <v/>
      </c>
      <c r="BJ40" s="14" t="str">
        <f>_xlfn.IFNA(SQRT((VLOOKUP(BJ$1,DATA!$A$3:$F$301,2,FALSE)-VLOOKUP($A40,DATA!$A$3:$F$301,2,FALSE))^2+(VLOOKUP(BJ$1,DATA!$A$3:$F$301,3,FALSE)-VLOOKUP($A40,DATA!$A$3:$F$301,3,FALSE))^2),"")</f>
        <v/>
      </c>
      <c r="BK40" s="14" t="str">
        <f>_xlfn.IFNA(SQRT((VLOOKUP(BK$1,DATA!$A$3:$F$301,2,FALSE)-VLOOKUP($A40,DATA!$A$3:$F$301,2,FALSE))^2+(VLOOKUP(BK$1,DATA!$A$3:$F$301,3,FALSE)-VLOOKUP($A40,DATA!$A$3:$F$301,3,FALSE))^2),"")</f>
        <v/>
      </c>
      <c r="BL40" s="14" t="str">
        <f>_xlfn.IFNA(SQRT((VLOOKUP(BL$1,DATA!$A$3:$F$301,2,FALSE)-VLOOKUP($A40,DATA!$A$3:$F$301,2,FALSE))^2+(VLOOKUP(BL$1,DATA!$A$3:$F$301,3,FALSE)-VLOOKUP($A40,DATA!$A$3:$F$301,3,FALSE))^2),"")</f>
        <v/>
      </c>
      <c r="BM40" s="14" t="str">
        <f>_xlfn.IFNA(SQRT((VLOOKUP(BM$1,DATA!$A$3:$F$301,2,FALSE)-VLOOKUP($A40,DATA!$A$3:$F$301,2,FALSE))^2+(VLOOKUP(BM$1,DATA!$A$3:$F$301,3,FALSE)-VLOOKUP($A40,DATA!$A$3:$F$301,3,FALSE))^2),"")</f>
        <v/>
      </c>
      <c r="BN40" s="14" t="str">
        <f>_xlfn.IFNA(SQRT((VLOOKUP(BN$1,DATA!$A$3:$F$301,2,FALSE)-VLOOKUP($A40,DATA!$A$3:$F$301,2,FALSE))^2+(VLOOKUP(BN$1,DATA!$A$3:$F$301,3,FALSE)-VLOOKUP($A40,DATA!$A$3:$F$301,3,FALSE))^2),"")</f>
        <v/>
      </c>
      <c r="BO40" s="14" t="str">
        <f>_xlfn.IFNA(SQRT((VLOOKUP(BO$1,DATA!$A$3:$F$301,2,FALSE)-VLOOKUP($A40,DATA!$A$3:$F$301,2,FALSE))^2+(VLOOKUP(BO$1,DATA!$A$3:$F$301,3,FALSE)-VLOOKUP($A40,DATA!$A$3:$F$301,3,FALSE))^2),"")</f>
        <v/>
      </c>
      <c r="BP40" s="14" t="str">
        <f>_xlfn.IFNA(SQRT((VLOOKUP(BP$1,DATA!$A$3:$F$301,2,FALSE)-VLOOKUP($A40,DATA!$A$3:$F$301,2,FALSE))^2+(VLOOKUP(BP$1,DATA!$A$3:$F$301,3,FALSE)-VLOOKUP($A40,DATA!$A$3:$F$301,3,FALSE))^2),"")</f>
        <v/>
      </c>
      <c r="BQ40" s="14" t="str">
        <f>_xlfn.IFNA(SQRT((VLOOKUP(BQ$1,DATA!$A$3:$F$301,2,FALSE)-VLOOKUP($A40,DATA!$A$3:$F$301,2,FALSE))^2+(VLOOKUP(BQ$1,DATA!$A$3:$F$301,3,FALSE)-VLOOKUP($A40,DATA!$A$3:$F$301,3,FALSE))^2),"")</f>
        <v/>
      </c>
      <c r="BR40" s="14" t="str">
        <f>_xlfn.IFNA(SQRT((VLOOKUP(BR$1,DATA!$A$3:$F$301,2,FALSE)-VLOOKUP($A40,DATA!$A$3:$F$301,2,FALSE))^2+(VLOOKUP(BR$1,DATA!$A$3:$F$301,3,FALSE)-VLOOKUP($A40,DATA!$A$3:$F$301,3,FALSE))^2),"")</f>
        <v/>
      </c>
      <c r="BS40" s="14" t="str">
        <f>_xlfn.IFNA(SQRT((VLOOKUP(BS$1,DATA!$A$3:$F$301,2,FALSE)-VLOOKUP($A40,DATA!$A$3:$F$301,2,FALSE))^2+(VLOOKUP(BS$1,DATA!$A$3:$F$301,3,FALSE)-VLOOKUP($A40,DATA!$A$3:$F$301,3,FALSE))^2),"")</f>
        <v/>
      </c>
      <c r="BT40" s="14" t="str">
        <f>_xlfn.IFNA(SQRT((VLOOKUP(BT$1,DATA!$A$3:$F$301,2,FALSE)-VLOOKUP($A40,DATA!$A$3:$F$301,2,FALSE))^2+(VLOOKUP(BT$1,DATA!$A$3:$F$301,3,FALSE)-VLOOKUP($A40,DATA!$A$3:$F$301,3,FALSE))^2),"")</f>
        <v/>
      </c>
      <c r="BU40" s="14" t="str">
        <f>_xlfn.IFNA(SQRT((VLOOKUP(BU$1,DATA!$A$3:$F$301,2,FALSE)-VLOOKUP($A40,DATA!$A$3:$F$301,2,FALSE))^2+(VLOOKUP(BU$1,DATA!$A$3:$F$301,3,FALSE)-VLOOKUP($A40,DATA!$A$3:$F$301,3,FALSE))^2),"")</f>
        <v/>
      </c>
      <c r="BV40" s="14" t="str">
        <f>_xlfn.IFNA(SQRT((VLOOKUP(BV$1,DATA!$A$3:$F$301,2,FALSE)-VLOOKUP($A40,DATA!$A$3:$F$301,2,FALSE))^2+(VLOOKUP(BV$1,DATA!$A$3:$F$301,3,FALSE)-VLOOKUP($A40,DATA!$A$3:$F$301,3,FALSE))^2),"")</f>
        <v/>
      </c>
      <c r="BW40" s="14" t="str">
        <f>_xlfn.IFNA(SQRT((VLOOKUP(BW$1,DATA!$A$3:$F$301,2,FALSE)-VLOOKUP($A40,DATA!$A$3:$F$301,2,FALSE))^2+(VLOOKUP(BW$1,DATA!$A$3:$F$301,3,FALSE)-VLOOKUP($A40,DATA!$A$3:$F$301,3,FALSE))^2),"")</f>
        <v/>
      </c>
      <c r="BX40" s="14" t="str">
        <f>_xlfn.IFNA(SQRT((VLOOKUP(BX$1,DATA!$A$3:$F$301,2,FALSE)-VLOOKUP($A40,DATA!$A$3:$F$301,2,FALSE))^2+(VLOOKUP(BX$1,DATA!$A$3:$F$301,3,FALSE)-VLOOKUP($A40,DATA!$A$3:$F$301,3,FALSE))^2),"")</f>
        <v/>
      </c>
      <c r="BY40" s="14" t="str">
        <f>_xlfn.IFNA(SQRT((VLOOKUP(BY$1,DATA!$A$3:$F$301,2,FALSE)-VLOOKUP($A40,DATA!$A$3:$F$301,2,FALSE))^2+(VLOOKUP(BY$1,DATA!$A$3:$F$301,3,FALSE)-VLOOKUP($A40,DATA!$A$3:$F$301,3,FALSE))^2),"")</f>
        <v/>
      </c>
      <c r="BZ40" s="14" t="str">
        <f>_xlfn.IFNA(SQRT((VLOOKUP(BZ$1,DATA!$A$3:$F$301,2,FALSE)-VLOOKUP($A40,DATA!$A$3:$F$301,2,FALSE))^2+(VLOOKUP(BZ$1,DATA!$A$3:$F$301,3,FALSE)-VLOOKUP($A40,DATA!$A$3:$F$301,3,FALSE))^2),"")</f>
        <v/>
      </c>
      <c r="CA40" s="14" t="str">
        <f>_xlfn.IFNA(SQRT((VLOOKUP(CA$1,DATA!$A$3:$F$301,2,FALSE)-VLOOKUP($A40,DATA!$A$3:$F$301,2,FALSE))^2+(VLOOKUP(CA$1,DATA!$A$3:$F$301,3,FALSE)-VLOOKUP($A40,DATA!$A$3:$F$301,3,FALSE))^2),"")</f>
        <v/>
      </c>
      <c r="CB40" s="14" t="str">
        <f>_xlfn.IFNA(SQRT((VLOOKUP(CB$1,DATA!$A$3:$F$301,2,FALSE)-VLOOKUP($A40,DATA!$A$3:$F$301,2,FALSE))^2+(VLOOKUP(CB$1,DATA!$A$3:$F$301,3,FALSE)-VLOOKUP($A40,DATA!$A$3:$F$301,3,FALSE))^2),"")</f>
        <v/>
      </c>
      <c r="CC40" s="14" t="str">
        <f>_xlfn.IFNA(SQRT((VLOOKUP(CC$1,DATA!$A$3:$F$301,2,FALSE)-VLOOKUP($A40,DATA!$A$3:$F$301,2,FALSE))^2+(VLOOKUP(CC$1,DATA!$A$3:$F$301,3,FALSE)-VLOOKUP($A40,DATA!$A$3:$F$301,3,FALSE))^2),"")</f>
        <v/>
      </c>
      <c r="CD40" s="14" t="str">
        <f>_xlfn.IFNA(SQRT((VLOOKUP(CD$1,DATA!$A$3:$F$301,2,FALSE)-VLOOKUP($A40,DATA!$A$3:$F$301,2,FALSE))^2+(VLOOKUP(CD$1,DATA!$A$3:$F$301,3,FALSE)-VLOOKUP($A40,DATA!$A$3:$F$301,3,FALSE))^2),"")</f>
        <v/>
      </c>
      <c r="CE40" s="14" t="str">
        <f>_xlfn.IFNA(SQRT((VLOOKUP(CE$1,DATA!$A$3:$F$301,2,FALSE)-VLOOKUP($A40,DATA!$A$3:$F$301,2,FALSE))^2+(VLOOKUP(CE$1,DATA!$A$3:$F$301,3,FALSE)-VLOOKUP($A40,DATA!$A$3:$F$301,3,FALSE))^2),"")</f>
        <v/>
      </c>
      <c r="CF40" s="14" t="str">
        <f>_xlfn.IFNA(SQRT((VLOOKUP(CF$1,DATA!$A$3:$F$301,2,FALSE)-VLOOKUP($A40,DATA!$A$3:$F$301,2,FALSE))^2+(VLOOKUP(CF$1,DATA!$A$3:$F$301,3,FALSE)-VLOOKUP($A40,DATA!$A$3:$F$301,3,FALSE))^2),"")</f>
        <v/>
      </c>
      <c r="CG40" s="14" t="str">
        <f>_xlfn.IFNA(SQRT((VLOOKUP(CG$1,DATA!$A$3:$F$301,2,FALSE)-VLOOKUP($A40,DATA!$A$3:$F$301,2,FALSE))^2+(VLOOKUP(CG$1,DATA!$A$3:$F$301,3,FALSE)-VLOOKUP($A40,DATA!$A$3:$F$301,3,FALSE))^2),"")</f>
        <v/>
      </c>
      <c r="CH40" s="14" t="str">
        <f>_xlfn.IFNA(SQRT((VLOOKUP(CH$1,DATA!$A$3:$F$301,2,FALSE)-VLOOKUP($A40,DATA!$A$3:$F$301,2,FALSE))^2+(VLOOKUP(CH$1,DATA!$A$3:$F$301,3,FALSE)-VLOOKUP($A40,DATA!$A$3:$F$301,3,FALSE))^2),"")</f>
        <v/>
      </c>
      <c r="CI40" s="14" t="str">
        <f>_xlfn.IFNA(SQRT((VLOOKUP(CI$1,DATA!$A$3:$F$301,2,FALSE)-VLOOKUP($A40,DATA!$A$3:$F$301,2,FALSE))^2+(VLOOKUP(CI$1,DATA!$A$3:$F$301,3,FALSE)-VLOOKUP($A40,DATA!$A$3:$F$301,3,FALSE))^2),"")</f>
        <v/>
      </c>
      <c r="CJ40" s="14" t="str">
        <f>_xlfn.IFNA(SQRT((VLOOKUP(CJ$1,DATA!$A$3:$F$301,2,FALSE)-VLOOKUP($A40,DATA!$A$3:$F$301,2,FALSE))^2+(VLOOKUP(CJ$1,DATA!$A$3:$F$301,3,FALSE)-VLOOKUP($A40,DATA!$A$3:$F$301,3,FALSE))^2),"")</f>
        <v/>
      </c>
      <c r="CK40" s="14" t="str">
        <f>_xlfn.IFNA(SQRT((VLOOKUP(CK$1,DATA!$A$3:$F$301,2,FALSE)-VLOOKUP($A40,DATA!$A$3:$F$301,2,FALSE))^2+(VLOOKUP(CK$1,DATA!$A$3:$F$301,3,FALSE)-VLOOKUP($A40,DATA!$A$3:$F$301,3,FALSE))^2),"")</f>
        <v/>
      </c>
      <c r="CL40" s="14" t="str">
        <f>_xlfn.IFNA(SQRT((VLOOKUP(CL$1,DATA!$A$3:$F$301,2,FALSE)-VLOOKUP($A40,DATA!$A$3:$F$301,2,FALSE))^2+(VLOOKUP(CL$1,DATA!$A$3:$F$301,3,FALSE)-VLOOKUP($A40,DATA!$A$3:$F$301,3,FALSE))^2),"")</f>
        <v/>
      </c>
      <c r="CM40" s="14" t="str">
        <f>_xlfn.IFNA(SQRT((VLOOKUP(CM$1,DATA!$A$3:$F$301,2,FALSE)-VLOOKUP($A40,DATA!$A$3:$F$301,2,FALSE))^2+(VLOOKUP(CM$1,DATA!$A$3:$F$301,3,FALSE)-VLOOKUP($A40,DATA!$A$3:$F$301,3,FALSE))^2),"")</f>
        <v/>
      </c>
      <c r="CN40" s="14" t="str">
        <f>_xlfn.IFNA(SQRT((VLOOKUP(CN$1,DATA!$A$3:$F$301,2,FALSE)-VLOOKUP($A40,DATA!$A$3:$F$301,2,FALSE))^2+(VLOOKUP(CN$1,DATA!$A$3:$F$301,3,FALSE)-VLOOKUP($A40,DATA!$A$3:$F$301,3,FALSE))^2),"")</f>
        <v/>
      </c>
      <c r="CO40" s="14" t="str">
        <f>_xlfn.IFNA(SQRT((VLOOKUP(CO$1,DATA!$A$3:$F$301,2,FALSE)-VLOOKUP($A40,DATA!$A$3:$F$301,2,FALSE))^2+(VLOOKUP(CO$1,DATA!$A$3:$F$301,3,FALSE)-VLOOKUP($A40,DATA!$A$3:$F$301,3,FALSE))^2),"")</f>
        <v/>
      </c>
      <c r="CP40" s="14" t="str">
        <f>_xlfn.IFNA(SQRT((VLOOKUP(CP$1,DATA!$A$3:$F$301,2,FALSE)-VLOOKUP($A40,DATA!$A$3:$F$301,2,FALSE))^2+(VLOOKUP(CP$1,DATA!$A$3:$F$301,3,FALSE)-VLOOKUP($A40,DATA!$A$3:$F$301,3,FALSE))^2),"")</f>
        <v/>
      </c>
      <c r="CQ40" s="14" t="str">
        <f>_xlfn.IFNA(SQRT((VLOOKUP(CQ$1,DATA!$A$3:$F$301,2,FALSE)-VLOOKUP($A40,DATA!$A$3:$F$301,2,FALSE))^2+(VLOOKUP(CQ$1,DATA!$A$3:$F$301,3,FALSE)-VLOOKUP($A40,DATA!$A$3:$F$301,3,FALSE))^2),"")</f>
        <v/>
      </c>
      <c r="CR40" s="14" t="str">
        <f>_xlfn.IFNA(SQRT((VLOOKUP(CR$1,DATA!$A$3:$F$301,2,FALSE)-VLOOKUP($A40,DATA!$A$3:$F$301,2,FALSE))^2+(VLOOKUP(CR$1,DATA!$A$3:$F$301,3,FALSE)-VLOOKUP($A40,DATA!$A$3:$F$301,3,FALSE))^2),"")</f>
        <v/>
      </c>
      <c r="CS40" s="14" t="str">
        <f>_xlfn.IFNA(SQRT((VLOOKUP(CS$1,DATA!$A$3:$F$301,2,FALSE)-VLOOKUP($A40,DATA!$A$3:$F$301,2,FALSE))^2+(VLOOKUP(CS$1,DATA!$A$3:$F$301,3,FALSE)-VLOOKUP($A40,DATA!$A$3:$F$301,3,FALSE))^2),"")</f>
        <v/>
      </c>
      <c r="CT40" s="14" t="str">
        <f>_xlfn.IFNA(SQRT((VLOOKUP(CT$1,DATA!$A$3:$F$301,2,FALSE)-VLOOKUP($A40,DATA!$A$3:$F$301,2,FALSE))^2+(VLOOKUP(CT$1,DATA!$A$3:$F$301,3,FALSE)-VLOOKUP($A40,DATA!$A$3:$F$301,3,FALSE))^2),"")</f>
        <v/>
      </c>
      <c r="CU40" s="14" t="str">
        <f>_xlfn.IFNA(SQRT((VLOOKUP(CU$1,DATA!$A$3:$F$301,2,FALSE)-VLOOKUP($A40,DATA!$A$3:$F$301,2,FALSE))^2+(VLOOKUP(CU$1,DATA!$A$3:$F$301,3,FALSE)-VLOOKUP($A40,DATA!$A$3:$F$301,3,FALSE))^2),"")</f>
        <v/>
      </c>
      <c r="CV40" s="14" t="str">
        <f>_xlfn.IFNA(SQRT((VLOOKUP(CV$1,DATA!$A$3:$F$301,2,FALSE)-VLOOKUP($A40,DATA!$A$3:$F$301,2,FALSE))^2+(VLOOKUP(CV$1,DATA!$A$3:$F$301,3,FALSE)-VLOOKUP($A40,DATA!$A$3:$F$301,3,FALSE))^2),"")</f>
        <v/>
      </c>
      <c r="CW40" s="14" t="str">
        <f>_xlfn.IFNA(SQRT((VLOOKUP(CW$1,DATA!$A$3:$F$301,2,FALSE)-VLOOKUP($A40,DATA!$A$3:$F$301,2,FALSE))^2+(VLOOKUP(CW$1,DATA!$A$3:$F$301,3,FALSE)-VLOOKUP($A40,DATA!$A$3:$F$301,3,FALSE))^2),"")</f>
        <v/>
      </c>
      <c r="CX40" s="14" t="str">
        <f>_xlfn.IFNA(SQRT((VLOOKUP(CX$1,DATA!$A$3:$F$301,2,FALSE)-VLOOKUP($A40,DATA!$A$3:$F$301,2,FALSE))^2+(VLOOKUP(CX$1,DATA!$A$3:$F$301,3,FALSE)-VLOOKUP($A40,DATA!$A$3:$F$301,3,FALSE))^2),"")</f>
        <v/>
      </c>
    </row>
    <row r="41" spans="1:102">
      <c r="A41" s="13">
        <v>40</v>
      </c>
      <c r="B41" s="14">
        <f>_xlfn.IFNA(SQRT((VLOOKUP(B$1,DATA!$A$3:$F$301,2,FALSE)-VLOOKUP($A41,DATA!$A$3:$F$301,2,FALSE))^2+(VLOOKUP(B$1,DATA!$A$3:$F$301,3,FALSE)-VLOOKUP($A41,DATA!$A$3:$F$301,3,FALSE))^2),"")</f>
        <v>15.652475842498529</v>
      </c>
      <c r="C41" s="14">
        <f>_xlfn.IFNA(SQRT((VLOOKUP(C$1,DATA!$A$3:$F$301,2,FALSE)-VLOOKUP($A41,DATA!$A$3:$F$301,2,FALSE))^2+(VLOOKUP(C$1,DATA!$A$3:$F$301,3,FALSE)-VLOOKUP($A41,DATA!$A$3:$F$301,3,FALSE))^2),"")</f>
        <v>17.691806012954132</v>
      </c>
      <c r="D41" s="14">
        <f>_xlfn.IFNA(SQRT((VLOOKUP(D$1,DATA!$A$3:$F$301,2,FALSE)-VLOOKUP($A41,DATA!$A$3:$F$301,2,FALSE))^2+(VLOOKUP(D$1,DATA!$A$3:$F$301,3,FALSE)-VLOOKUP($A41,DATA!$A$3:$F$301,3,FALSE))^2),"")</f>
        <v>26.92582403567252</v>
      </c>
      <c r="E41" s="14">
        <f>_xlfn.IFNA(SQRT((VLOOKUP(E$1,DATA!$A$3:$F$301,2,FALSE)-VLOOKUP($A41,DATA!$A$3:$F$301,2,FALSE))^2+(VLOOKUP(E$1,DATA!$A$3:$F$301,3,FALSE)-VLOOKUP($A41,DATA!$A$3:$F$301,3,FALSE))^2),"")</f>
        <v>19.235384061671343</v>
      </c>
      <c r="F41" s="14">
        <f>_xlfn.IFNA(SQRT((VLOOKUP(F$1,DATA!$A$3:$F$301,2,FALSE)-VLOOKUP($A41,DATA!$A$3:$F$301,2,FALSE))^2+(VLOOKUP(F$1,DATA!$A$3:$F$301,3,FALSE)-VLOOKUP($A41,DATA!$A$3:$F$301,3,FALSE))^2),"")</f>
        <v>18.867962264113206</v>
      </c>
      <c r="G41" s="14">
        <f>_xlfn.IFNA(SQRT((VLOOKUP(G$1,DATA!$A$3:$F$301,2,FALSE)-VLOOKUP($A41,DATA!$A$3:$F$301,2,FALSE))^2+(VLOOKUP(G$1,DATA!$A$3:$F$301,3,FALSE)-VLOOKUP($A41,DATA!$A$3:$F$301,3,FALSE))^2),"")</f>
        <v>14.866068747318506</v>
      </c>
      <c r="H41" s="14">
        <f>_xlfn.IFNA(SQRT((VLOOKUP(H$1,DATA!$A$3:$F$301,2,FALSE)-VLOOKUP($A41,DATA!$A$3:$F$301,2,FALSE))^2+(VLOOKUP(H$1,DATA!$A$3:$F$301,3,FALSE)-VLOOKUP($A41,DATA!$A$3:$F$301,3,FALSE))^2),"")</f>
        <v>27.459060435491963</v>
      </c>
      <c r="I41" s="14">
        <f>_xlfn.IFNA(SQRT((VLOOKUP(I$1,DATA!$A$3:$F$301,2,FALSE)-VLOOKUP($A41,DATA!$A$3:$F$301,2,FALSE))^2+(VLOOKUP(I$1,DATA!$A$3:$F$301,3,FALSE)-VLOOKUP($A41,DATA!$A$3:$F$301,3,FALSE))^2),"")</f>
        <v>20.615528128088304</v>
      </c>
      <c r="J41" s="14">
        <f>_xlfn.IFNA(SQRT((VLOOKUP(J$1,DATA!$A$3:$F$301,2,FALSE)-VLOOKUP($A41,DATA!$A$3:$F$301,2,FALSE))^2+(VLOOKUP(J$1,DATA!$A$3:$F$301,3,FALSE)-VLOOKUP($A41,DATA!$A$3:$F$301,3,FALSE))^2),"")</f>
        <v>11.401754250991379</v>
      </c>
      <c r="K41" s="14">
        <f>_xlfn.IFNA(SQRT((VLOOKUP(K$1,DATA!$A$3:$F$301,2,FALSE)-VLOOKUP($A41,DATA!$A$3:$F$301,2,FALSE))^2+(VLOOKUP(K$1,DATA!$A$3:$F$301,3,FALSE)-VLOOKUP($A41,DATA!$A$3:$F$301,3,FALSE))^2),"")</f>
        <v>28.653097563788805</v>
      </c>
      <c r="L41" s="14">
        <f>_xlfn.IFNA(SQRT((VLOOKUP(L$1,DATA!$A$3:$F$301,2,FALSE)-VLOOKUP($A41,DATA!$A$3:$F$301,2,FALSE))^2+(VLOOKUP(L$1,DATA!$A$3:$F$301,3,FALSE)-VLOOKUP($A41,DATA!$A$3:$F$301,3,FALSE))^2),"")</f>
        <v>20.024984394500787</v>
      </c>
      <c r="M41" s="14">
        <f>_xlfn.IFNA(SQRT((VLOOKUP(M$1,DATA!$A$3:$F$301,2,FALSE)-VLOOKUP($A41,DATA!$A$3:$F$301,2,FALSE))^2+(VLOOKUP(M$1,DATA!$A$3:$F$301,3,FALSE)-VLOOKUP($A41,DATA!$A$3:$F$301,3,FALSE))^2),"")</f>
        <v>5.3851648071345037</v>
      </c>
      <c r="N41" s="14">
        <f>_xlfn.IFNA(SQRT((VLOOKUP(N$1,DATA!$A$3:$F$301,2,FALSE)-VLOOKUP($A41,DATA!$A$3:$F$301,2,FALSE))^2+(VLOOKUP(N$1,DATA!$A$3:$F$301,3,FALSE)-VLOOKUP($A41,DATA!$A$3:$F$301,3,FALSE))^2),"")</f>
        <v>13.038404810405298</v>
      </c>
      <c r="O41" s="14">
        <f>_xlfn.IFNA(SQRT((VLOOKUP(O$1,DATA!$A$3:$F$301,2,FALSE)-VLOOKUP($A41,DATA!$A$3:$F$301,2,FALSE))^2+(VLOOKUP(O$1,DATA!$A$3:$F$301,3,FALSE)-VLOOKUP($A41,DATA!$A$3:$F$301,3,FALSE))^2),"")</f>
        <v>24.758836806279895</v>
      </c>
      <c r="P41" s="14">
        <f>_xlfn.IFNA(SQRT((VLOOKUP(P$1,DATA!$A$3:$F$301,2,FALSE)-VLOOKUP($A41,DATA!$A$3:$F$301,2,FALSE))^2+(VLOOKUP(P$1,DATA!$A$3:$F$301,3,FALSE)-VLOOKUP($A41,DATA!$A$3:$F$301,3,FALSE))^2),"")</f>
        <v>28.0178514522438</v>
      </c>
      <c r="Q41" s="14">
        <f>_xlfn.IFNA(SQRT((VLOOKUP(Q$1,DATA!$A$3:$F$301,2,FALSE)-VLOOKUP($A41,DATA!$A$3:$F$301,2,FALSE))^2+(VLOOKUP(Q$1,DATA!$A$3:$F$301,3,FALSE)-VLOOKUP($A41,DATA!$A$3:$F$301,3,FALSE))^2),"")</f>
        <v>16.763054614240211</v>
      </c>
      <c r="R41" s="14">
        <f>_xlfn.IFNA(SQRT((VLOOKUP(R$1,DATA!$A$3:$F$301,2,FALSE)-VLOOKUP($A41,DATA!$A$3:$F$301,2,FALSE))^2+(VLOOKUP(R$1,DATA!$A$3:$F$301,3,FALSE)-VLOOKUP($A41,DATA!$A$3:$F$301,3,FALSE))^2),"")</f>
        <v>30.463092423455635</v>
      </c>
      <c r="S41" s="14">
        <f>_xlfn.IFNA(SQRT((VLOOKUP(S$1,DATA!$A$3:$F$301,2,FALSE)-VLOOKUP($A41,DATA!$A$3:$F$301,2,FALSE))^2+(VLOOKUP(S$1,DATA!$A$3:$F$301,3,FALSE)-VLOOKUP($A41,DATA!$A$3:$F$301,3,FALSE))^2),"")</f>
        <v>10</v>
      </c>
      <c r="T41" s="14">
        <f>_xlfn.IFNA(SQRT((VLOOKUP(T$1,DATA!$A$3:$F$301,2,FALSE)-VLOOKUP($A41,DATA!$A$3:$F$301,2,FALSE))^2+(VLOOKUP(T$1,DATA!$A$3:$F$301,3,FALSE)-VLOOKUP($A41,DATA!$A$3:$F$301,3,FALSE))^2),"")</f>
        <v>17.888543819998318</v>
      </c>
      <c r="U41" s="14">
        <f>_xlfn.IFNA(SQRT((VLOOKUP(U$1,DATA!$A$3:$F$301,2,FALSE)-VLOOKUP($A41,DATA!$A$3:$F$301,2,FALSE))^2+(VLOOKUP(U$1,DATA!$A$3:$F$301,3,FALSE)-VLOOKUP($A41,DATA!$A$3:$F$301,3,FALSE))^2),"")</f>
        <v>24.041630560342615</v>
      </c>
      <c r="V41" s="14">
        <f>_xlfn.IFNA(SQRT((VLOOKUP(V$1,DATA!$A$3:$F$301,2,FALSE)-VLOOKUP($A41,DATA!$A$3:$F$301,2,FALSE))^2+(VLOOKUP(V$1,DATA!$A$3:$F$301,3,FALSE)-VLOOKUP($A41,DATA!$A$3:$F$301,3,FALSE))^2),"")</f>
        <v>20.615528128088304</v>
      </c>
      <c r="W41" s="14">
        <f>_xlfn.IFNA(SQRT((VLOOKUP(W$1,DATA!$A$3:$F$301,2,FALSE)-VLOOKUP($A41,DATA!$A$3:$F$301,2,FALSE))^2+(VLOOKUP(W$1,DATA!$A$3:$F$301,3,FALSE)-VLOOKUP($A41,DATA!$A$3:$F$301,3,FALSE))^2),"")</f>
        <v>28.284271247461902</v>
      </c>
      <c r="X41" s="14">
        <f>_xlfn.IFNA(SQRT((VLOOKUP(X$1,DATA!$A$3:$F$301,2,FALSE)-VLOOKUP($A41,DATA!$A$3:$F$301,2,FALSE))^2+(VLOOKUP(X$1,DATA!$A$3:$F$301,3,FALSE)-VLOOKUP($A41,DATA!$A$3:$F$301,3,FALSE))^2),"")</f>
        <v>33.421549934136806</v>
      </c>
      <c r="Y41" s="14">
        <f>_xlfn.IFNA(SQRT((VLOOKUP(Y$1,DATA!$A$3:$F$301,2,FALSE)-VLOOKUP($A41,DATA!$A$3:$F$301,2,FALSE))^2+(VLOOKUP(Y$1,DATA!$A$3:$F$301,3,FALSE)-VLOOKUP($A41,DATA!$A$3:$F$301,3,FALSE))^2),"")</f>
        <v>19.313207915827967</v>
      </c>
      <c r="Z41" s="14">
        <f>_xlfn.IFNA(SQRT((VLOOKUP(Z$1,DATA!$A$3:$F$301,2,FALSE)-VLOOKUP($A41,DATA!$A$3:$F$301,2,FALSE))^2+(VLOOKUP(Z$1,DATA!$A$3:$F$301,3,FALSE)-VLOOKUP($A41,DATA!$A$3:$F$301,3,FALSE))^2),"")</f>
        <v>30.675723300355934</v>
      </c>
      <c r="AA41" s="14">
        <f>_xlfn.IFNA(SQRT((VLOOKUP(AA$1,DATA!$A$3:$F$301,2,FALSE)-VLOOKUP($A41,DATA!$A$3:$F$301,2,FALSE))^2+(VLOOKUP(AA$1,DATA!$A$3:$F$301,3,FALSE)-VLOOKUP($A41,DATA!$A$3:$F$301,3,FALSE))^2),"")</f>
        <v>8.9442719099991592</v>
      </c>
      <c r="AB41" s="14">
        <f>_xlfn.IFNA(SQRT((VLOOKUP(AB$1,DATA!$A$3:$F$301,2,FALSE)-VLOOKUP($A41,DATA!$A$3:$F$301,2,FALSE))^2+(VLOOKUP(AB$1,DATA!$A$3:$F$301,3,FALSE)-VLOOKUP($A41,DATA!$A$3:$F$301,3,FALSE))^2),"")</f>
        <v>29.410882339705484</v>
      </c>
      <c r="AC41" s="14">
        <f>_xlfn.IFNA(SQRT((VLOOKUP(AC$1,DATA!$A$3:$F$301,2,FALSE)-VLOOKUP($A41,DATA!$A$3:$F$301,2,FALSE))^2+(VLOOKUP(AC$1,DATA!$A$3:$F$301,3,FALSE)-VLOOKUP($A41,DATA!$A$3:$F$301,3,FALSE))^2),"")</f>
        <v>10.63014581273465</v>
      </c>
      <c r="AD41" s="14">
        <f>_xlfn.IFNA(SQRT((VLOOKUP(AD$1,DATA!$A$3:$F$301,2,FALSE)-VLOOKUP($A41,DATA!$A$3:$F$301,2,FALSE))^2+(VLOOKUP(AD$1,DATA!$A$3:$F$301,3,FALSE)-VLOOKUP($A41,DATA!$A$3:$F$301,3,FALSE))^2),"")</f>
        <v>33.941125496954278</v>
      </c>
      <c r="AE41" s="14">
        <f>_xlfn.IFNA(SQRT((VLOOKUP(AE$1,DATA!$A$3:$F$301,2,FALSE)-VLOOKUP($A41,DATA!$A$3:$F$301,2,FALSE))^2+(VLOOKUP(AE$1,DATA!$A$3:$F$301,3,FALSE)-VLOOKUP($A41,DATA!$A$3:$F$301,3,FALSE))^2),"")</f>
        <v>24.041630560342615</v>
      </c>
      <c r="AF41" s="14">
        <f>_xlfn.IFNA(SQRT((VLOOKUP(AF$1,DATA!$A$3:$F$301,2,FALSE)-VLOOKUP($A41,DATA!$A$3:$F$301,2,FALSE))^2+(VLOOKUP(AF$1,DATA!$A$3:$F$301,3,FALSE)-VLOOKUP($A41,DATA!$A$3:$F$301,3,FALSE))^2),"")</f>
        <v>26.419689627245813</v>
      </c>
      <c r="AG41" s="14">
        <f>_xlfn.IFNA(SQRT((VLOOKUP(AG$1,DATA!$A$3:$F$301,2,FALSE)-VLOOKUP($A41,DATA!$A$3:$F$301,2,FALSE))^2+(VLOOKUP(AG$1,DATA!$A$3:$F$301,3,FALSE)-VLOOKUP($A41,DATA!$A$3:$F$301,3,FALSE))^2),"")</f>
        <v>9.2195444572928871</v>
      </c>
      <c r="AH41" s="14">
        <f>_xlfn.IFNA(SQRT((VLOOKUP(AH$1,DATA!$A$3:$F$301,2,FALSE)-VLOOKUP($A41,DATA!$A$3:$F$301,2,FALSE))^2+(VLOOKUP(AH$1,DATA!$A$3:$F$301,3,FALSE)-VLOOKUP($A41,DATA!$A$3:$F$301,3,FALSE))^2),"")</f>
        <v>7.810249675906654</v>
      </c>
      <c r="AI41" s="14">
        <f>_xlfn.IFNA(SQRT((VLOOKUP(AI$1,DATA!$A$3:$F$301,2,FALSE)-VLOOKUP($A41,DATA!$A$3:$F$301,2,FALSE))^2+(VLOOKUP(AI$1,DATA!$A$3:$F$301,3,FALSE)-VLOOKUP($A41,DATA!$A$3:$F$301,3,FALSE))^2),"")</f>
        <v>29.410882339705484</v>
      </c>
      <c r="AJ41" s="14">
        <f>_xlfn.IFNA(SQRT((VLOOKUP(AJ$1,DATA!$A$3:$F$301,2,FALSE)-VLOOKUP($A41,DATA!$A$3:$F$301,2,FALSE))^2+(VLOOKUP(AJ$1,DATA!$A$3:$F$301,3,FALSE)-VLOOKUP($A41,DATA!$A$3:$F$301,3,FALSE))^2),"")</f>
        <v>24.351591323771842</v>
      </c>
      <c r="AK41" s="14">
        <f>_xlfn.IFNA(SQRT((VLOOKUP(AK$1,DATA!$A$3:$F$301,2,FALSE)-VLOOKUP($A41,DATA!$A$3:$F$301,2,FALSE))^2+(VLOOKUP(AK$1,DATA!$A$3:$F$301,3,FALSE)-VLOOKUP($A41,DATA!$A$3:$F$301,3,FALSE))^2),"")</f>
        <v>1</v>
      </c>
      <c r="AL41" s="14">
        <f>_xlfn.IFNA(SQRT((VLOOKUP(AL$1,DATA!$A$3:$F$301,2,FALSE)-VLOOKUP($A41,DATA!$A$3:$F$301,2,FALSE))^2+(VLOOKUP(AL$1,DATA!$A$3:$F$301,3,FALSE)-VLOOKUP($A41,DATA!$A$3:$F$301,3,FALSE))^2),"")</f>
        <v>23.430749027719962</v>
      </c>
      <c r="AM41" s="14">
        <f>_xlfn.IFNA(SQRT((VLOOKUP(AM$1,DATA!$A$3:$F$301,2,FALSE)-VLOOKUP($A41,DATA!$A$3:$F$301,2,FALSE))^2+(VLOOKUP(AM$1,DATA!$A$3:$F$301,3,FALSE)-VLOOKUP($A41,DATA!$A$3:$F$301,3,FALSE))^2),"")</f>
        <v>11.045361017187261</v>
      </c>
      <c r="AN41" s="14">
        <f>_xlfn.IFNA(SQRT((VLOOKUP(AN$1,DATA!$A$3:$F$301,2,FALSE)-VLOOKUP($A41,DATA!$A$3:$F$301,2,FALSE))^2+(VLOOKUP(AN$1,DATA!$A$3:$F$301,3,FALSE)-VLOOKUP($A41,DATA!$A$3:$F$301,3,FALSE))^2),"")</f>
        <v>34.655446902326915</v>
      </c>
      <c r="AO41" s="14">
        <f>_xlfn.IFNA(SQRT((VLOOKUP(AO$1,DATA!$A$3:$F$301,2,FALSE)-VLOOKUP($A41,DATA!$A$3:$F$301,2,FALSE))^2+(VLOOKUP(AO$1,DATA!$A$3:$F$301,3,FALSE)-VLOOKUP($A41,DATA!$A$3:$F$301,3,FALSE))^2),"")</f>
        <v>0</v>
      </c>
      <c r="AP41" s="14" t="str">
        <f>_xlfn.IFNA(SQRT((VLOOKUP(AP$1,DATA!$A$3:$F$301,2,FALSE)-VLOOKUP($A41,DATA!$A$3:$F$301,2,FALSE))^2+(VLOOKUP(AP$1,DATA!$A$3:$F$301,3,FALSE)-VLOOKUP($A41,DATA!$A$3:$F$301,3,FALSE))^2),"")</f>
        <v/>
      </c>
      <c r="AQ41" s="14" t="str">
        <f>_xlfn.IFNA(SQRT((VLOOKUP(AQ$1,DATA!$A$3:$F$301,2,FALSE)-VLOOKUP($A41,DATA!$A$3:$F$301,2,FALSE))^2+(VLOOKUP(AQ$1,DATA!$A$3:$F$301,3,FALSE)-VLOOKUP($A41,DATA!$A$3:$F$301,3,FALSE))^2),"")</f>
        <v/>
      </c>
      <c r="AR41" s="14" t="str">
        <f>_xlfn.IFNA(SQRT((VLOOKUP(AR$1,DATA!$A$3:$F$301,2,FALSE)-VLOOKUP($A41,DATA!$A$3:$F$301,2,FALSE))^2+(VLOOKUP(AR$1,DATA!$A$3:$F$301,3,FALSE)-VLOOKUP($A41,DATA!$A$3:$F$301,3,FALSE))^2),"")</f>
        <v/>
      </c>
      <c r="AS41" s="14" t="str">
        <f>_xlfn.IFNA(SQRT((VLOOKUP(AS$1,DATA!$A$3:$F$301,2,FALSE)-VLOOKUP($A41,DATA!$A$3:$F$301,2,FALSE))^2+(VLOOKUP(AS$1,DATA!$A$3:$F$301,3,FALSE)-VLOOKUP($A41,DATA!$A$3:$F$301,3,FALSE))^2),"")</f>
        <v/>
      </c>
      <c r="AT41" s="14" t="str">
        <f>_xlfn.IFNA(SQRT((VLOOKUP(AT$1,DATA!$A$3:$F$301,2,FALSE)-VLOOKUP($A41,DATA!$A$3:$F$301,2,FALSE))^2+(VLOOKUP(AT$1,DATA!$A$3:$F$301,3,FALSE)-VLOOKUP($A41,DATA!$A$3:$F$301,3,FALSE))^2),"")</f>
        <v/>
      </c>
      <c r="AU41" s="14" t="str">
        <f>_xlfn.IFNA(SQRT((VLOOKUP(AU$1,DATA!$A$3:$F$301,2,FALSE)-VLOOKUP($A41,DATA!$A$3:$F$301,2,FALSE))^2+(VLOOKUP(AU$1,DATA!$A$3:$F$301,3,FALSE)-VLOOKUP($A41,DATA!$A$3:$F$301,3,FALSE))^2),"")</f>
        <v/>
      </c>
      <c r="AV41" s="14" t="str">
        <f>_xlfn.IFNA(SQRT((VLOOKUP(AV$1,DATA!$A$3:$F$301,2,FALSE)-VLOOKUP($A41,DATA!$A$3:$F$301,2,FALSE))^2+(VLOOKUP(AV$1,DATA!$A$3:$F$301,3,FALSE)-VLOOKUP($A41,DATA!$A$3:$F$301,3,FALSE))^2),"")</f>
        <v/>
      </c>
      <c r="AW41" s="14" t="str">
        <f>_xlfn.IFNA(SQRT((VLOOKUP(AW$1,DATA!$A$3:$F$301,2,FALSE)-VLOOKUP($A41,DATA!$A$3:$F$301,2,FALSE))^2+(VLOOKUP(AW$1,DATA!$A$3:$F$301,3,FALSE)-VLOOKUP($A41,DATA!$A$3:$F$301,3,FALSE))^2),"")</f>
        <v/>
      </c>
      <c r="AX41" s="14" t="str">
        <f>_xlfn.IFNA(SQRT((VLOOKUP(AX$1,DATA!$A$3:$F$301,2,FALSE)-VLOOKUP($A41,DATA!$A$3:$F$301,2,FALSE))^2+(VLOOKUP(AX$1,DATA!$A$3:$F$301,3,FALSE)-VLOOKUP($A41,DATA!$A$3:$F$301,3,FALSE))^2),"")</f>
        <v/>
      </c>
      <c r="AY41" s="14" t="str">
        <f>_xlfn.IFNA(SQRT((VLOOKUP(AY$1,DATA!$A$3:$F$301,2,FALSE)-VLOOKUP($A41,DATA!$A$3:$F$301,2,FALSE))^2+(VLOOKUP(AY$1,DATA!$A$3:$F$301,3,FALSE)-VLOOKUP($A41,DATA!$A$3:$F$301,3,FALSE))^2),"")</f>
        <v/>
      </c>
      <c r="AZ41" s="14" t="str">
        <f>_xlfn.IFNA(SQRT((VLOOKUP(AZ$1,DATA!$A$3:$F$301,2,FALSE)-VLOOKUP($A41,DATA!$A$3:$F$301,2,FALSE))^2+(VLOOKUP(AZ$1,DATA!$A$3:$F$301,3,FALSE)-VLOOKUP($A41,DATA!$A$3:$F$301,3,FALSE))^2),"")</f>
        <v/>
      </c>
      <c r="BA41" s="14" t="str">
        <f>_xlfn.IFNA(SQRT((VLOOKUP(BA$1,DATA!$A$3:$F$301,2,FALSE)-VLOOKUP($A41,DATA!$A$3:$F$301,2,FALSE))^2+(VLOOKUP(BA$1,DATA!$A$3:$F$301,3,FALSE)-VLOOKUP($A41,DATA!$A$3:$F$301,3,FALSE))^2),"")</f>
        <v/>
      </c>
      <c r="BB41" s="14" t="str">
        <f>_xlfn.IFNA(SQRT((VLOOKUP(BB$1,DATA!$A$3:$F$301,2,FALSE)-VLOOKUP($A41,DATA!$A$3:$F$301,2,FALSE))^2+(VLOOKUP(BB$1,DATA!$A$3:$F$301,3,FALSE)-VLOOKUP($A41,DATA!$A$3:$F$301,3,FALSE))^2),"")</f>
        <v/>
      </c>
      <c r="BC41" s="14" t="str">
        <f>_xlfn.IFNA(SQRT((VLOOKUP(BC$1,DATA!$A$3:$F$301,2,FALSE)-VLOOKUP($A41,DATA!$A$3:$F$301,2,FALSE))^2+(VLOOKUP(BC$1,DATA!$A$3:$F$301,3,FALSE)-VLOOKUP($A41,DATA!$A$3:$F$301,3,FALSE))^2),"")</f>
        <v/>
      </c>
      <c r="BD41" s="14" t="str">
        <f>_xlfn.IFNA(SQRT((VLOOKUP(BD$1,DATA!$A$3:$F$301,2,FALSE)-VLOOKUP($A41,DATA!$A$3:$F$301,2,FALSE))^2+(VLOOKUP(BD$1,DATA!$A$3:$F$301,3,FALSE)-VLOOKUP($A41,DATA!$A$3:$F$301,3,FALSE))^2),"")</f>
        <v/>
      </c>
      <c r="BE41" s="14" t="str">
        <f>_xlfn.IFNA(SQRT((VLOOKUP(BE$1,DATA!$A$3:$F$301,2,FALSE)-VLOOKUP($A41,DATA!$A$3:$F$301,2,FALSE))^2+(VLOOKUP(BE$1,DATA!$A$3:$F$301,3,FALSE)-VLOOKUP($A41,DATA!$A$3:$F$301,3,FALSE))^2),"")</f>
        <v/>
      </c>
      <c r="BF41" s="14" t="str">
        <f>_xlfn.IFNA(SQRT((VLOOKUP(BF$1,DATA!$A$3:$F$301,2,FALSE)-VLOOKUP($A41,DATA!$A$3:$F$301,2,FALSE))^2+(VLOOKUP(BF$1,DATA!$A$3:$F$301,3,FALSE)-VLOOKUP($A41,DATA!$A$3:$F$301,3,FALSE))^2),"")</f>
        <v/>
      </c>
      <c r="BG41" s="14" t="str">
        <f>_xlfn.IFNA(SQRT((VLOOKUP(BG$1,DATA!$A$3:$F$301,2,FALSE)-VLOOKUP($A41,DATA!$A$3:$F$301,2,FALSE))^2+(VLOOKUP(BG$1,DATA!$A$3:$F$301,3,FALSE)-VLOOKUP($A41,DATA!$A$3:$F$301,3,FALSE))^2),"")</f>
        <v/>
      </c>
      <c r="BH41" s="14" t="str">
        <f>_xlfn.IFNA(SQRT((VLOOKUP(BH$1,DATA!$A$3:$F$301,2,FALSE)-VLOOKUP($A41,DATA!$A$3:$F$301,2,FALSE))^2+(VLOOKUP(BH$1,DATA!$A$3:$F$301,3,FALSE)-VLOOKUP($A41,DATA!$A$3:$F$301,3,FALSE))^2),"")</f>
        <v/>
      </c>
      <c r="BI41" s="14" t="str">
        <f>_xlfn.IFNA(SQRT((VLOOKUP(BI$1,DATA!$A$3:$F$301,2,FALSE)-VLOOKUP($A41,DATA!$A$3:$F$301,2,FALSE))^2+(VLOOKUP(BI$1,DATA!$A$3:$F$301,3,FALSE)-VLOOKUP($A41,DATA!$A$3:$F$301,3,FALSE))^2),"")</f>
        <v/>
      </c>
      <c r="BJ41" s="14" t="str">
        <f>_xlfn.IFNA(SQRT((VLOOKUP(BJ$1,DATA!$A$3:$F$301,2,FALSE)-VLOOKUP($A41,DATA!$A$3:$F$301,2,FALSE))^2+(VLOOKUP(BJ$1,DATA!$A$3:$F$301,3,FALSE)-VLOOKUP($A41,DATA!$A$3:$F$301,3,FALSE))^2),"")</f>
        <v/>
      </c>
      <c r="BK41" s="14" t="str">
        <f>_xlfn.IFNA(SQRT((VLOOKUP(BK$1,DATA!$A$3:$F$301,2,FALSE)-VLOOKUP($A41,DATA!$A$3:$F$301,2,FALSE))^2+(VLOOKUP(BK$1,DATA!$A$3:$F$301,3,FALSE)-VLOOKUP($A41,DATA!$A$3:$F$301,3,FALSE))^2),"")</f>
        <v/>
      </c>
      <c r="BL41" s="14" t="str">
        <f>_xlfn.IFNA(SQRT((VLOOKUP(BL$1,DATA!$A$3:$F$301,2,FALSE)-VLOOKUP($A41,DATA!$A$3:$F$301,2,FALSE))^2+(VLOOKUP(BL$1,DATA!$A$3:$F$301,3,FALSE)-VLOOKUP($A41,DATA!$A$3:$F$301,3,FALSE))^2),"")</f>
        <v/>
      </c>
      <c r="BM41" s="14" t="str">
        <f>_xlfn.IFNA(SQRT((VLOOKUP(BM$1,DATA!$A$3:$F$301,2,FALSE)-VLOOKUP($A41,DATA!$A$3:$F$301,2,FALSE))^2+(VLOOKUP(BM$1,DATA!$A$3:$F$301,3,FALSE)-VLOOKUP($A41,DATA!$A$3:$F$301,3,FALSE))^2),"")</f>
        <v/>
      </c>
      <c r="BN41" s="14" t="str">
        <f>_xlfn.IFNA(SQRT((VLOOKUP(BN$1,DATA!$A$3:$F$301,2,FALSE)-VLOOKUP($A41,DATA!$A$3:$F$301,2,FALSE))^2+(VLOOKUP(BN$1,DATA!$A$3:$F$301,3,FALSE)-VLOOKUP($A41,DATA!$A$3:$F$301,3,FALSE))^2),"")</f>
        <v/>
      </c>
      <c r="BO41" s="14" t="str">
        <f>_xlfn.IFNA(SQRT((VLOOKUP(BO$1,DATA!$A$3:$F$301,2,FALSE)-VLOOKUP($A41,DATA!$A$3:$F$301,2,FALSE))^2+(VLOOKUP(BO$1,DATA!$A$3:$F$301,3,FALSE)-VLOOKUP($A41,DATA!$A$3:$F$301,3,FALSE))^2),"")</f>
        <v/>
      </c>
      <c r="BP41" s="14" t="str">
        <f>_xlfn.IFNA(SQRT((VLOOKUP(BP$1,DATA!$A$3:$F$301,2,FALSE)-VLOOKUP($A41,DATA!$A$3:$F$301,2,FALSE))^2+(VLOOKUP(BP$1,DATA!$A$3:$F$301,3,FALSE)-VLOOKUP($A41,DATA!$A$3:$F$301,3,FALSE))^2),"")</f>
        <v/>
      </c>
      <c r="BQ41" s="14" t="str">
        <f>_xlfn.IFNA(SQRT((VLOOKUP(BQ$1,DATA!$A$3:$F$301,2,FALSE)-VLOOKUP($A41,DATA!$A$3:$F$301,2,FALSE))^2+(VLOOKUP(BQ$1,DATA!$A$3:$F$301,3,FALSE)-VLOOKUP($A41,DATA!$A$3:$F$301,3,FALSE))^2),"")</f>
        <v/>
      </c>
      <c r="BR41" s="14" t="str">
        <f>_xlfn.IFNA(SQRT((VLOOKUP(BR$1,DATA!$A$3:$F$301,2,FALSE)-VLOOKUP($A41,DATA!$A$3:$F$301,2,FALSE))^2+(VLOOKUP(BR$1,DATA!$A$3:$F$301,3,FALSE)-VLOOKUP($A41,DATA!$A$3:$F$301,3,FALSE))^2),"")</f>
        <v/>
      </c>
      <c r="BS41" s="14" t="str">
        <f>_xlfn.IFNA(SQRT((VLOOKUP(BS$1,DATA!$A$3:$F$301,2,FALSE)-VLOOKUP($A41,DATA!$A$3:$F$301,2,FALSE))^2+(VLOOKUP(BS$1,DATA!$A$3:$F$301,3,FALSE)-VLOOKUP($A41,DATA!$A$3:$F$301,3,FALSE))^2),"")</f>
        <v/>
      </c>
      <c r="BT41" s="14" t="str">
        <f>_xlfn.IFNA(SQRT((VLOOKUP(BT$1,DATA!$A$3:$F$301,2,FALSE)-VLOOKUP($A41,DATA!$A$3:$F$301,2,FALSE))^2+(VLOOKUP(BT$1,DATA!$A$3:$F$301,3,FALSE)-VLOOKUP($A41,DATA!$A$3:$F$301,3,FALSE))^2),"")</f>
        <v/>
      </c>
      <c r="BU41" s="14" t="str">
        <f>_xlfn.IFNA(SQRT((VLOOKUP(BU$1,DATA!$A$3:$F$301,2,FALSE)-VLOOKUP($A41,DATA!$A$3:$F$301,2,FALSE))^2+(VLOOKUP(BU$1,DATA!$A$3:$F$301,3,FALSE)-VLOOKUP($A41,DATA!$A$3:$F$301,3,FALSE))^2),"")</f>
        <v/>
      </c>
      <c r="BV41" s="14" t="str">
        <f>_xlfn.IFNA(SQRT((VLOOKUP(BV$1,DATA!$A$3:$F$301,2,FALSE)-VLOOKUP($A41,DATA!$A$3:$F$301,2,FALSE))^2+(VLOOKUP(BV$1,DATA!$A$3:$F$301,3,FALSE)-VLOOKUP($A41,DATA!$A$3:$F$301,3,FALSE))^2),"")</f>
        <v/>
      </c>
      <c r="BW41" s="14" t="str">
        <f>_xlfn.IFNA(SQRT((VLOOKUP(BW$1,DATA!$A$3:$F$301,2,FALSE)-VLOOKUP($A41,DATA!$A$3:$F$301,2,FALSE))^2+(VLOOKUP(BW$1,DATA!$A$3:$F$301,3,FALSE)-VLOOKUP($A41,DATA!$A$3:$F$301,3,FALSE))^2),"")</f>
        <v/>
      </c>
      <c r="BX41" s="14" t="str">
        <f>_xlfn.IFNA(SQRT((VLOOKUP(BX$1,DATA!$A$3:$F$301,2,FALSE)-VLOOKUP($A41,DATA!$A$3:$F$301,2,FALSE))^2+(VLOOKUP(BX$1,DATA!$A$3:$F$301,3,FALSE)-VLOOKUP($A41,DATA!$A$3:$F$301,3,FALSE))^2),"")</f>
        <v/>
      </c>
      <c r="BY41" s="14" t="str">
        <f>_xlfn.IFNA(SQRT((VLOOKUP(BY$1,DATA!$A$3:$F$301,2,FALSE)-VLOOKUP($A41,DATA!$A$3:$F$301,2,FALSE))^2+(VLOOKUP(BY$1,DATA!$A$3:$F$301,3,FALSE)-VLOOKUP($A41,DATA!$A$3:$F$301,3,FALSE))^2),"")</f>
        <v/>
      </c>
      <c r="BZ41" s="14" t="str">
        <f>_xlfn.IFNA(SQRT((VLOOKUP(BZ$1,DATA!$A$3:$F$301,2,FALSE)-VLOOKUP($A41,DATA!$A$3:$F$301,2,FALSE))^2+(VLOOKUP(BZ$1,DATA!$A$3:$F$301,3,FALSE)-VLOOKUP($A41,DATA!$A$3:$F$301,3,FALSE))^2),"")</f>
        <v/>
      </c>
      <c r="CA41" s="14" t="str">
        <f>_xlfn.IFNA(SQRT((VLOOKUP(CA$1,DATA!$A$3:$F$301,2,FALSE)-VLOOKUP($A41,DATA!$A$3:$F$301,2,FALSE))^2+(VLOOKUP(CA$1,DATA!$A$3:$F$301,3,FALSE)-VLOOKUP($A41,DATA!$A$3:$F$301,3,FALSE))^2),"")</f>
        <v/>
      </c>
      <c r="CB41" s="14" t="str">
        <f>_xlfn.IFNA(SQRT((VLOOKUP(CB$1,DATA!$A$3:$F$301,2,FALSE)-VLOOKUP($A41,DATA!$A$3:$F$301,2,FALSE))^2+(VLOOKUP(CB$1,DATA!$A$3:$F$301,3,FALSE)-VLOOKUP($A41,DATA!$A$3:$F$301,3,FALSE))^2),"")</f>
        <v/>
      </c>
      <c r="CC41" s="14" t="str">
        <f>_xlfn.IFNA(SQRT((VLOOKUP(CC$1,DATA!$A$3:$F$301,2,FALSE)-VLOOKUP($A41,DATA!$A$3:$F$301,2,FALSE))^2+(VLOOKUP(CC$1,DATA!$A$3:$F$301,3,FALSE)-VLOOKUP($A41,DATA!$A$3:$F$301,3,FALSE))^2),"")</f>
        <v/>
      </c>
      <c r="CD41" s="14" t="str">
        <f>_xlfn.IFNA(SQRT((VLOOKUP(CD$1,DATA!$A$3:$F$301,2,FALSE)-VLOOKUP($A41,DATA!$A$3:$F$301,2,FALSE))^2+(VLOOKUP(CD$1,DATA!$A$3:$F$301,3,FALSE)-VLOOKUP($A41,DATA!$A$3:$F$301,3,FALSE))^2),"")</f>
        <v/>
      </c>
      <c r="CE41" s="14" t="str">
        <f>_xlfn.IFNA(SQRT((VLOOKUP(CE$1,DATA!$A$3:$F$301,2,FALSE)-VLOOKUP($A41,DATA!$A$3:$F$301,2,FALSE))^2+(VLOOKUP(CE$1,DATA!$A$3:$F$301,3,FALSE)-VLOOKUP($A41,DATA!$A$3:$F$301,3,FALSE))^2),"")</f>
        <v/>
      </c>
      <c r="CF41" s="14" t="str">
        <f>_xlfn.IFNA(SQRT((VLOOKUP(CF$1,DATA!$A$3:$F$301,2,FALSE)-VLOOKUP($A41,DATA!$A$3:$F$301,2,FALSE))^2+(VLOOKUP(CF$1,DATA!$A$3:$F$301,3,FALSE)-VLOOKUP($A41,DATA!$A$3:$F$301,3,FALSE))^2),"")</f>
        <v/>
      </c>
      <c r="CG41" s="14" t="str">
        <f>_xlfn.IFNA(SQRT((VLOOKUP(CG$1,DATA!$A$3:$F$301,2,FALSE)-VLOOKUP($A41,DATA!$A$3:$F$301,2,FALSE))^2+(VLOOKUP(CG$1,DATA!$A$3:$F$301,3,FALSE)-VLOOKUP($A41,DATA!$A$3:$F$301,3,FALSE))^2),"")</f>
        <v/>
      </c>
      <c r="CH41" s="14" t="str">
        <f>_xlfn.IFNA(SQRT((VLOOKUP(CH$1,DATA!$A$3:$F$301,2,FALSE)-VLOOKUP($A41,DATA!$A$3:$F$301,2,FALSE))^2+(VLOOKUP(CH$1,DATA!$A$3:$F$301,3,FALSE)-VLOOKUP($A41,DATA!$A$3:$F$301,3,FALSE))^2),"")</f>
        <v/>
      </c>
      <c r="CI41" s="14" t="str">
        <f>_xlfn.IFNA(SQRT((VLOOKUP(CI$1,DATA!$A$3:$F$301,2,FALSE)-VLOOKUP($A41,DATA!$A$3:$F$301,2,FALSE))^2+(VLOOKUP(CI$1,DATA!$A$3:$F$301,3,FALSE)-VLOOKUP($A41,DATA!$A$3:$F$301,3,FALSE))^2),"")</f>
        <v/>
      </c>
      <c r="CJ41" s="14" t="str">
        <f>_xlfn.IFNA(SQRT((VLOOKUP(CJ$1,DATA!$A$3:$F$301,2,FALSE)-VLOOKUP($A41,DATA!$A$3:$F$301,2,FALSE))^2+(VLOOKUP(CJ$1,DATA!$A$3:$F$301,3,FALSE)-VLOOKUP($A41,DATA!$A$3:$F$301,3,FALSE))^2),"")</f>
        <v/>
      </c>
      <c r="CK41" s="14" t="str">
        <f>_xlfn.IFNA(SQRT((VLOOKUP(CK$1,DATA!$A$3:$F$301,2,FALSE)-VLOOKUP($A41,DATA!$A$3:$F$301,2,FALSE))^2+(VLOOKUP(CK$1,DATA!$A$3:$F$301,3,FALSE)-VLOOKUP($A41,DATA!$A$3:$F$301,3,FALSE))^2),"")</f>
        <v/>
      </c>
      <c r="CL41" s="14" t="str">
        <f>_xlfn.IFNA(SQRT((VLOOKUP(CL$1,DATA!$A$3:$F$301,2,FALSE)-VLOOKUP($A41,DATA!$A$3:$F$301,2,FALSE))^2+(VLOOKUP(CL$1,DATA!$A$3:$F$301,3,FALSE)-VLOOKUP($A41,DATA!$A$3:$F$301,3,FALSE))^2),"")</f>
        <v/>
      </c>
      <c r="CM41" s="14" t="str">
        <f>_xlfn.IFNA(SQRT((VLOOKUP(CM$1,DATA!$A$3:$F$301,2,FALSE)-VLOOKUP($A41,DATA!$A$3:$F$301,2,FALSE))^2+(VLOOKUP(CM$1,DATA!$A$3:$F$301,3,FALSE)-VLOOKUP($A41,DATA!$A$3:$F$301,3,FALSE))^2),"")</f>
        <v/>
      </c>
      <c r="CN41" s="14" t="str">
        <f>_xlfn.IFNA(SQRT((VLOOKUP(CN$1,DATA!$A$3:$F$301,2,FALSE)-VLOOKUP($A41,DATA!$A$3:$F$301,2,FALSE))^2+(VLOOKUP(CN$1,DATA!$A$3:$F$301,3,FALSE)-VLOOKUP($A41,DATA!$A$3:$F$301,3,FALSE))^2),"")</f>
        <v/>
      </c>
      <c r="CO41" s="14" t="str">
        <f>_xlfn.IFNA(SQRT((VLOOKUP(CO$1,DATA!$A$3:$F$301,2,FALSE)-VLOOKUP($A41,DATA!$A$3:$F$301,2,FALSE))^2+(VLOOKUP(CO$1,DATA!$A$3:$F$301,3,FALSE)-VLOOKUP($A41,DATA!$A$3:$F$301,3,FALSE))^2),"")</f>
        <v/>
      </c>
      <c r="CP41" s="14" t="str">
        <f>_xlfn.IFNA(SQRT((VLOOKUP(CP$1,DATA!$A$3:$F$301,2,FALSE)-VLOOKUP($A41,DATA!$A$3:$F$301,2,FALSE))^2+(VLOOKUP(CP$1,DATA!$A$3:$F$301,3,FALSE)-VLOOKUP($A41,DATA!$A$3:$F$301,3,FALSE))^2),"")</f>
        <v/>
      </c>
      <c r="CQ41" s="14" t="str">
        <f>_xlfn.IFNA(SQRT((VLOOKUP(CQ$1,DATA!$A$3:$F$301,2,FALSE)-VLOOKUP($A41,DATA!$A$3:$F$301,2,FALSE))^2+(VLOOKUP(CQ$1,DATA!$A$3:$F$301,3,FALSE)-VLOOKUP($A41,DATA!$A$3:$F$301,3,FALSE))^2),"")</f>
        <v/>
      </c>
      <c r="CR41" s="14" t="str">
        <f>_xlfn.IFNA(SQRT((VLOOKUP(CR$1,DATA!$A$3:$F$301,2,FALSE)-VLOOKUP($A41,DATA!$A$3:$F$301,2,FALSE))^2+(VLOOKUP(CR$1,DATA!$A$3:$F$301,3,FALSE)-VLOOKUP($A41,DATA!$A$3:$F$301,3,FALSE))^2),"")</f>
        <v/>
      </c>
      <c r="CS41" s="14" t="str">
        <f>_xlfn.IFNA(SQRT((VLOOKUP(CS$1,DATA!$A$3:$F$301,2,FALSE)-VLOOKUP($A41,DATA!$A$3:$F$301,2,FALSE))^2+(VLOOKUP(CS$1,DATA!$A$3:$F$301,3,FALSE)-VLOOKUP($A41,DATA!$A$3:$F$301,3,FALSE))^2),"")</f>
        <v/>
      </c>
      <c r="CT41" s="14" t="str">
        <f>_xlfn.IFNA(SQRT((VLOOKUP(CT$1,DATA!$A$3:$F$301,2,FALSE)-VLOOKUP($A41,DATA!$A$3:$F$301,2,FALSE))^2+(VLOOKUP(CT$1,DATA!$A$3:$F$301,3,FALSE)-VLOOKUP($A41,DATA!$A$3:$F$301,3,FALSE))^2),"")</f>
        <v/>
      </c>
      <c r="CU41" s="14" t="str">
        <f>_xlfn.IFNA(SQRT((VLOOKUP(CU$1,DATA!$A$3:$F$301,2,FALSE)-VLOOKUP($A41,DATA!$A$3:$F$301,2,FALSE))^2+(VLOOKUP(CU$1,DATA!$A$3:$F$301,3,FALSE)-VLOOKUP($A41,DATA!$A$3:$F$301,3,FALSE))^2),"")</f>
        <v/>
      </c>
      <c r="CV41" s="14" t="str">
        <f>_xlfn.IFNA(SQRT((VLOOKUP(CV$1,DATA!$A$3:$F$301,2,FALSE)-VLOOKUP($A41,DATA!$A$3:$F$301,2,FALSE))^2+(VLOOKUP(CV$1,DATA!$A$3:$F$301,3,FALSE)-VLOOKUP($A41,DATA!$A$3:$F$301,3,FALSE))^2),"")</f>
        <v/>
      </c>
      <c r="CW41" s="14" t="str">
        <f>_xlfn.IFNA(SQRT((VLOOKUP(CW$1,DATA!$A$3:$F$301,2,FALSE)-VLOOKUP($A41,DATA!$A$3:$F$301,2,FALSE))^2+(VLOOKUP(CW$1,DATA!$A$3:$F$301,3,FALSE)-VLOOKUP($A41,DATA!$A$3:$F$301,3,FALSE))^2),"")</f>
        <v/>
      </c>
      <c r="CX41" s="14" t="str">
        <f>_xlfn.IFNA(SQRT((VLOOKUP(CX$1,DATA!$A$3:$F$301,2,FALSE)-VLOOKUP($A41,DATA!$A$3:$F$301,2,FALSE))^2+(VLOOKUP(CX$1,DATA!$A$3:$F$301,3,FALSE)-VLOOKUP($A41,DATA!$A$3:$F$301,3,FALSE))^2),"")</f>
        <v/>
      </c>
    </row>
    <row r="42" spans="1:102">
      <c r="A42" s="13">
        <v>41</v>
      </c>
      <c r="B42" s="14" t="str">
        <f>_xlfn.IFNA(SQRT((VLOOKUP(B$1,DATA!$A$3:$F$301,2,FALSE)-VLOOKUP($A42,DATA!$A$3:$F$301,2,FALSE))^2+(VLOOKUP(B$1,DATA!$A$3:$F$301,3,FALSE)-VLOOKUP($A42,DATA!$A$3:$F$301,3,FALSE))^2),"")</f>
        <v/>
      </c>
      <c r="C42" s="14" t="str">
        <f>_xlfn.IFNA(SQRT((VLOOKUP(C$1,DATA!$A$3:$F$301,2,FALSE)-VLOOKUP($A42,DATA!$A$3:$F$301,2,FALSE))^2+(VLOOKUP(C$1,DATA!$A$3:$F$301,3,FALSE)-VLOOKUP($A42,DATA!$A$3:$F$301,3,FALSE))^2),"")</f>
        <v/>
      </c>
      <c r="D42" s="14" t="str">
        <f>_xlfn.IFNA(SQRT((VLOOKUP(D$1,DATA!$A$3:$F$301,2,FALSE)-VLOOKUP($A42,DATA!$A$3:$F$301,2,FALSE))^2+(VLOOKUP(D$1,DATA!$A$3:$F$301,3,FALSE)-VLOOKUP($A42,DATA!$A$3:$F$301,3,FALSE))^2),"")</f>
        <v/>
      </c>
      <c r="E42" s="14" t="str">
        <f>_xlfn.IFNA(SQRT((VLOOKUP(E$1,DATA!$A$3:$F$301,2,FALSE)-VLOOKUP($A42,DATA!$A$3:$F$301,2,FALSE))^2+(VLOOKUP(E$1,DATA!$A$3:$F$301,3,FALSE)-VLOOKUP($A42,DATA!$A$3:$F$301,3,FALSE))^2),"")</f>
        <v/>
      </c>
      <c r="F42" s="14" t="str">
        <f>_xlfn.IFNA(SQRT((VLOOKUP(F$1,DATA!$A$3:$F$301,2,FALSE)-VLOOKUP($A42,DATA!$A$3:$F$301,2,FALSE))^2+(VLOOKUP(F$1,DATA!$A$3:$F$301,3,FALSE)-VLOOKUP($A42,DATA!$A$3:$F$301,3,FALSE))^2),"")</f>
        <v/>
      </c>
      <c r="G42" s="14" t="str">
        <f>_xlfn.IFNA(SQRT((VLOOKUP(G$1,DATA!$A$3:$F$301,2,FALSE)-VLOOKUP($A42,DATA!$A$3:$F$301,2,FALSE))^2+(VLOOKUP(G$1,DATA!$A$3:$F$301,3,FALSE)-VLOOKUP($A42,DATA!$A$3:$F$301,3,FALSE))^2),"")</f>
        <v/>
      </c>
      <c r="H42" s="14" t="str">
        <f>_xlfn.IFNA(SQRT((VLOOKUP(H$1,DATA!$A$3:$F$301,2,FALSE)-VLOOKUP($A42,DATA!$A$3:$F$301,2,FALSE))^2+(VLOOKUP(H$1,DATA!$A$3:$F$301,3,FALSE)-VLOOKUP($A42,DATA!$A$3:$F$301,3,FALSE))^2),"")</f>
        <v/>
      </c>
      <c r="I42" s="14" t="str">
        <f>_xlfn.IFNA(SQRT((VLOOKUP(I$1,DATA!$A$3:$F$301,2,FALSE)-VLOOKUP($A42,DATA!$A$3:$F$301,2,FALSE))^2+(VLOOKUP(I$1,DATA!$A$3:$F$301,3,FALSE)-VLOOKUP($A42,DATA!$A$3:$F$301,3,FALSE))^2),"")</f>
        <v/>
      </c>
      <c r="J42" s="14" t="str">
        <f>_xlfn.IFNA(SQRT((VLOOKUP(J$1,DATA!$A$3:$F$301,2,FALSE)-VLOOKUP($A42,DATA!$A$3:$F$301,2,FALSE))^2+(VLOOKUP(J$1,DATA!$A$3:$F$301,3,FALSE)-VLOOKUP($A42,DATA!$A$3:$F$301,3,FALSE))^2),"")</f>
        <v/>
      </c>
      <c r="K42" s="14" t="str">
        <f>_xlfn.IFNA(SQRT((VLOOKUP(K$1,DATA!$A$3:$F$301,2,FALSE)-VLOOKUP($A42,DATA!$A$3:$F$301,2,FALSE))^2+(VLOOKUP(K$1,DATA!$A$3:$F$301,3,FALSE)-VLOOKUP($A42,DATA!$A$3:$F$301,3,FALSE))^2),"")</f>
        <v/>
      </c>
      <c r="L42" s="14" t="str">
        <f>_xlfn.IFNA(SQRT((VLOOKUP(L$1,DATA!$A$3:$F$301,2,FALSE)-VLOOKUP($A42,DATA!$A$3:$F$301,2,FALSE))^2+(VLOOKUP(L$1,DATA!$A$3:$F$301,3,FALSE)-VLOOKUP($A42,DATA!$A$3:$F$301,3,FALSE))^2),"")</f>
        <v/>
      </c>
      <c r="M42" s="14" t="str">
        <f>_xlfn.IFNA(SQRT((VLOOKUP(M$1,DATA!$A$3:$F$301,2,FALSE)-VLOOKUP($A42,DATA!$A$3:$F$301,2,FALSE))^2+(VLOOKUP(M$1,DATA!$A$3:$F$301,3,FALSE)-VLOOKUP($A42,DATA!$A$3:$F$301,3,FALSE))^2),"")</f>
        <v/>
      </c>
      <c r="N42" s="14" t="str">
        <f>_xlfn.IFNA(SQRT((VLOOKUP(N$1,DATA!$A$3:$F$301,2,FALSE)-VLOOKUP($A42,DATA!$A$3:$F$301,2,FALSE))^2+(VLOOKUP(N$1,DATA!$A$3:$F$301,3,FALSE)-VLOOKUP($A42,DATA!$A$3:$F$301,3,FALSE))^2),"")</f>
        <v/>
      </c>
      <c r="O42" s="14" t="str">
        <f>_xlfn.IFNA(SQRT((VLOOKUP(O$1,DATA!$A$3:$F$301,2,FALSE)-VLOOKUP($A42,DATA!$A$3:$F$301,2,FALSE))^2+(VLOOKUP(O$1,DATA!$A$3:$F$301,3,FALSE)-VLOOKUP($A42,DATA!$A$3:$F$301,3,FALSE))^2),"")</f>
        <v/>
      </c>
      <c r="P42" s="14" t="str">
        <f>_xlfn.IFNA(SQRT((VLOOKUP(P$1,DATA!$A$3:$F$301,2,FALSE)-VLOOKUP($A42,DATA!$A$3:$F$301,2,FALSE))^2+(VLOOKUP(P$1,DATA!$A$3:$F$301,3,FALSE)-VLOOKUP($A42,DATA!$A$3:$F$301,3,FALSE))^2),"")</f>
        <v/>
      </c>
      <c r="Q42" s="14" t="str">
        <f>_xlfn.IFNA(SQRT((VLOOKUP(Q$1,DATA!$A$3:$F$301,2,FALSE)-VLOOKUP($A42,DATA!$A$3:$F$301,2,FALSE))^2+(VLOOKUP(Q$1,DATA!$A$3:$F$301,3,FALSE)-VLOOKUP($A42,DATA!$A$3:$F$301,3,FALSE))^2),"")</f>
        <v/>
      </c>
      <c r="R42" s="14" t="str">
        <f>_xlfn.IFNA(SQRT((VLOOKUP(R$1,DATA!$A$3:$F$301,2,FALSE)-VLOOKUP($A42,DATA!$A$3:$F$301,2,FALSE))^2+(VLOOKUP(R$1,DATA!$A$3:$F$301,3,FALSE)-VLOOKUP($A42,DATA!$A$3:$F$301,3,FALSE))^2),"")</f>
        <v/>
      </c>
      <c r="S42" s="14" t="str">
        <f>_xlfn.IFNA(SQRT((VLOOKUP(S$1,DATA!$A$3:$F$301,2,FALSE)-VLOOKUP($A42,DATA!$A$3:$F$301,2,FALSE))^2+(VLOOKUP(S$1,DATA!$A$3:$F$301,3,FALSE)-VLOOKUP($A42,DATA!$A$3:$F$301,3,FALSE))^2),"")</f>
        <v/>
      </c>
      <c r="T42" s="14" t="str">
        <f>_xlfn.IFNA(SQRT((VLOOKUP(T$1,DATA!$A$3:$F$301,2,FALSE)-VLOOKUP($A42,DATA!$A$3:$F$301,2,FALSE))^2+(VLOOKUP(T$1,DATA!$A$3:$F$301,3,FALSE)-VLOOKUP($A42,DATA!$A$3:$F$301,3,FALSE))^2),"")</f>
        <v/>
      </c>
      <c r="U42" s="14" t="str">
        <f>_xlfn.IFNA(SQRT((VLOOKUP(U$1,DATA!$A$3:$F$301,2,FALSE)-VLOOKUP($A42,DATA!$A$3:$F$301,2,FALSE))^2+(VLOOKUP(U$1,DATA!$A$3:$F$301,3,FALSE)-VLOOKUP($A42,DATA!$A$3:$F$301,3,FALSE))^2),"")</f>
        <v/>
      </c>
      <c r="V42" s="14" t="str">
        <f>_xlfn.IFNA(SQRT((VLOOKUP(V$1,DATA!$A$3:$F$301,2,FALSE)-VLOOKUP($A42,DATA!$A$3:$F$301,2,FALSE))^2+(VLOOKUP(V$1,DATA!$A$3:$F$301,3,FALSE)-VLOOKUP($A42,DATA!$A$3:$F$301,3,FALSE))^2),"")</f>
        <v/>
      </c>
      <c r="W42" s="14" t="str">
        <f>_xlfn.IFNA(SQRT((VLOOKUP(W$1,DATA!$A$3:$F$301,2,FALSE)-VLOOKUP($A42,DATA!$A$3:$F$301,2,FALSE))^2+(VLOOKUP(W$1,DATA!$A$3:$F$301,3,FALSE)-VLOOKUP($A42,DATA!$A$3:$F$301,3,FALSE))^2),"")</f>
        <v/>
      </c>
      <c r="X42" s="14" t="str">
        <f>_xlfn.IFNA(SQRT((VLOOKUP(X$1,DATA!$A$3:$F$301,2,FALSE)-VLOOKUP($A42,DATA!$A$3:$F$301,2,FALSE))^2+(VLOOKUP(X$1,DATA!$A$3:$F$301,3,FALSE)-VLOOKUP($A42,DATA!$A$3:$F$301,3,FALSE))^2),"")</f>
        <v/>
      </c>
      <c r="Y42" s="14" t="str">
        <f>_xlfn.IFNA(SQRT((VLOOKUP(Y$1,DATA!$A$3:$F$301,2,FALSE)-VLOOKUP($A42,DATA!$A$3:$F$301,2,FALSE))^2+(VLOOKUP(Y$1,DATA!$A$3:$F$301,3,FALSE)-VLOOKUP($A42,DATA!$A$3:$F$301,3,FALSE))^2),"")</f>
        <v/>
      </c>
      <c r="Z42" s="14" t="str">
        <f>_xlfn.IFNA(SQRT((VLOOKUP(Z$1,DATA!$A$3:$F$301,2,FALSE)-VLOOKUP($A42,DATA!$A$3:$F$301,2,FALSE))^2+(VLOOKUP(Z$1,DATA!$A$3:$F$301,3,FALSE)-VLOOKUP($A42,DATA!$A$3:$F$301,3,FALSE))^2),"")</f>
        <v/>
      </c>
      <c r="AA42" s="14" t="str">
        <f>_xlfn.IFNA(SQRT((VLOOKUP(AA$1,DATA!$A$3:$F$301,2,FALSE)-VLOOKUP($A42,DATA!$A$3:$F$301,2,FALSE))^2+(VLOOKUP(AA$1,DATA!$A$3:$F$301,3,FALSE)-VLOOKUP($A42,DATA!$A$3:$F$301,3,FALSE))^2),"")</f>
        <v/>
      </c>
      <c r="AB42" s="14" t="str">
        <f>_xlfn.IFNA(SQRT((VLOOKUP(AB$1,DATA!$A$3:$F$301,2,FALSE)-VLOOKUP($A42,DATA!$A$3:$F$301,2,FALSE))^2+(VLOOKUP(AB$1,DATA!$A$3:$F$301,3,FALSE)-VLOOKUP($A42,DATA!$A$3:$F$301,3,FALSE))^2),"")</f>
        <v/>
      </c>
      <c r="AC42" s="14" t="str">
        <f>_xlfn.IFNA(SQRT((VLOOKUP(AC$1,DATA!$A$3:$F$301,2,FALSE)-VLOOKUP($A42,DATA!$A$3:$F$301,2,FALSE))^2+(VLOOKUP(AC$1,DATA!$A$3:$F$301,3,FALSE)-VLOOKUP($A42,DATA!$A$3:$F$301,3,FALSE))^2),"")</f>
        <v/>
      </c>
      <c r="AD42" s="14" t="str">
        <f>_xlfn.IFNA(SQRT((VLOOKUP(AD$1,DATA!$A$3:$F$301,2,FALSE)-VLOOKUP($A42,DATA!$A$3:$F$301,2,FALSE))^2+(VLOOKUP(AD$1,DATA!$A$3:$F$301,3,FALSE)-VLOOKUP($A42,DATA!$A$3:$F$301,3,FALSE))^2),"")</f>
        <v/>
      </c>
      <c r="AE42" s="14" t="str">
        <f>_xlfn.IFNA(SQRT((VLOOKUP(AE$1,DATA!$A$3:$F$301,2,FALSE)-VLOOKUP($A42,DATA!$A$3:$F$301,2,FALSE))^2+(VLOOKUP(AE$1,DATA!$A$3:$F$301,3,FALSE)-VLOOKUP($A42,DATA!$A$3:$F$301,3,FALSE))^2),"")</f>
        <v/>
      </c>
      <c r="AF42" s="14" t="str">
        <f>_xlfn.IFNA(SQRT((VLOOKUP(AF$1,DATA!$A$3:$F$301,2,FALSE)-VLOOKUP($A42,DATA!$A$3:$F$301,2,FALSE))^2+(VLOOKUP(AF$1,DATA!$A$3:$F$301,3,FALSE)-VLOOKUP($A42,DATA!$A$3:$F$301,3,FALSE))^2),"")</f>
        <v/>
      </c>
      <c r="AG42" s="14" t="str">
        <f>_xlfn.IFNA(SQRT((VLOOKUP(AG$1,DATA!$A$3:$F$301,2,FALSE)-VLOOKUP($A42,DATA!$A$3:$F$301,2,FALSE))^2+(VLOOKUP(AG$1,DATA!$A$3:$F$301,3,FALSE)-VLOOKUP($A42,DATA!$A$3:$F$301,3,FALSE))^2),"")</f>
        <v/>
      </c>
      <c r="AH42" s="14" t="str">
        <f>_xlfn.IFNA(SQRT((VLOOKUP(AH$1,DATA!$A$3:$F$301,2,FALSE)-VLOOKUP($A42,DATA!$A$3:$F$301,2,FALSE))^2+(VLOOKUP(AH$1,DATA!$A$3:$F$301,3,FALSE)-VLOOKUP($A42,DATA!$A$3:$F$301,3,FALSE))^2),"")</f>
        <v/>
      </c>
      <c r="AI42" s="14" t="str">
        <f>_xlfn.IFNA(SQRT((VLOOKUP(AI$1,DATA!$A$3:$F$301,2,FALSE)-VLOOKUP($A42,DATA!$A$3:$F$301,2,FALSE))^2+(VLOOKUP(AI$1,DATA!$A$3:$F$301,3,FALSE)-VLOOKUP($A42,DATA!$A$3:$F$301,3,FALSE))^2),"")</f>
        <v/>
      </c>
      <c r="AJ42" s="14" t="str">
        <f>_xlfn.IFNA(SQRT((VLOOKUP(AJ$1,DATA!$A$3:$F$301,2,FALSE)-VLOOKUP($A42,DATA!$A$3:$F$301,2,FALSE))^2+(VLOOKUP(AJ$1,DATA!$A$3:$F$301,3,FALSE)-VLOOKUP($A42,DATA!$A$3:$F$301,3,FALSE))^2),"")</f>
        <v/>
      </c>
      <c r="AK42" s="14" t="str">
        <f>_xlfn.IFNA(SQRT((VLOOKUP(AK$1,DATA!$A$3:$F$301,2,FALSE)-VLOOKUP($A42,DATA!$A$3:$F$301,2,FALSE))^2+(VLOOKUP(AK$1,DATA!$A$3:$F$301,3,FALSE)-VLOOKUP($A42,DATA!$A$3:$F$301,3,FALSE))^2),"")</f>
        <v/>
      </c>
      <c r="AL42" s="14" t="str">
        <f>_xlfn.IFNA(SQRT((VLOOKUP(AL$1,DATA!$A$3:$F$301,2,FALSE)-VLOOKUP($A42,DATA!$A$3:$F$301,2,FALSE))^2+(VLOOKUP(AL$1,DATA!$A$3:$F$301,3,FALSE)-VLOOKUP($A42,DATA!$A$3:$F$301,3,FALSE))^2),"")</f>
        <v/>
      </c>
      <c r="AM42" s="14" t="str">
        <f>_xlfn.IFNA(SQRT((VLOOKUP(AM$1,DATA!$A$3:$F$301,2,FALSE)-VLOOKUP($A42,DATA!$A$3:$F$301,2,FALSE))^2+(VLOOKUP(AM$1,DATA!$A$3:$F$301,3,FALSE)-VLOOKUP($A42,DATA!$A$3:$F$301,3,FALSE))^2),"")</f>
        <v/>
      </c>
      <c r="AN42" s="14" t="str">
        <f>_xlfn.IFNA(SQRT((VLOOKUP(AN$1,DATA!$A$3:$F$301,2,FALSE)-VLOOKUP($A42,DATA!$A$3:$F$301,2,FALSE))^2+(VLOOKUP(AN$1,DATA!$A$3:$F$301,3,FALSE)-VLOOKUP($A42,DATA!$A$3:$F$301,3,FALSE))^2),"")</f>
        <v/>
      </c>
      <c r="AO42" s="14" t="str">
        <f>_xlfn.IFNA(SQRT((VLOOKUP(AO$1,DATA!$A$3:$F$301,2,FALSE)-VLOOKUP($A42,DATA!$A$3:$F$301,2,FALSE))^2+(VLOOKUP(AO$1,DATA!$A$3:$F$301,3,FALSE)-VLOOKUP($A42,DATA!$A$3:$F$301,3,FALSE))^2),"")</f>
        <v/>
      </c>
      <c r="AP42" s="14" t="str">
        <f>_xlfn.IFNA(SQRT((VLOOKUP(AP$1,DATA!$A$3:$F$301,2,FALSE)-VLOOKUP($A42,DATA!$A$3:$F$301,2,FALSE))^2+(VLOOKUP(AP$1,DATA!$A$3:$F$301,3,FALSE)-VLOOKUP($A42,DATA!$A$3:$F$301,3,FALSE))^2),"")</f>
        <v/>
      </c>
      <c r="AQ42" s="14" t="str">
        <f>_xlfn.IFNA(SQRT((VLOOKUP(AQ$1,DATA!$A$3:$F$301,2,FALSE)-VLOOKUP($A42,DATA!$A$3:$F$301,2,FALSE))^2+(VLOOKUP(AQ$1,DATA!$A$3:$F$301,3,FALSE)-VLOOKUP($A42,DATA!$A$3:$F$301,3,FALSE))^2),"")</f>
        <v/>
      </c>
      <c r="AR42" s="14" t="str">
        <f>_xlfn.IFNA(SQRT((VLOOKUP(AR$1,DATA!$A$3:$F$301,2,FALSE)-VLOOKUP($A42,DATA!$A$3:$F$301,2,FALSE))^2+(VLOOKUP(AR$1,DATA!$A$3:$F$301,3,FALSE)-VLOOKUP($A42,DATA!$A$3:$F$301,3,FALSE))^2),"")</f>
        <v/>
      </c>
      <c r="AS42" s="14" t="str">
        <f>_xlfn.IFNA(SQRT((VLOOKUP(AS$1,DATA!$A$3:$F$301,2,FALSE)-VLOOKUP($A42,DATA!$A$3:$F$301,2,FALSE))^2+(VLOOKUP(AS$1,DATA!$A$3:$F$301,3,FALSE)-VLOOKUP($A42,DATA!$A$3:$F$301,3,FALSE))^2),"")</f>
        <v/>
      </c>
      <c r="AT42" s="14" t="str">
        <f>_xlfn.IFNA(SQRT((VLOOKUP(AT$1,DATA!$A$3:$F$301,2,FALSE)-VLOOKUP($A42,DATA!$A$3:$F$301,2,FALSE))^2+(VLOOKUP(AT$1,DATA!$A$3:$F$301,3,FALSE)-VLOOKUP($A42,DATA!$A$3:$F$301,3,FALSE))^2),"")</f>
        <v/>
      </c>
      <c r="AU42" s="14" t="str">
        <f>_xlfn.IFNA(SQRT((VLOOKUP(AU$1,DATA!$A$3:$F$301,2,FALSE)-VLOOKUP($A42,DATA!$A$3:$F$301,2,FALSE))^2+(VLOOKUP(AU$1,DATA!$A$3:$F$301,3,FALSE)-VLOOKUP($A42,DATA!$A$3:$F$301,3,FALSE))^2),"")</f>
        <v/>
      </c>
      <c r="AV42" s="14" t="str">
        <f>_xlfn.IFNA(SQRT((VLOOKUP(AV$1,DATA!$A$3:$F$301,2,FALSE)-VLOOKUP($A42,DATA!$A$3:$F$301,2,FALSE))^2+(VLOOKUP(AV$1,DATA!$A$3:$F$301,3,FALSE)-VLOOKUP($A42,DATA!$A$3:$F$301,3,FALSE))^2),"")</f>
        <v/>
      </c>
      <c r="AW42" s="14" t="str">
        <f>_xlfn.IFNA(SQRT((VLOOKUP(AW$1,DATA!$A$3:$F$301,2,FALSE)-VLOOKUP($A42,DATA!$A$3:$F$301,2,FALSE))^2+(VLOOKUP(AW$1,DATA!$A$3:$F$301,3,FALSE)-VLOOKUP($A42,DATA!$A$3:$F$301,3,FALSE))^2),"")</f>
        <v/>
      </c>
      <c r="AX42" s="14" t="str">
        <f>_xlfn.IFNA(SQRT((VLOOKUP(AX$1,DATA!$A$3:$F$301,2,FALSE)-VLOOKUP($A42,DATA!$A$3:$F$301,2,FALSE))^2+(VLOOKUP(AX$1,DATA!$A$3:$F$301,3,FALSE)-VLOOKUP($A42,DATA!$A$3:$F$301,3,FALSE))^2),"")</f>
        <v/>
      </c>
      <c r="AY42" s="14" t="str">
        <f>_xlfn.IFNA(SQRT((VLOOKUP(AY$1,DATA!$A$3:$F$301,2,FALSE)-VLOOKUP($A42,DATA!$A$3:$F$301,2,FALSE))^2+(VLOOKUP(AY$1,DATA!$A$3:$F$301,3,FALSE)-VLOOKUP($A42,DATA!$A$3:$F$301,3,FALSE))^2),"")</f>
        <v/>
      </c>
      <c r="AZ42" s="14" t="str">
        <f>_xlfn.IFNA(SQRT((VLOOKUP(AZ$1,DATA!$A$3:$F$301,2,FALSE)-VLOOKUP($A42,DATA!$A$3:$F$301,2,FALSE))^2+(VLOOKUP(AZ$1,DATA!$A$3:$F$301,3,FALSE)-VLOOKUP($A42,DATA!$A$3:$F$301,3,FALSE))^2),"")</f>
        <v/>
      </c>
      <c r="BA42" s="14" t="str">
        <f>_xlfn.IFNA(SQRT((VLOOKUP(BA$1,DATA!$A$3:$F$301,2,FALSE)-VLOOKUP($A42,DATA!$A$3:$F$301,2,FALSE))^2+(VLOOKUP(BA$1,DATA!$A$3:$F$301,3,FALSE)-VLOOKUP($A42,DATA!$A$3:$F$301,3,FALSE))^2),"")</f>
        <v/>
      </c>
      <c r="BB42" s="14" t="str">
        <f>_xlfn.IFNA(SQRT((VLOOKUP(BB$1,DATA!$A$3:$F$301,2,FALSE)-VLOOKUP($A42,DATA!$A$3:$F$301,2,FALSE))^2+(VLOOKUP(BB$1,DATA!$A$3:$F$301,3,FALSE)-VLOOKUP($A42,DATA!$A$3:$F$301,3,FALSE))^2),"")</f>
        <v/>
      </c>
      <c r="BC42" s="14" t="str">
        <f>_xlfn.IFNA(SQRT((VLOOKUP(BC$1,DATA!$A$3:$F$301,2,FALSE)-VLOOKUP($A42,DATA!$A$3:$F$301,2,FALSE))^2+(VLOOKUP(BC$1,DATA!$A$3:$F$301,3,FALSE)-VLOOKUP($A42,DATA!$A$3:$F$301,3,FALSE))^2),"")</f>
        <v/>
      </c>
      <c r="BD42" s="14" t="str">
        <f>_xlfn.IFNA(SQRT((VLOOKUP(BD$1,DATA!$A$3:$F$301,2,FALSE)-VLOOKUP($A42,DATA!$A$3:$F$301,2,FALSE))^2+(VLOOKUP(BD$1,DATA!$A$3:$F$301,3,FALSE)-VLOOKUP($A42,DATA!$A$3:$F$301,3,FALSE))^2),"")</f>
        <v/>
      </c>
      <c r="BE42" s="14" t="str">
        <f>_xlfn.IFNA(SQRT((VLOOKUP(BE$1,DATA!$A$3:$F$301,2,FALSE)-VLOOKUP($A42,DATA!$A$3:$F$301,2,FALSE))^2+(VLOOKUP(BE$1,DATA!$A$3:$F$301,3,FALSE)-VLOOKUP($A42,DATA!$A$3:$F$301,3,FALSE))^2),"")</f>
        <v/>
      </c>
      <c r="BF42" s="14" t="str">
        <f>_xlfn.IFNA(SQRT((VLOOKUP(BF$1,DATA!$A$3:$F$301,2,FALSE)-VLOOKUP($A42,DATA!$A$3:$F$301,2,FALSE))^2+(VLOOKUP(BF$1,DATA!$A$3:$F$301,3,FALSE)-VLOOKUP($A42,DATA!$A$3:$F$301,3,FALSE))^2),"")</f>
        <v/>
      </c>
      <c r="BG42" s="14" t="str">
        <f>_xlfn.IFNA(SQRT((VLOOKUP(BG$1,DATA!$A$3:$F$301,2,FALSE)-VLOOKUP($A42,DATA!$A$3:$F$301,2,FALSE))^2+(VLOOKUP(BG$1,DATA!$A$3:$F$301,3,FALSE)-VLOOKUP($A42,DATA!$A$3:$F$301,3,FALSE))^2),"")</f>
        <v/>
      </c>
      <c r="BH42" s="14" t="str">
        <f>_xlfn.IFNA(SQRT((VLOOKUP(BH$1,DATA!$A$3:$F$301,2,FALSE)-VLOOKUP($A42,DATA!$A$3:$F$301,2,FALSE))^2+(VLOOKUP(BH$1,DATA!$A$3:$F$301,3,FALSE)-VLOOKUP($A42,DATA!$A$3:$F$301,3,FALSE))^2),"")</f>
        <v/>
      </c>
      <c r="BI42" s="14" t="str">
        <f>_xlfn.IFNA(SQRT((VLOOKUP(BI$1,DATA!$A$3:$F$301,2,FALSE)-VLOOKUP($A42,DATA!$A$3:$F$301,2,FALSE))^2+(VLOOKUP(BI$1,DATA!$A$3:$F$301,3,FALSE)-VLOOKUP($A42,DATA!$A$3:$F$301,3,FALSE))^2),"")</f>
        <v/>
      </c>
      <c r="BJ42" s="14" t="str">
        <f>_xlfn.IFNA(SQRT((VLOOKUP(BJ$1,DATA!$A$3:$F$301,2,FALSE)-VLOOKUP($A42,DATA!$A$3:$F$301,2,FALSE))^2+(VLOOKUP(BJ$1,DATA!$A$3:$F$301,3,FALSE)-VLOOKUP($A42,DATA!$A$3:$F$301,3,FALSE))^2),"")</f>
        <v/>
      </c>
      <c r="BK42" s="14" t="str">
        <f>_xlfn.IFNA(SQRT((VLOOKUP(BK$1,DATA!$A$3:$F$301,2,FALSE)-VLOOKUP($A42,DATA!$A$3:$F$301,2,FALSE))^2+(VLOOKUP(BK$1,DATA!$A$3:$F$301,3,FALSE)-VLOOKUP($A42,DATA!$A$3:$F$301,3,FALSE))^2),"")</f>
        <v/>
      </c>
      <c r="BL42" s="14" t="str">
        <f>_xlfn.IFNA(SQRT((VLOOKUP(BL$1,DATA!$A$3:$F$301,2,FALSE)-VLOOKUP($A42,DATA!$A$3:$F$301,2,FALSE))^2+(VLOOKUP(BL$1,DATA!$A$3:$F$301,3,FALSE)-VLOOKUP($A42,DATA!$A$3:$F$301,3,FALSE))^2),"")</f>
        <v/>
      </c>
      <c r="BM42" s="14" t="str">
        <f>_xlfn.IFNA(SQRT((VLOOKUP(BM$1,DATA!$A$3:$F$301,2,FALSE)-VLOOKUP($A42,DATA!$A$3:$F$301,2,FALSE))^2+(VLOOKUP(BM$1,DATA!$A$3:$F$301,3,FALSE)-VLOOKUP($A42,DATA!$A$3:$F$301,3,FALSE))^2),"")</f>
        <v/>
      </c>
      <c r="BN42" s="14" t="str">
        <f>_xlfn.IFNA(SQRT((VLOOKUP(BN$1,DATA!$A$3:$F$301,2,FALSE)-VLOOKUP($A42,DATA!$A$3:$F$301,2,FALSE))^2+(VLOOKUP(BN$1,DATA!$A$3:$F$301,3,FALSE)-VLOOKUP($A42,DATA!$A$3:$F$301,3,FALSE))^2),"")</f>
        <v/>
      </c>
      <c r="BO42" s="14" t="str">
        <f>_xlfn.IFNA(SQRT((VLOOKUP(BO$1,DATA!$A$3:$F$301,2,FALSE)-VLOOKUP($A42,DATA!$A$3:$F$301,2,FALSE))^2+(VLOOKUP(BO$1,DATA!$A$3:$F$301,3,FALSE)-VLOOKUP($A42,DATA!$A$3:$F$301,3,FALSE))^2),"")</f>
        <v/>
      </c>
      <c r="BP42" s="14" t="str">
        <f>_xlfn.IFNA(SQRT((VLOOKUP(BP$1,DATA!$A$3:$F$301,2,FALSE)-VLOOKUP($A42,DATA!$A$3:$F$301,2,FALSE))^2+(VLOOKUP(BP$1,DATA!$A$3:$F$301,3,FALSE)-VLOOKUP($A42,DATA!$A$3:$F$301,3,FALSE))^2),"")</f>
        <v/>
      </c>
      <c r="BQ42" s="14" t="str">
        <f>_xlfn.IFNA(SQRT((VLOOKUP(BQ$1,DATA!$A$3:$F$301,2,FALSE)-VLOOKUP($A42,DATA!$A$3:$F$301,2,FALSE))^2+(VLOOKUP(BQ$1,DATA!$A$3:$F$301,3,FALSE)-VLOOKUP($A42,DATA!$A$3:$F$301,3,FALSE))^2),"")</f>
        <v/>
      </c>
      <c r="BR42" s="14" t="str">
        <f>_xlfn.IFNA(SQRT((VLOOKUP(BR$1,DATA!$A$3:$F$301,2,FALSE)-VLOOKUP($A42,DATA!$A$3:$F$301,2,FALSE))^2+(VLOOKUP(BR$1,DATA!$A$3:$F$301,3,FALSE)-VLOOKUP($A42,DATA!$A$3:$F$301,3,FALSE))^2),"")</f>
        <v/>
      </c>
      <c r="BS42" s="14" t="str">
        <f>_xlfn.IFNA(SQRT((VLOOKUP(BS$1,DATA!$A$3:$F$301,2,FALSE)-VLOOKUP($A42,DATA!$A$3:$F$301,2,FALSE))^2+(VLOOKUP(BS$1,DATA!$A$3:$F$301,3,FALSE)-VLOOKUP($A42,DATA!$A$3:$F$301,3,FALSE))^2),"")</f>
        <v/>
      </c>
      <c r="BT42" s="14" t="str">
        <f>_xlfn.IFNA(SQRT((VLOOKUP(BT$1,DATA!$A$3:$F$301,2,FALSE)-VLOOKUP($A42,DATA!$A$3:$F$301,2,FALSE))^2+(VLOOKUP(BT$1,DATA!$A$3:$F$301,3,FALSE)-VLOOKUP($A42,DATA!$A$3:$F$301,3,FALSE))^2),"")</f>
        <v/>
      </c>
      <c r="BU42" s="14" t="str">
        <f>_xlfn.IFNA(SQRT((VLOOKUP(BU$1,DATA!$A$3:$F$301,2,FALSE)-VLOOKUP($A42,DATA!$A$3:$F$301,2,FALSE))^2+(VLOOKUP(BU$1,DATA!$A$3:$F$301,3,FALSE)-VLOOKUP($A42,DATA!$A$3:$F$301,3,FALSE))^2),"")</f>
        <v/>
      </c>
      <c r="BV42" s="14" t="str">
        <f>_xlfn.IFNA(SQRT((VLOOKUP(BV$1,DATA!$A$3:$F$301,2,FALSE)-VLOOKUP($A42,DATA!$A$3:$F$301,2,FALSE))^2+(VLOOKUP(BV$1,DATA!$A$3:$F$301,3,FALSE)-VLOOKUP($A42,DATA!$A$3:$F$301,3,FALSE))^2),"")</f>
        <v/>
      </c>
      <c r="BW42" s="14" t="str">
        <f>_xlfn.IFNA(SQRT((VLOOKUP(BW$1,DATA!$A$3:$F$301,2,FALSE)-VLOOKUP($A42,DATA!$A$3:$F$301,2,FALSE))^2+(VLOOKUP(BW$1,DATA!$A$3:$F$301,3,FALSE)-VLOOKUP($A42,DATA!$A$3:$F$301,3,FALSE))^2),"")</f>
        <v/>
      </c>
      <c r="BX42" s="14" t="str">
        <f>_xlfn.IFNA(SQRT((VLOOKUP(BX$1,DATA!$A$3:$F$301,2,FALSE)-VLOOKUP($A42,DATA!$A$3:$F$301,2,FALSE))^2+(VLOOKUP(BX$1,DATA!$A$3:$F$301,3,FALSE)-VLOOKUP($A42,DATA!$A$3:$F$301,3,FALSE))^2),"")</f>
        <v/>
      </c>
      <c r="BY42" s="14" t="str">
        <f>_xlfn.IFNA(SQRT((VLOOKUP(BY$1,DATA!$A$3:$F$301,2,FALSE)-VLOOKUP($A42,DATA!$A$3:$F$301,2,FALSE))^2+(VLOOKUP(BY$1,DATA!$A$3:$F$301,3,FALSE)-VLOOKUP($A42,DATA!$A$3:$F$301,3,FALSE))^2),"")</f>
        <v/>
      </c>
      <c r="BZ42" s="14" t="str">
        <f>_xlfn.IFNA(SQRT((VLOOKUP(BZ$1,DATA!$A$3:$F$301,2,FALSE)-VLOOKUP($A42,DATA!$A$3:$F$301,2,FALSE))^2+(VLOOKUP(BZ$1,DATA!$A$3:$F$301,3,FALSE)-VLOOKUP($A42,DATA!$A$3:$F$301,3,FALSE))^2),"")</f>
        <v/>
      </c>
      <c r="CA42" s="14" t="str">
        <f>_xlfn.IFNA(SQRT((VLOOKUP(CA$1,DATA!$A$3:$F$301,2,FALSE)-VLOOKUP($A42,DATA!$A$3:$F$301,2,FALSE))^2+(VLOOKUP(CA$1,DATA!$A$3:$F$301,3,FALSE)-VLOOKUP($A42,DATA!$A$3:$F$301,3,FALSE))^2),"")</f>
        <v/>
      </c>
      <c r="CB42" s="14" t="str">
        <f>_xlfn.IFNA(SQRT((VLOOKUP(CB$1,DATA!$A$3:$F$301,2,FALSE)-VLOOKUP($A42,DATA!$A$3:$F$301,2,FALSE))^2+(VLOOKUP(CB$1,DATA!$A$3:$F$301,3,FALSE)-VLOOKUP($A42,DATA!$A$3:$F$301,3,FALSE))^2),"")</f>
        <v/>
      </c>
      <c r="CC42" s="14" t="str">
        <f>_xlfn.IFNA(SQRT((VLOOKUP(CC$1,DATA!$A$3:$F$301,2,FALSE)-VLOOKUP($A42,DATA!$A$3:$F$301,2,FALSE))^2+(VLOOKUP(CC$1,DATA!$A$3:$F$301,3,FALSE)-VLOOKUP($A42,DATA!$A$3:$F$301,3,FALSE))^2),"")</f>
        <v/>
      </c>
      <c r="CD42" s="14" t="str">
        <f>_xlfn.IFNA(SQRT((VLOOKUP(CD$1,DATA!$A$3:$F$301,2,FALSE)-VLOOKUP($A42,DATA!$A$3:$F$301,2,FALSE))^2+(VLOOKUP(CD$1,DATA!$A$3:$F$301,3,FALSE)-VLOOKUP($A42,DATA!$A$3:$F$301,3,FALSE))^2),"")</f>
        <v/>
      </c>
      <c r="CE42" s="14" t="str">
        <f>_xlfn.IFNA(SQRT((VLOOKUP(CE$1,DATA!$A$3:$F$301,2,FALSE)-VLOOKUP($A42,DATA!$A$3:$F$301,2,FALSE))^2+(VLOOKUP(CE$1,DATA!$A$3:$F$301,3,FALSE)-VLOOKUP($A42,DATA!$A$3:$F$301,3,FALSE))^2),"")</f>
        <v/>
      </c>
      <c r="CF42" s="14" t="str">
        <f>_xlfn.IFNA(SQRT((VLOOKUP(CF$1,DATA!$A$3:$F$301,2,FALSE)-VLOOKUP($A42,DATA!$A$3:$F$301,2,FALSE))^2+(VLOOKUP(CF$1,DATA!$A$3:$F$301,3,FALSE)-VLOOKUP($A42,DATA!$A$3:$F$301,3,FALSE))^2),"")</f>
        <v/>
      </c>
      <c r="CG42" s="14" t="str">
        <f>_xlfn.IFNA(SQRT((VLOOKUP(CG$1,DATA!$A$3:$F$301,2,FALSE)-VLOOKUP($A42,DATA!$A$3:$F$301,2,FALSE))^2+(VLOOKUP(CG$1,DATA!$A$3:$F$301,3,FALSE)-VLOOKUP($A42,DATA!$A$3:$F$301,3,FALSE))^2),"")</f>
        <v/>
      </c>
      <c r="CH42" s="14" t="str">
        <f>_xlfn.IFNA(SQRT((VLOOKUP(CH$1,DATA!$A$3:$F$301,2,FALSE)-VLOOKUP($A42,DATA!$A$3:$F$301,2,FALSE))^2+(VLOOKUP(CH$1,DATA!$A$3:$F$301,3,FALSE)-VLOOKUP($A42,DATA!$A$3:$F$301,3,FALSE))^2),"")</f>
        <v/>
      </c>
      <c r="CI42" s="14" t="str">
        <f>_xlfn.IFNA(SQRT((VLOOKUP(CI$1,DATA!$A$3:$F$301,2,FALSE)-VLOOKUP($A42,DATA!$A$3:$F$301,2,FALSE))^2+(VLOOKUP(CI$1,DATA!$A$3:$F$301,3,FALSE)-VLOOKUP($A42,DATA!$A$3:$F$301,3,FALSE))^2),"")</f>
        <v/>
      </c>
      <c r="CJ42" s="14" t="str">
        <f>_xlfn.IFNA(SQRT((VLOOKUP(CJ$1,DATA!$A$3:$F$301,2,FALSE)-VLOOKUP($A42,DATA!$A$3:$F$301,2,FALSE))^2+(VLOOKUP(CJ$1,DATA!$A$3:$F$301,3,FALSE)-VLOOKUP($A42,DATA!$A$3:$F$301,3,FALSE))^2),"")</f>
        <v/>
      </c>
      <c r="CK42" s="14" t="str">
        <f>_xlfn.IFNA(SQRT((VLOOKUP(CK$1,DATA!$A$3:$F$301,2,FALSE)-VLOOKUP($A42,DATA!$A$3:$F$301,2,FALSE))^2+(VLOOKUP(CK$1,DATA!$A$3:$F$301,3,FALSE)-VLOOKUP($A42,DATA!$A$3:$F$301,3,FALSE))^2),"")</f>
        <v/>
      </c>
      <c r="CL42" s="14" t="str">
        <f>_xlfn.IFNA(SQRT((VLOOKUP(CL$1,DATA!$A$3:$F$301,2,FALSE)-VLOOKUP($A42,DATA!$A$3:$F$301,2,FALSE))^2+(VLOOKUP(CL$1,DATA!$A$3:$F$301,3,FALSE)-VLOOKUP($A42,DATA!$A$3:$F$301,3,FALSE))^2),"")</f>
        <v/>
      </c>
      <c r="CM42" s="14" t="str">
        <f>_xlfn.IFNA(SQRT((VLOOKUP(CM$1,DATA!$A$3:$F$301,2,FALSE)-VLOOKUP($A42,DATA!$A$3:$F$301,2,FALSE))^2+(VLOOKUP(CM$1,DATA!$A$3:$F$301,3,FALSE)-VLOOKUP($A42,DATA!$A$3:$F$301,3,FALSE))^2),"")</f>
        <v/>
      </c>
      <c r="CN42" s="14" t="str">
        <f>_xlfn.IFNA(SQRT((VLOOKUP(CN$1,DATA!$A$3:$F$301,2,FALSE)-VLOOKUP($A42,DATA!$A$3:$F$301,2,FALSE))^2+(VLOOKUP(CN$1,DATA!$A$3:$F$301,3,FALSE)-VLOOKUP($A42,DATA!$A$3:$F$301,3,FALSE))^2),"")</f>
        <v/>
      </c>
      <c r="CO42" s="14" t="str">
        <f>_xlfn.IFNA(SQRT((VLOOKUP(CO$1,DATA!$A$3:$F$301,2,FALSE)-VLOOKUP($A42,DATA!$A$3:$F$301,2,FALSE))^2+(VLOOKUP(CO$1,DATA!$A$3:$F$301,3,FALSE)-VLOOKUP($A42,DATA!$A$3:$F$301,3,FALSE))^2),"")</f>
        <v/>
      </c>
      <c r="CP42" s="14" t="str">
        <f>_xlfn.IFNA(SQRT((VLOOKUP(CP$1,DATA!$A$3:$F$301,2,FALSE)-VLOOKUP($A42,DATA!$A$3:$F$301,2,FALSE))^2+(VLOOKUP(CP$1,DATA!$A$3:$F$301,3,FALSE)-VLOOKUP($A42,DATA!$A$3:$F$301,3,FALSE))^2),"")</f>
        <v/>
      </c>
      <c r="CQ42" s="14" t="str">
        <f>_xlfn.IFNA(SQRT((VLOOKUP(CQ$1,DATA!$A$3:$F$301,2,FALSE)-VLOOKUP($A42,DATA!$A$3:$F$301,2,FALSE))^2+(VLOOKUP(CQ$1,DATA!$A$3:$F$301,3,FALSE)-VLOOKUP($A42,DATA!$A$3:$F$301,3,FALSE))^2),"")</f>
        <v/>
      </c>
      <c r="CR42" s="14" t="str">
        <f>_xlfn.IFNA(SQRT((VLOOKUP(CR$1,DATA!$A$3:$F$301,2,FALSE)-VLOOKUP($A42,DATA!$A$3:$F$301,2,FALSE))^2+(VLOOKUP(CR$1,DATA!$A$3:$F$301,3,FALSE)-VLOOKUP($A42,DATA!$A$3:$F$301,3,FALSE))^2),"")</f>
        <v/>
      </c>
      <c r="CS42" s="14" t="str">
        <f>_xlfn.IFNA(SQRT((VLOOKUP(CS$1,DATA!$A$3:$F$301,2,FALSE)-VLOOKUP($A42,DATA!$A$3:$F$301,2,FALSE))^2+(VLOOKUP(CS$1,DATA!$A$3:$F$301,3,FALSE)-VLOOKUP($A42,DATA!$A$3:$F$301,3,FALSE))^2),"")</f>
        <v/>
      </c>
      <c r="CT42" s="14" t="str">
        <f>_xlfn.IFNA(SQRT((VLOOKUP(CT$1,DATA!$A$3:$F$301,2,FALSE)-VLOOKUP($A42,DATA!$A$3:$F$301,2,FALSE))^2+(VLOOKUP(CT$1,DATA!$A$3:$F$301,3,FALSE)-VLOOKUP($A42,DATA!$A$3:$F$301,3,FALSE))^2),"")</f>
        <v/>
      </c>
      <c r="CU42" s="14" t="str">
        <f>_xlfn.IFNA(SQRT((VLOOKUP(CU$1,DATA!$A$3:$F$301,2,FALSE)-VLOOKUP($A42,DATA!$A$3:$F$301,2,FALSE))^2+(VLOOKUP(CU$1,DATA!$A$3:$F$301,3,FALSE)-VLOOKUP($A42,DATA!$A$3:$F$301,3,FALSE))^2),"")</f>
        <v/>
      </c>
      <c r="CV42" s="14" t="str">
        <f>_xlfn.IFNA(SQRT((VLOOKUP(CV$1,DATA!$A$3:$F$301,2,FALSE)-VLOOKUP($A42,DATA!$A$3:$F$301,2,FALSE))^2+(VLOOKUP(CV$1,DATA!$A$3:$F$301,3,FALSE)-VLOOKUP($A42,DATA!$A$3:$F$301,3,FALSE))^2),"")</f>
        <v/>
      </c>
      <c r="CW42" s="14" t="str">
        <f>_xlfn.IFNA(SQRT((VLOOKUP(CW$1,DATA!$A$3:$F$301,2,FALSE)-VLOOKUP($A42,DATA!$A$3:$F$301,2,FALSE))^2+(VLOOKUP(CW$1,DATA!$A$3:$F$301,3,FALSE)-VLOOKUP($A42,DATA!$A$3:$F$301,3,FALSE))^2),"")</f>
        <v/>
      </c>
      <c r="CX42" s="14" t="str">
        <f>_xlfn.IFNA(SQRT((VLOOKUP(CX$1,DATA!$A$3:$F$301,2,FALSE)-VLOOKUP($A42,DATA!$A$3:$F$301,2,FALSE))^2+(VLOOKUP(CX$1,DATA!$A$3:$F$301,3,FALSE)-VLOOKUP($A42,DATA!$A$3:$F$301,3,FALSE))^2),"")</f>
        <v/>
      </c>
    </row>
    <row r="43" spans="1:102">
      <c r="A43" s="13">
        <v>42</v>
      </c>
      <c r="B43" s="14" t="str">
        <f>_xlfn.IFNA(SQRT((VLOOKUP(B$1,DATA!$A$3:$F$301,2,FALSE)-VLOOKUP($A43,DATA!$A$3:$F$301,2,FALSE))^2+(VLOOKUP(B$1,DATA!$A$3:$F$301,3,FALSE)-VLOOKUP($A43,DATA!$A$3:$F$301,3,FALSE))^2),"")</f>
        <v/>
      </c>
      <c r="C43" s="14" t="str">
        <f>_xlfn.IFNA(SQRT((VLOOKUP(C$1,DATA!$A$3:$F$301,2,FALSE)-VLOOKUP($A43,DATA!$A$3:$F$301,2,FALSE))^2+(VLOOKUP(C$1,DATA!$A$3:$F$301,3,FALSE)-VLOOKUP($A43,DATA!$A$3:$F$301,3,FALSE))^2),"")</f>
        <v/>
      </c>
      <c r="D43" s="14" t="str">
        <f>_xlfn.IFNA(SQRT((VLOOKUP(D$1,DATA!$A$3:$F$301,2,FALSE)-VLOOKUP($A43,DATA!$A$3:$F$301,2,FALSE))^2+(VLOOKUP(D$1,DATA!$A$3:$F$301,3,FALSE)-VLOOKUP($A43,DATA!$A$3:$F$301,3,FALSE))^2),"")</f>
        <v/>
      </c>
      <c r="E43" s="14" t="str">
        <f>_xlfn.IFNA(SQRT((VLOOKUP(E$1,DATA!$A$3:$F$301,2,FALSE)-VLOOKUP($A43,DATA!$A$3:$F$301,2,FALSE))^2+(VLOOKUP(E$1,DATA!$A$3:$F$301,3,FALSE)-VLOOKUP($A43,DATA!$A$3:$F$301,3,FALSE))^2),"")</f>
        <v/>
      </c>
      <c r="F43" s="14" t="str">
        <f>_xlfn.IFNA(SQRT((VLOOKUP(F$1,DATA!$A$3:$F$301,2,FALSE)-VLOOKUP($A43,DATA!$A$3:$F$301,2,FALSE))^2+(VLOOKUP(F$1,DATA!$A$3:$F$301,3,FALSE)-VLOOKUP($A43,DATA!$A$3:$F$301,3,FALSE))^2),"")</f>
        <v/>
      </c>
      <c r="G43" s="14" t="str">
        <f>_xlfn.IFNA(SQRT((VLOOKUP(G$1,DATA!$A$3:$F$301,2,FALSE)-VLOOKUP($A43,DATA!$A$3:$F$301,2,FALSE))^2+(VLOOKUP(G$1,DATA!$A$3:$F$301,3,FALSE)-VLOOKUP($A43,DATA!$A$3:$F$301,3,FALSE))^2),"")</f>
        <v/>
      </c>
      <c r="H43" s="14" t="str">
        <f>_xlfn.IFNA(SQRT((VLOOKUP(H$1,DATA!$A$3:$F$301,2,FALSE)-VLOOKUP($A43,DATA!$A$3:$F$301,2,FALSE))^2+(VLOOKUP(H$1,DATA!$A$3:$F$301,3,FALSE)-VLOOKUP($A43,DATA!$A$3:$F$301,3,FALSE))^2),"")</f>
        <v/>
      </c>
      <c r="I43" s="14" t="str">
        <f>_xlfn.IFNA(SQRT((VLOOKUP(I$1,DATA!$A$3:$F$301,2,FALSE)-VLOOKUP($A43,DATA!$A$3:$F$301,2,FALSE))^2+(VLOOKUP(I$1,DATA!$A$3:$F$301,3,FALSE)-VLOOKUP($A43,DATA!$A$3:$F$301,3,FALSE))^2),"")</f>
        <v/>
      </c>
      <c r="J43" s="14" t="str">
        <f>_xlfn.IFNA(SQRT((VLOOKUP(J$1,DATA!$A$3:$F$301,2,FALSE)-VLOOKUP($A43,DATA!$A$3:$F$301,2,FALSE))^2+(VLOOKUP(J$1,DATA!$A$3:$F$301,3,FALSE)-VLOOKUP($A43,DATA!$A$3:$F$301,3,FALSE))^2),"")</f>
        <v/>
      </c>
      <c r="K43" s="14" t="str">
        <f>_xlfn.IFNA(SQRT((VLOOKUP(K$1,DATA!$A$3:$F$301,2,FALSE)-VLOOKUP($A43,DATA!$A$3:$F$301,2,FALSE))^2+(VLOOKUP(K$1,DATA!$A$3:$F$301,3,FALSE)-VLOOKUP($A43,DATA!$A$3:$F$301,3,FALSE))^2),"")</f>
        <v/>
      </c>
      <c r="L43" s="14" t="str">
        <f>_xlfn.IFNA(SQRT((VLOOKUP(L$1,DATA!$A$3:$F$301,2,FALSE)-VLOOKUP($A43,DATA!$A$3:$F$301,2,FALSE))^2+(VLOOKUP(L$1,DATA!$A$3:$F$301,3,FALSE)-VLOOKUP($A43,DATA!$A$3:$F$301,3,FALSE))^2),"")</f>
        <v/>
      </c>
      <c r="M43" s="14" t="str">
        <f>_xlfn.IFNA(SQRT((VLOOKUP(M$1,DATA!$A$3:$F$301,2,FALSE)-VLOOKUP($A43,DATA!$A$3:$F$301,2,FALSE))^2+(VLOOKUP(M$1,DATA!$A$3:$F$301,3,FALSE)-VLOOKUP($A43,DATA!$A$3:$F$301,3,FALSE))^2),"")</f>
        <v/>
      </c>
      <c r="N43" s="14" t="str">
        <f>_xlfn.IFNA(SQRT((VLOOKUP(N$1,DATA!$A$3:$F$301,2,FALSE)-VLOOKUP($A43,DATA!$A$3:$F$301,2,FALSE))^2+(VLOOKUP(N$1,DATA!$A$3:$F$301,3,FALSE)-VLOOKUP($A43,DATA!$A$3:$F$301,3,FALSE))^2),"")</f>
        <v/>
      </c>
      <c r="O43" s="14" t="str">
        <f>_xlfn.IFNA(SQRT((VLOOKUP(O$1,DATA!$A$3:$F$301,2,FALSE)-VLOOKUP($A43,DATA!$A$3:$F$301,2,FALSE))^2+(VLOOKUP(O$1,DATA!$A$3:$F$301,3,FALSE)-VLOOKUP($A43,DATA!$A$3:$F$301,3,FALSE))^2),"")</f>
        <v/>
      </c>
      <c r="P43" s="14" t="str">
        <f>_xlfn.IFNA(SQRT((VLOOKUP(P$1,DATA!$A$3:$F$301,2,FALSE)-VLOOKUP($A43,DATA!$A$3:$F$301,2,FALSE))^2+(VLOOKUP(P$1,DATA!$A$3:$F$301,3,FALSE)-VLOOKUP($A43,DATA!$A$3:$F$301,3,FALSE))^2),"")</f>
        <v/>
      </c>
      <c r="Q43" s="14" t="str">
        <f>_xlfn.IFNA(SQRT((VLOOKUP(Q$1,DATA!$A$3:$F$301,2,FALSE)-VLOOKUP($A43,DATA!$A$3:$F$301,2,FALSE))^2+(VLOOKUP(Q$1,DATA!$A$3:$F$301,3,FALSE)-VLOOKUP($A43,DATA!$A$3:$F$301,3,FALSE))^2),"")</f>
        <v/>
      </c>
      <c r="R43" s="14" t="str">
        <f>_xlfn.IFNA(SQRT((VLOOKUP(R$1,DATA!$A$3:$F$301,2,FALSE)-VLOOKUP($A43,DATA!$A$3:$F$301,2,FALSE))^2+(VLOOKUP(R$1,DATA!$A$3:$F$301,3,FALSE)-VLOOKUP($A43,DATA!$A$3:$F$301,3,FALSE))^2),"")</f>
        <v/>
      </c>
      <c r="S43" s="14" t="str">
        <f>_xlfn.IFNA(SQRT((VLOOKUP(S$1,DATA!$A$3:$F$301,2,FALSE)-VLOOKUP($A43,DATA!$A$3:$F$301,2,FALSE))^2+(VLOOKUP(S$1,DATA!$A$3:$F$301,3,FALSE)-VLOOKUP($A43,DATA!$A$3:$F$301,3,FALSE))^2),"")</f>
        <v/>
      </c>
      <c r="T43" s="14" t="str">
        <f>_xlfn.IFNA(SQRT((VLOOKUP(T$1,DATA!$A$3:$F$301,2,FALSE)-VLOOKUP($A43,DATA!$A$3:$F$301,2,FALSE))^2+(VLOOKUP(T$1,DATA!$A$3:$F$301,3,FALSE)-VLOOKUP($A43,DATA!$A$3:$F$301,3,FALSE))^2),"")</f>
        <v/>
      </c>
      <c r="U43" s="14" t="str">
        <f>_xlfn.IFNA(SQRT((VLOOKUP(U$1,DATA!$A$3:$F$301,2,FALSE)-VLOOKUP($A43,DATA!$A$3:$F$301,2,FALSE))^2+(VLOOKUP(U$1,DATA!$A$3:$F$301,3,FALSE)-VLOOKUP($A43,DATA!$A$3:$F$301,3,FALSE))^2),"")</f>
        <v/>
      </c>
      <c r="V43" s="14" t="str">
        <f>_xlfn.IFNA(SQRT((VLOOKUP(V$1,DATA!$A$3:$F$301,2,FALSE)-VLOOKUP($A43,DATA!$A$3:$F$301,2,FALSE))^2+(VLOOKUP(V$1,DATA!$A$3:$F$301,3,FALSE)-VLOOKUP($A43,DATA!$A$3:$F$301,3,FALSE))^2),"")</f>
        <v/>
      </c>
      <c r="W43" s="14" t="str">
        <f>_xlfn.IFNA(SQRT((VLOOKUP(W$1,DATA!$A$3:$F$301,2,FALSE)-VLOOKUP($A43,DATA!$A$3:$F$301,2,FALSE))^2+(VLOOKUP(W$1,DATA!$A$3:$F$301,3,FALSE)-VLOOKUP($A43,DATA!$A$3:$F$301,3,FALSE))^2),"")</f>
        <v/>
      </c>
      <c r="X43" s="14" t="str">
        <f>_xlfn.IFNA(SQRT((VLOOKUP(X$1,DATA!$A$3:$F$301,2,FALSE)-VLOOKUP($A43,DATA!$A$3:$F$301,2,FALSE))^2+(VLOOKUP(X$1,DATA!$A$3:$F$301,3,FALSE)-VLOOKUP($A43,DATA!$A$3:$F$301,3,FALSE))^2),"")</f>
        <v/>
      </c>
      <c r="Y43" s="14" t="str">
        <f>_xlfn.IFNA(SQRT((VLOOKUP(Y$1,DATA!$A$3:$F$301,2,FALSE)-VLOOKUP($A43,DATA!$A$3:$F$301,2,FALSE))^2+(VLOOKUP(Y$1,DATA!$A$3:$F$301,3,FALSE)-VLOOKUP($A43,DATA!$A$3:$F$301,3,FALSE))^2),"")</f>
        <v/>
      </c>
      <c r="Z43" s="14" t="str">
        <f>_xlfn.IFNA(SQRT((VLOOKUP(Z$1,DATA!$A$3:$F$301,2,FALSE)-VLOOKUP($A43,DATA!$A$3:$F$301,2,FALSE))^2+(VLOOKUP(Z$1,DATA!$A$3:$F$301,3,FALSE)-VLOOKUP($A43,DATA!$A$3:$F$301,3,FALSE))^2),"")</f>
        <v/>
      </c>
      <c r="AA43" s="14" t="str">
        <f>_xlfn.IFNA(SQRT((VLOOKUP(AA$1,DATA!$A$3:$F$301,2,FALSE)-VLOOKUP($A43,DATA!$A$3:$F$301,2,FALSE))^2+(VLOOKUP(AA$1,DATA!$A$3:$F$301,3,FALSE)-VLOOKUP($A43,DATA!$A$3:$F$301,3,FALSE))^2),"")</f>
        <v/>
      </c>
      <c r="AB43" s="14" t="str">
        <f>_xlfn.IFNA(SQRT((VLOOKUP(AB$1,DATA!$A$3:$F$301,2,FALSE)-VLOOKUP($A43,DATA!$A$3:$F$301,2,FALSE))^2+(VLOOKUP(AB$1,DATA!$A$3:$F$301,3,FALSE)-VLOOKUP($A43,DATA!$A$3:$F$301,3,FALSE))^2),"")</f>
        <v/>
      </c>
      <c r="AC43" s="14" t="str">
        <f>_xlfn.IFNA(SQRT((VLOOKUP(AC$1,DATA!$A$3:$F$301,2,FALSE)-VLOOKUP($A43,DATA!$A$3:$F$301,2,FALSE))^2+(VLOOKUP(AC$1,DATA!$A$3:$F$301,3,FALSE)-VLOOKUP($A43,DATA!$A$3:$F$301,3,FALSE))^2),"")</f>
        <v/>
      </c>
      <c r="AD43" s="14" t="str">
        <f>_xlfn.IFNA(SQRT((VLOOKUP(AD$1,DATA!$A$3:$F$301,2,FALSE)-VLOOKUP($A43,DATA!$A$3:$F$301,2,FALSE))^2+(VLOOKUP(AD$1,DATA!$A$3:$F$301,3,FALSE)-VLOOKUP($A43,DATA!$A$3:$F$301,3,FALSE))^2),"")</f>
        <v/>
      </c>
      <c r="AE43" s="14" t="str">
        <f>_xlfn.IFNA(SQRT((VLOOKUP(AE$1,DATA!$A$3:$F$301,2,FALSE)-VLOOKUP($A43,DATA!$A$3:$F$301,2,FALSE))^2+(VLOOKUP(AE$1,DATA!$A$3:$F$301,3,FALSE)-VLOOKUP($A43,DATA!$A$3:$F$301,3,FALSE))^2),"")</f>
        <v/>
      </c>
      <c r="AF43" s="14" t="str">
        <f>_xlfn.IFNA(SQRT((VLOOKUP(AF$1,DATA!$A$3:$F$301,2,FALSE)-VLOOKUP($A43,DATA!$A$3:$F$301,2,FALSE))^2+(VLOOKUP(AF$1,DATA!$A$3:$F$301,3,FALSE)-VLOOKUP($A43,DATA!$A$3:$F$301,3,FALSE))^2),"")</f>
        <v/>
      </c>
      <c r="AG43" s="14" t="str">
        <f>_xlfn.IFNA(SQRT((VLOOKUP(AG$1,DATA!$A$3:$F$301,2,FALSE)-VLOOKUP($A43,DATA!$A$3:$F$301,2,FALSE))^2+(VLOOKUP(AG$1,DATA!$A$3:$F$301,3,FALSE)-VLOOKUP($A43,DATA!$A$3:$F$301,3,FALSE))^2),"")</f>
        <v/>
      </c>
      <c r="AH43" s="14" t="str">
        <f>_xlfn.IFNA(SQRT((VLOOKUP(AH$1,DATA!$A$3:$F$301,2,FALSE)-VLOOKUP($A43,DATA!$A$3:$F$301,2,FALSE))^2+(VLOOKUP(AH$1,DATA!$A$3:$F$301,3,FALSE)-VLOOKUP($A43,DATA!$A$3:$F$301,3,FALSE))^2),"")</f>
        <v/>
      </c>
      <c r="AI43" s="14" t="str">
        <f>_xlfn.IFNA(SQRT((VLOOKUP(AI$1,DATA!$A$3:$F$301,2,FALSE)-VLOOKUP($A43,DATA!$A$3:$F$301,2,FALSE))^2+(VLOOKUP(AI$1,DATA!$A$3:$F$301,3,FALSE)-VLOOKUP($A43,DATA!$A$3:$F$301,3,FALSE))^2),"")</f>
        <v/>
      </c>
      <c r="AJ43" s="14" t="str">
        <f>_xlfn.IFNA(SQRT((VLOOKUP(AJ$1,DATA!$A$3:$F$301,2,FALSE)-VLOOKUP($A43,DATA!$A$3:$F$301,2,FALSE))^2+(VLOOKUP(AJ$1,DATA!$A$3:$F$301,3,FALSE)-VLOOKUP($A43,DATA!$A$3:$F$301,3,FALSE))^2),"")</f>
        <v/>
      </c>
      <c r="AK43" s="14" t="str">
        <f>_xlfn.IFNA(SQRT((VLOOKUP(AK$1,DATA!$A$3:$F$301,2,FALSE)-VLOOKUP($A43,DATA!$A$3:$F$301,2,FALSE))^2+(VLOOKUP(AK$1,DATA!$A$3:$F$301,3,FALSE)-VLOOKUP($A43,DATA!$A$3:$F$301,3,FALSE))^2),"")</f>
        <v/>
      </c>
      <c r="AL43" s="14" t="str">
        <f>_xlfn.IFNA(SQRT((VLOOKUP(AL$1,DATA!$A$3:$F$301,2,FALSE)-VLOOKUP($A43,DATA!$A$3:$F$301,2,FALSE))^2+(VLOOKUP(AL$1,DATA!$A$3:$F$301,3,FALSE)-VLOOKUP($A43,DATA!$A$3:$F$301,3,FALSE))^2),"")</f>
        <v/>
      </c>
      <c r="AM43" s="14" t="str">
        <f>_xlfn.IFNA(SQRT((VLOOKUP(AM$1,DATA!$A$3:$F$301,2,FALSE)-VLOOKUP($A43,DATA!$A$3:$F$301,2,FALSE))^2+(VLOOKUP(AM$1,DATA!$A$3:$F$301,3,FALSE)-VLOOKUP($A43,DATA!$A$3:$F$301,3,FALSE))^2),"")</f>
        <v/>
      </c>
      <c r="AN43" s="14" t="str">
        <f>_xlfn.IFNA(SQRT((VLOOKUP(AN$1,DATA!$A$3:$F$301,2,FALSE)-VLOOKUP($A43,DATA!$A$3:$F$301,2,FALSE))^2+(VLOOKUP(AN$1,DATA!$A$3:$F$301,3,FALSE)-VLOOKUP($A43,DATA!$A$3:$F$301,3,FALSE))^2),"")</f>
        <v/>
      </c>
      <c r="AO43" s="14" t="str">
        <f>_xlfn.IFNA(SQRT((VLOOKUP(AO$1,DATA!$A$3:$F$301,2,FALSE)-VLOOKUP($A43,DATA!$A$3:$F$301,2,FALSE))^2+(VLOOKUP(AO$1,DATA!$A$3:$F$301,3,FALSE)-VLOOKUP($A43,DATA!$A$3:$F$301,3,FALSE))^2),"")</f>
        <v/>
      </c>
      <c r="AP43" s="14" t="str">
        <f>_xlfn.IFNA(SQRT((VLOOKUP(AP$1,DATA!$A$3:$F$301,2,FALSE)-VLOOKUP($A43,DATA!$A$3:$F$301,2,FALSE))^2+(VLOOKUP(AP$1,DATA!$A$3:$F$301,3,FALSE)-VLOOKUP($A43,DATA!$A$3:$F$301,3,FALSE))^2),"")</f>
        <v/>
      </c>
      <c r="AQ43" s="14" t="str">
        <f>_xlfn.IFNA(SQRT((VLOOKUP(AQ$1,DATA!$A$3:$F$301,2,FALSE)-VLOOKUP($A43,DATA!$A$3:$F$301,2,FALSE))^2+(VLOOKUP(AQ$1,DATA!$A$3:$F$301,3,FALSE)-VLOOKUP($A43,DATA!$A$3:$F$301,3,FALSE))^2),"")</f>
        <v/>
      </c>
      <c r="AR43" s="14" t="str">
        <f>_xlfn.IFNA(SQRT((VLOOKUP(AR$1,DATA!$A$3:$F$301,2,FALSE)-VLOOKUP($A43,DATA!$A$3:$F$301,2,FALSE))^2+(VLOOKUP(AR$1,DATA!$A$3:$F$301,3,FALSE)-VLOOKUP($A43,DATA!$A$3:$F$301,3,FALSE))^2),"")</f>
        <v/>
      </c>
      <c r="AS43" s="14" t="str">
        <f>_xlfn.IFNA(SQRT((VLOOKUP(AS$1,DATA!$A$3:$F$301,2,FALSE)-VLOOKUP($A43,DATA!$A$3:$F$301,2,FALSE))^2+(VLOOKUP(AS$1,DATA!$A$3:$F$301,3,FALSE)-VLOOKUP($A43,DATA!$A$3:$F$301,3,FALSE))^2),"")</f>
        <v/>
      </c>
      <c r="AT43" s="14" t="str">
        <f>_xlfn.IFNA(SQRT((VLOOKUP(AT$1,DATA!$A$3:$F$301,2,FALSE)-VLOOKUP($A43,DATA!$A$3:$F$301,2,FALSE))^2+(VLOOKUP(AT$1,DATA!$A$3:$F$301,3,FALSE)-VLOOKUP($A43,DATA!$A$3:$F$301,3,FALSE))^2),"")</f>
        <v/>
      </c>
      <c r="AU43" s="14" t="str">
        <f>_xlfn.IFNA(SQRT((VLOOKUP(AU$1,DATA!$A$3:$F$301,2,FALSE)-VLOOKUP($A43,DATA!$A$3:$F$301,2,FALSE))^2+(VLOOKUP(AU$1,DATA!$A$3:$F$301,3,FALSE)-VLOOKUP($A43,DATA!$A$3:$F$301,3,FALSE))^2),"")</f>
        <v/>
      </c>
      <c r="AV43" s="14" t="str">
        <f>_xlfn.IFNA(SQRT((VLOOKUP(AV$1,DATA!$A$3:$F$301,2,FALSE)-VLOOKUP($A43,DATA!$A$3:$F$301,2,FALSE))^2+(VLOOKUP(AV$1,DATA!$A$3:$F$301,3,FALSE)-VLOOKUP($A43,DATA!$A$3:$F$301,3,FALSE))^2),"")</f>
        <v/>
      </c>
      <c r="AW43" s="14" t="str">
        <f>_xlfn.IFNA(SQRT((VLOOKUP(AW$1,DATA!$A$3:$F$301,2,FALSE)-VLOOKUP($A43,DATA!$A$3:$F$301,2,FALSE))^2+(VLOOKUP(AW$1,DATA!$A$3:$F$301,3,FALSE)-VLOOKUP($A43,DATA!$A$3:$F$301,3,FALSE))^2),"")</f>
        <v/>
      </c>
      <c r="AX43" s="14" t="str">
        <f>_xlfn.IFNA(SQRT((VLOOKUP(AX$1,DATA!$A$3:$F$301,2,FALSE)-VLOOKUP($A43,DATA!$A$3:$F$301,2,FALSE))^2+(VLOOKUP(AX$1,DATA!$A$3:$F$301,3,FALSE)-VLOOKUP($A43,DATA!$A$3:$F$301,3,FALSE))^2),"")</f>
        <v/>
      </c>
      <c r="AY43" s="14" t="str">
        <f>_xlfn.IFNA(SQRT((VLOOKUP(AY$1,DATA!$A$3:$F$301,2,FALSE)-VLOOKUP($A43,DATA!$A$3:$F$301,2,FALSE))^2+(VLOOKUP(AY$1,DATA!$A$3:$F$301,3,FALSE)-VLOOKUP($A43,DATA!$A$3:$F$301,3,FALSE))^2),"")</f>
        <v/>
      </c>
      <c r="AZ43" s="14" t="str">
        <f>_xlfn.IFNA(SQRT((VLOOKUP(AZ$1,DATA!$A$3:$F$301,2,FALSE)-VLOOKUP($A43,DATA!$A$3:$F$301,2,FALSE))^2+(VLOOKUP(AZ$1,DATA!$A$3:$F$301,3,FALSE)-VLOOKUP($A43,DATA!$A$3:$F$301,3,FALSE))^2),"")</f>
        <v/>
      </c>
      <c r="BA43" s="14" t="str">
        <f>_xlfn.IFNA(SQRT((VLOOKUP(BA$1,DATA!$A$3:$F$301,2,FALSE)-VLOOKUP($A43,DATA!$A$3:$F$301,2,FALSE))^2+(VLOOKUP(BA$1,DATA!$A$3:$F$301,3,FALSE)-VLOOKUP($A43,DATA!$A$3:$F$301,3,FALSE))^2),"")</f>
        <v/>
      </c>
      <c r="BB43" s="14" t="str">
        <f>_xlfn.IFNA(SQRT((VLOOKUP(BB$1,DATA!$A$3:$F$301,2,FALSE)-VLOOKUP($A43,DATA!$A$3:$F$301,2,FALSE))^2+(VLOOKUP(BB$1,DATA!$A$3:$F$301,3,FALSE)-VLOOKUP($A43,DATA!$A$3:$F$301,3,FALSE))^2),"")</f>
        <v/>
      </c>
      <c r="BC43" s="14" t="str">
        <f>_xlfn.IFNA(SQRT((VLOOKUP(BC$1,DATA!$A$3:$F$301,2,FALSE)-VLOOKUP($A43,DATA!$A$3:$F$301,2,FALSE))^2+(VLOOKUP(BC$1,DATA!$A$3:$F$301,3,FALSE)-VLOOKUP($A43,DATA!$A$3:$F$301,3,FALSE))^2),"")</f>
        <v/>
      </c>
      <c r="BD43" s="14" t="str">
        <f>_xlfn.IFNA(SQRT((VLOOKUP(BD$1,DATA!$A$3:$F$301,2,FALSE)-VLOOKUP($A43,DATA!$A$3:$F$301,2,FALSE))^2+(VLOOKUP(BD$1,DATA!$A$3:$F$301,3,FALSE)-VLOOKUP($A43,DATA!$A$3:$F$301,3,FALSE))^2),"")</f>
        <v/>
      </c>
      <c r="BE43" s="14" t="str">
        <f>_xlfn.IFNA(SQRT((VLOOKUP(BE$1,DATA!$A$3:$F$301,2,FALSE)-VLOOKUP($A43,DATA!$A$3:$F$301,2,FALSE))^2+(VLOOKUP(BE$1,DATA!$A$3:$F$301,3,FALSE)-VLOOKUP($A43,DATA!$A$3:$F$301,3,FALSE))^2),"")</f>
        <v/>
      </c>
      <c r="BF43" s="14" t="str">
        <f>_xlfn.IFNA(SQRT((VLOOKUP(BF$1,DATA!$A$3:$F$301,2,FALSE)-VLOOKUP($A43,DATA!$A$3:$F$301,2,FALSE))^2+(VLOOKUP(BF$1,DATA!$A$3:$F$301,3,FALSE)-VLOOKUP($A43,DATA!$A$3:$F$301,3,FALSE))^2),"")</f>
        <v/>
      </c>
      <c r="BG43" s="14" t="str">
        <f>_xlfn.IFNA(SQRT((VLOOKUP(BG$1,DATA!$A$3:$F$301,2,FALSE)-VLOOKUP($A43,DATA!$A$3:$F$301,2,FALSE))^2+(VLOOKUP(BG$1,DATA!$A$3:$F$301,3,FALSE)-VLOOKUP($A43,DATA!$A$3:$F$301,3,FALSE))^2),"")</f>
        <v/>
      </c>
      <c r="BH43" s="14" t="str">
        <f>_xlfn.IFNA(SQRT((VLOOKUP(BH$1,DATA!$A$3:$F$301,2,FALSE)-VLOOKUP($A43,DATA!$A$3:$F$301,2,FALSE))^2+(VLOOKUP(BH$1,DATA!$A$3:$F$301,3,FALSE)-VLOOKUP($A43,DATA!$A$3:$F$301,3,FALSE))^2),"")</f>
        <v/>
      </c>
      <c r="BI43" s="14" t="str">
        <f>_xlfn.IFNA(SQRT((VLOOKUP(BI$1,DATA!$A$3:$F$301,2,FALSE)-VLOOKUP($A43,DATA!$A$3:$F$301,2,FALSE))^2+(VLOOKUP(BI$1,DATA!$A$3:$F$301,3,FALSE)-VLOOKUP($A43,DATA!$A$3:$F$301,3,FALSE))^2),"")</f>
        <v/>
      </c>
      <c r="BJ43" s="14" t="str">
        <f>_xlfn.IFNA(SQRT((VLOOKUP(BJ$1,DATA!$A$3:$F$301,2,FALSE)-VLOOKUP($A43,DATA!$A$3:$F$301,2,FALSE))^2+(VLOOKUP(BJ$1,DATA!$A$3:$F$301,3,FALSE)-VLOOKUP($A43,DATA!$A$3:$F$301,3,FALSE))^2),"")</f>
        <v/>
      </c>
      <c r="BK43" s="14" t="str">
        <f>_xlfn.IFNA(SQRT((VLOOKUP(BK$1,DATA!$A$3:$F$301,2,FALSE)-VLOOKUP($A43,DATA!$A$3:$F$301,2,FALSE))^2+(VLOOKUP(BK$1,DATA!$A$3:$F$301,3,FALSE)-VLOOKUP($A43,DATA!$A$3:$F$301,3,FALSE))^2),"")</f>
        <v/>
      </c>
      <c r="BL43" s="14" t="str">
        <f>_xlfn.IFNA(SQRT((VLOOKUP(BL$1,DATA!$A$3:$F$301,2,FALSE)-VLOOKUP($A43,DATA!$A$3:$F$301,2,FALSE))^2+(VLOOKUP(BL$1,DATA!$A$3:$F$301,3,FALSE)-VLOOKUP($A43,DATA!$A$3:$F$301,3,FALSE))^2),"")</f>
        <v/>
      </c>
      <c r="BM43" s="14" t="str">
        <f>_xlfn.IFNA(SQRT((VLOOKUP(BM$1,DATA!$A$3:$F$301,2,FALSE)-VLOOKUP($A43,DATA!$A$3:$F$301,2,FALSE))^2+(VLOOKUP(BM$1,DATA!$A$3:$F$301,3,FALSE)-VLOOKUP($A43,DATA!$A$3:$F$301,3,FALSE))^2),"")</f>
        <v/>
      </c>
      <c r="BN43" s="14" t="str">
        <f>_xlfn.IFNA(SQRT((VLOOKUP(BN$1,DATA!$A$3:$F$301,2,FALSE)-VLOOKUP($A43,DATA!$A$3:$F$301,2,FALSE))^2+(VLOOKUP(BN$1,DATA!$A$3:$F$301,3,FALSE)-VLOOKUP($A43,DATA!$A$3:$F$301,3,FALSE))^2),"")</f>
        <v/>
      </c>
      <c r="BO43" s="14" t="str">
        <f>_xlfn.IFNA(SQRT((VLOOKUP(BO$1,DATA!$A$3:$F$301,2,FALSE)-VLOOKUP($A43,DATA!$A$3:$F$301,2,FALSE))^2+(VLOOKUP(BO$1,DATA!$A$3:$F$301,3,FALSE)-VLOOKUP($A43,DATA!$A$3:$F$301,3,FALSE))^2),"")</f>
        <v/>
      </c>
      <c r="BP43" s="14" t="str">
        <f>_xlfn.IFNA(SQRT((VLOOKUP(BP$1,DATA!$A$3:$F$301,2,FALSE)-VLOOKUP($A43,DATA!$A$3:$F$301,2,FALSE))^2+(VLOOKUP(BP$1,DATA!$A$3:$F$301,3,FALSE)-VLOOKUP($A43,DATA!$A$3:$F$301,3,FALSE))^2),"")</f>
        <v/>
      </c>
      <c r="BQ43" s="14" t="str">
        <f>_xlfn.IFNA(SQRT((VLOOKUP(BQ$1,DATA!$A$3:$F$301,2,FALSE)-VLOOKUP($A43,DATA!$A$3:$F$301,2,FALSE))^2+(VLOOKUP(BQ$1,DATA!$A$3:$F$301,3,FALSE)-VLOOKUP($A43,DATA!$A$3:$F$301,3,FALSE))^2),"")</f>
        <v/>
      </c>
      <c r="BR43" s="14" t="str">
        <f>_xlfn.IFNA(SQRT((VLOOKUP(BR$1,DATA!$A$3:$F$301,2,FALSE)-VLOOKUP($A43,DATA!$A$3:$F$301,2,FALSE))^2+(VLOOKUP(BR$1,DATA!$A$3:$F$301,3,FALSE)-VLOOKUP($A43,DATA!$A$3:$F$301,3,FALSE))^2),"")</f>
        <v/>
      </c>
      <c r="BS43" s="14" t="str">
        <f>_xlfn.IFNA(SQRT((VLOOKUP(BS$1,DATA!$A$3:$F$301,2,FALSE)-VLOOKUP($A43,DATA!$A$3:$F$301,2,FALSE))^2+(VLOOKUP(BS$1,DATA!$A$3:$F$301,3,FALSE)-VLOOKUP($A43,DATA!$A$3:$F$301,3,FALSE))^2),"")</f>
        <v/>
      </c>
      <c r="BT43" s="14" t="str">
        <f>_xlfn.IFNA(SQRT((VLOOKUP(BT$1,DATA!$A$3:$F$301,2,FALSE)-VLOOKUP($A43,DATA!$A$3:$F$301,2,FALSE))^2+(VLOOKUP(BT$1,DATA!$A$3:$F$301,3,FALSE)-VLOOKUP($A43,DATA!$A$3:$F$301,3,FALSE))^2),"")</f>
        <v/>
      </c>
      <c r="BU43" s="14" t="str">
        <f>_xlfn.IFNA(SQRT((VLOOKUP(BU$1,DATA!$A$3:$F$301,2,FALSE)-VLOOKUP($A43,DATA!$A$3:$F$301,2,FALSE))^2+(VLOOKUP(BU$1,DATA!$A$3:$F$301,3,FALSE)-VLOOKUP($A43,DATA!$A$3:$F$301,3,FALSE))^2),"")</f>
        <v/>
      </c>
      <c r="BV43" s="14" t="str">
        <f>_xlfn.IFNA(SQRT((VLOOKUP(BV$1,DATA!$A$3:$F$301,2,FALSE)-VLOOKUP($A43,DATA!$A$3:$F$301,2,FALSE))^2+(VLOOKUP(BV$1,DATA!$A$3:$F$301,3,FALSE)-VLOOKUP($A43,DATA!$A$3:$F$301,3,FALSE))^2),"")</f>
        <v/>
      </c>
      <c r="BW43" s="14" t="str">
        <f>_xlfn.IFNA(SQRT((VLOOKUP(BW$1,DATA!$A$3:$F$301,2,FALSE)-VLOOKUP($A43,DATA!$A$3:$F$301,2,FALSE))^2+(VLOOKUP(BW$1,DATA!$A$3:$F$301,3,FALSE)-VLOOKUP($A43,DATA!$A$3:$F$301,3,FALSE))^2),"")</f>
        <v/>
      </c>
      <c r="BX43" s="14" t="str">
        <f>_xlfn.IFNA(SQRT((VLOOKUP(BX$1,DATA!$A$3:$F$301,2,FALSE)-VLOOKUP($A43,DATA!$A$3:$F$301,2,FALSE))^2+(VLOOKUP(BX$1,DATA!$A$3:$F$301,3,FALSE)-VLOOKUP($A43,DATA!$A$3:$F$301,3,FALSE))^2),"")</f>
        <v/>
      </c>
      <c r="BY43" s="14" t="str">
        <f>_xlfn.IFNA(SQRT((VLOOKUP(BY$1,DATA!$A$3:$F$301,2,FALSE)-VLOOKUP($A43,DATA!$A$3:$F$301,2,FALSE))^2+(VLOOKUP(BY$1,DATA!$A$3:$F$301,3,FALSE)-VLOOKUP($A43,DATA!$A$3:$F$301,3,FALSE))^2),"")</f>
        <v/>
      </c>
      <c r="BZ43" s="14" t="str">
        <f>_xlfn.IFNA(SQRT((VLOOKUP(BZ$1,DATA!$A$3:$F$301,2,FALSE)-VLOOKUP($A43,DATA!$A$3:$F$301,2,FALSE))^2+(VLOOKUP(BZ$1,DATA!$A$3:$F$301,3,FALSE)-VLOOKUP($A43,DATA!$A$3:$F$301,3,FALSE))^2),"")</f>
        <v/>
      </c>
      <c r="CA43" s="14" t="str">
        <f>_xlfn.IFNA(SQRT((VLOOKUP(CA$1,DATA!$A$3:$F$301,2,FALSE)-VLOOKUP($A43,DATA!$A$3:$F$301,2,FALSE))^2+(VLOOKUP(CA$1,DATA!$A$3:$F$301,3,FALSE)-VLOOKUP($A43,DATA!$A$3:$F$301,3,FALSE))^2),"")</f>
        <v/>
      </c>
      <c r="CB43" s="14" t="str">
        <f>_xlfn.IFNA(SQRT((VLOOKUP(CB$1,DATA!$A$3:$F$301,2,FALSE)-VLOOKUP($A43,DATA!$A$3:$F$301,2,FALSE))^2+(VLOOKUP(CB$1,DATA!$A$3:$F$301,3,FALSE)-VLOOKUP($A43,DATA!$A$3:$F$301,3,FALSE))^2),"")</f>
        <v/>
      </c>
      <c r="CC43" s="14" t="str">
        <f>_xlfn.IFNA(SQRT((VLOOKUP(CC$1,DATA!$A$3:$F$301,2,FALSE)-VLOOKUP($A43,DATA!$A$3:$F$301,2,FALSE))^2+(VLOOKUP(CC$1,DATA!$A$3:$F$301,3,FALSE)-VLOOKUP($A43,DATA!$A$3:$F$301,3,FALSE))^2),"")</f>
        <v/>
      </c>
      <c r="CD43" s="14" t="str">
        <f>_xlfn.IFNA(SQRT((VLOOKUP(CD$1,DATA!$A$3:$F$301,2,FALSE)-VLOOKUP($A43,DATA!$A$3:$F$301,2,FALSE))^2+(VLOOKUP(CD$1,DATA!$A$3:$F$301,3,FALSE)-VLOOKUP($A43,DATA!$A$3:$F$301,3,FALSE))^2),"")</f>
        <v/>
      </c>
      <c r="CE43" s="14" t="str">
        <f>_xlfn.IFNA(SQRT((VLOOKUP(CE$1,DATA!$A$3:$F$301,2,FALSE)-VLOOKUP($A43,DATA!$A$3:$F$301,2,FALSE))^2+(VLOOKUP(CE$1,DATA!$A$3:$F$301,3,FALSE)-VLOOKUP($A43,DATA!$A$3:$F$301,3,FALSE))^2),"")</f>
        <v/>
      </c>
      <c r="CF43" s="14" t="str">
        <f>_xlfn.IFNA(SQRT((VLOOKUP(CF$1,DATA!$A$3:$F$301,2,FALSE)-VLOOKUP($A43,DATA!$A$3:$F$301,2,FALSE))^2+(VLOOKUP(CF$1,DATA!$A$3:$F$301,3,FALSE)-VLOOKUP($A43,DATA!$A$3:$F$301,3,FALSE))^2),"")</f>
        <v/>
      </c>
      <c r="CG43" s="14" t="str">
        <f>_xlfn.IFNA(SQRT((VLOOKUP(CG$1,DATA!$A$3:$F$301,2,FALSE)-VLOOKUP($A43,DATA!$A$3:$F$301,2,FALSE))^2+(VLOOKUP(CG$1,DATA!$A$3:$F$301,3,FALSE)-VLOOKUP($A43,DATA!$A$3:$F$301,3,FALSE))^2),"")</f>
        <v/>
      </c>
      <c r="CH43" s="14" t="str">
        <f>_xlfn.IFNA(SQRT((VLOOKUP(CH$1,DATA!$A$3:$F$301,2,FALSE)-VLOOKUP($A43,DATA!$A$3:$F$301,2,FALSE))^2+(VLOOKUP(CH$1,DATA!$A$3:$F$301,3,FALSE)-VLOOKUP($A43,DATA!$A$3:$F$301,3,FALSE))^2),"")</f>
        <v/>
      </c>
      <c r="CI43" s="14" t="str">
        <f>_xlfn.IFNA(SQRT((VLOOKUP(CI$1,DATA!$A$3:$F$301,2,FALSE)-VLOOKUP($A43,DATA!$A$3:$F$301,2,FALSE))^2+(VLOOKUP(CI$1,DATA!$A$3:$F$301,3,FALSE)-VLOOKUP($A43,DATA!$A$3:$F$301,3,FALSE))^2),"")</f>
        <v/>
      </c>
      <c r="CJ43" s="14" t="str">
        <f>_xlfn.IFNA(SQRT((VLOOKUP(CJ$1,DATA!$A$3:$F$301,2,FALSE)-VLOOKUP($A43,DATA!$A$3:$F$301,2,FALSE))^2+(VLOOKUP(CJ$1,DATA!$A$3:$F$301,3,FALSE)-VLOOKUP($A43,DATA!$A$3:$F$301,3,FALSE))^2),"")</f>
        <v/>
      </c>
      <c r="CK43" s="14" t="str">
        <f>_xlfn.IFNA(SQRT((VLOOKUP(CK$1,DATA!$A$3:$F$301,2,FALSE)-VLOOKUP($A43,DATA!$A$3:$F$301,2,FALSE))^2+(VLOOKUP(CK$1,DATA!$A$3:$F$301,3,FALSE)-VLOOKUP($A43,DATA!$A$3:$F$301,3,FALSE))^2),"")</f>
        <v/>
      </c>
      <c r="CL43" s="14" t="str">
        <f>_xlfn.IFNA(SQRT((VLOOKUP(CL$1,DATA!$A$3:$F$301,2,FALSE)-VLOOKUP($A43,DATA!$A$3:$F$301,2,FALSE))^2+(VLOOKUP(CL$1,DATA!$A$3:$F$301,3,FALSE)-VLOOKUP($A43,DATA!$A$3:$F$301,3,FALSE))^2),"")</f>
        <v/>
      </c>
      <c r="CM43" s="14" t="str">
        <f>_xlfn.IFNA(SQRT((VLOOKUP(CM$1,DATA!$A$3:$F$301,2,FALSE)-VLOOKUP($A43,DATA!$A$3:$F$301,2,FALSE))^2+(VLOOKUP(CM$1,DATA!$A$3:$F$301,3,FALSE)-VLOOKUP($A43,DATA!$A$3:$F$301,3,FALSE))^2),"")</f>
        <v/>
      </c>
      <c r="CN43" s="14" t="str">
        <f>_xlfn.IFNA(SQRT((VLOOKUP(CN$1,DATA!$A$3:$F$301,2,FALSE)-VLOOKUP($A43,DATA!$A$3:$F$301,2,FALSE))^2+(VLOOKUP(CN$1,DATA!$A$3:$F$301,3,FALSE)-VLOOKUP($A43,DATA!$A$3:$F$301,3,FALSE))^2),"")</f>
        <v/>
      </c>
      <c r="CO43" s="14" t="str">
        <f>_xlfn.IFNA(SQRT((VLOOKUP(CO$1,DATA!$A$3:$F$301,2,FALSE)-VLOOKUP($A43,DATA!$A$3:$F$301,2,FALSE))^2+(VLOOKUP(CO$1,DATA!$A$3:$F$301,3,FALSE)-VLOOKUP($A43,DATA!$A$3:$F$301,3,FALSE))^2),"")</f>
        <v/>
      </c>
      <c r="CP43" s="14" t="str">
        <f>_xlfn.IFNA(SQRT((VLOOKUP(CP$1,DATA!$A$3:$F$301,2,FALSE)-VLOOKUP($A43,DATA!$A$3:$F$301,2,FALSE))^2+(VLOOKUP(CP$1,DATA!$A$3:$F$301,3,FALSE)-VLOOKUP($A43,DATA!$A$3:$F$301,3,FALSE))^2),"")</f>
        <v/>
      </c>
      <c r="CQ43" s="14" t="str">
        <f>_xlfn.IFNA(SQRT((VLOOKUP(CQ$1,DATA!$A$3:$F$301,2,FALSE)-VLOOKUP($A43,DATA!$A$3:$F$301,2,FALSE))^2+(VLOOKUP(CQ$1,DATA!$A$3:$F$301,3,FALSE)-VLOOKUP($A43,DATA!$A$3:$F$301,3,FALSE))^2),"")</f>
        <v/>
      </c>
      <c r="CR43" s="14" t="str">
        <f>_xlfn.IFNA(SQRT((VLOOKUP(CR$1,DATA!$A$3:$F$301,2,FALSE)-VLOOKUP($A43,DATA!$A$3:$F$301,2,FALSE))^2+(VLOOKUP(CR$1,DATA!$A$3:$F$301,3,FALSE)-VLOOKUP($A43,DATA!$A$3:$F$301,3,FALSE))^2),"")</f>
        <v/>
      </c>
      <c r="CS43" s="14" t="str">
        <f>_xlfn.IFNA(SQRT((VLOOKUP(CS$1,DATA!$A$3:$F$301,2,FALSE)-VLOOKUP($A43,DATA!$A$3:$F$301,2,FALSE))^2+(VLOOKUP(CS$1,DATA!$A$3:$F$301,3,FALSE)-VLOOKUP($A43,DATA!$A$3:$F$301,3,FALSE))^2),"")</f>
        <v/>
      </c>
      <c r="CT43" s="14" t="str">
        <f>_xlfn.IFNA(SQRT((VLOOKUP(CT$1,DATA!$A$3:$F$301,2,FALSE)-VLOOKUP($A43,DATA!$A$3:$F$301,2,FALSE))^2+(VLOOKUP(CT$1,DATA!$A$3:$F$301,3,FALSE)-VLOOKUP($A43,DATA!$A$3:$F$301,3,FALSE))^2),"")</f>
        <v/>
      </c>
      <c r="CU43" s="14" t="str">
        <f>_xlfn.IFNA(SQRT((VLOOKUP(CU$1,DATA!$A$3:$F$301,2,FALSE)-VLOOKUP($A43,DATA!$A$3:$F$301,2,FALSE))^2+(VLOOKUP(CU$1,DATA!$A$3:$F$301,3,FALSE)-VLOOKUP($A43,DATA!$A$3:$F$301,3,FALSE))^2),"")</f>
        <v/>
      </c>
      <c r="CV43" s="14" t="str">
        <f>_xlfn.IFNA(SQRT((VLOOKUP(CV$1,DATA!$A$3:$F$301,2,FALSE)-VLOOKUP($A43,DATA!$A$3:$F$301,2,FALSE))^2+(VLOOKUP(CV$1,DATA!$A$3:$F$301,3,FALSE)-VLOOKUP($A43,DATA!$A$3:$F$301,3,FALSE))^2),"")</f>
        <v/>
      </c>
      <c r="CW43" s="14" t="str">
        <f>_xlfn.IFNA(SQRT((VLOOKUP(CW$1,DATA!$A$3:$F$301,2,FALSE)-VLOOKUP($A43,DATA!$A$3:$F$301,2,FALSE))^2+(VLOOKUP(CW$1,DATA!$A$3:$F$301,3,FALSE)-VLOOKUP($A43,DATA!$A$3:$F$301,3,FALSE))^2),"")</f>
        <v/>
      </c>
      <c r="CX43" s="14" t="str">
        <f>_xlfn.IFNA(SQRT((VLOOKUP(CX$1,DATA!$A$3:$F$301,2,FALSE)-VLOOKUP($A43,DATA!$A$3:$F$301,2,FALSE))^2+(VLOOKUP(CX$1,DATA!$A$3:$F$301,3,FALSE)-VLOOKUP($A43,DATA!$A$3:$F$301,3,FALSE))^2),"")</f>
        <v/>
      </c>
    </row>
    <row r="44" spans="1:102">
      <c r="A44" s="13">
        <v>43</v>
      </c>
      <c r="B44" s="14" t="str">
        <f>_xlfn.IFNA(SQRT((VLOOKUP(B$1,DATA!$A$3:$F$301,2,FALSE)-VLOOKUP($A44,DATA!$A$3:$F$301,2,FALSE))^2+(VLOOKUP(B$1,DATA!$A$3:$F$301,3,FALSE)-VLOOKUP($A44,DATA!$A$3:$F$301,3,FALSE))^2),"")</f>
        <v/>
      </c>
      <c r="C44" s="14" t="str">
        <f>_xlfn.IFNA(SQRT((VLOOKUP(C$1,DATA!$A$3:$F$301,2,FALSE)-VLOOKUP($A44,DATA!$A$3:$F$301,2,FALSE))^2+(VLOOKUP(C$1,DATA!$A$3:$F$301,3,FALSE)-VLOOKUP($A44,DATA!$A$3:$F$301,3,FALSE))^2),"")</f>
        <v/>
      </c>
      <c r="D44" s="14" t="str">
        <f>_xlfn.IFNA(SQRT((VLOOKUP(D$1,DATA!$A$3:$F$301,2,FALSE)-VLOOKUP($A44,DATA!$A$3:$F$301,2,FALSE))^2+(VLOOKUP(D$1,DATA!$A$3:$F$301,3,FALSE)-VLOOKUP($A44,DATA!$A$3:$F$301,3,FALSE))^2),"")</f>
        <v/>
      </c>
      <c r="E44" s="14" t="str">
        <f>_xlfn.IFNA(SQRT((VLOOKUP(E$1,DATA!$A$3:$F$301,2,FALSE)-VLOOKUP($A44,DATA!$A$3:$F$301,2,FALSE))^2+(VLOOKUP(E$1,DATA!$A$3:$F$301,3,FALSE)-VLOOKUP($A44,DATA!$A$3:$F$301,3,FALSE))^2),"")</f>
        <v/>
      </c>
      <c r="F44" s="14" t="str">
        <f>_xlfn.IFNA(SQRT((VLOOKUP(F$1,DATA!$A$3:$F$301,2,FALSE)-VLOOKUP($A44,DATA!$A$3:$F$301,2,FALSE))^2+(VLOOKUP(F$1,DATA!$A$3:$F$301,3,FALSE)-VLOOKUP($A44,DATA!$A$3:$F$301,3,FALSE))^2),"")</f>
        <v/>
      </c>
      <c r="G44" s="14" t="str">
        <f>_xlfn.IFNA(SQRT((VLOOKUP(G$1,DATA!$A$3:$F$301,2,FALSE)-VLOOKUP($A44,DATA!$A$3:$F$301,2,FALSE))^2+(VLOOKUP(G$1,DATA!$A$3:$F$301,3,FALSE)-VLOOKUP($A44,DATA!$A$3:$F$301,3,FALSE))^2),"")</f>
        <v/>
      </c>
      <c r="H44" s="14" t="str">
        <f>_xlfn.IFNA(SQRT((VLOOKUP(H$1,DATA!$A$3:$F$301,2,FALSE)-VLOOKUP($A44,DATA!$A$3:$F$301,2,FALSE))^2+(VLOOKUP(H$1,DATA!$A$3:$F$301,3,FALSE)-VLOOKUP($A44,DATA!$A$3:$F$301,3,FALSE))^2),"")</f>
        <v/>
      </c>
      <c r="I44" s="14" t="str">
        <f>_xlfn.IFNA(SQRT((VLOOKUP(I$1,DATA!$A$3:$F$301,2,FALSE)-VLOOKUP($A44,DATA!$A$3:$F$301,2,FALSE))^2+(VLOOKUP(I$1,DATA!$A$3:$F$301,3,FALSE)-VLOOKUP($A44,DATA!$A$3:$F$301,3,FALSE))^2),"")</f>
        <v/>
      </c>
      <c r="J44" s="14" t="str">
        <f>_xlfn.IFNA(SQRT((VLOOKUP(J$1,DATA!$A$3:$F$301,2,FALSE)-VLOOKUP($A44,DATA!$A$3:$F$301,2,FALSE))^2+(VLOOKUP(J$1,DATA!$A$3:$F$301,3,FALSE)-VLOOKUP($A44,DATA!$A$3:$F$301,3,FALSE))^2),"")</f>
        <v/>
      </c>
      <c r="K44" s="14" t="str">
        <f>_xlfn.IFNA(SQRT((VLOOKUP(K$1,DATA!$A$3:$F$301,2,FALSE)-VLOOKUP($A44,DATA!$A$3:$F$301,2,FALSE))^2+(VLOOKUP(K$1,DATA!$A$3:$F$301,3,FALSE)-VLOOKUP($A44,DATA!$A$3:$F$301,3,FALSE))^2),"")</f>
        <v/>
      </c>
      <c r="L44" s="14" t="str">
        <f>_xlfn.IFNA(SQRT((VLOOKUP(L$1,DATA!$A$3:$F$301,2,FALSE)-VLOOKUP($A44,DATA!$A$3:$F$301,2,FALSE))^2+(VLOOKUP(L$1,DATA!$A$3:$F$301,3,FALSE)-VLOOKUP($A44,DATA!$A$3:$F$301,3,FALSE))^2),"")</f>
        <v/>
      </c>
      <c r="M44" s="14" t="str">
        <f>_xlfn.IFNA(SQRT((VLOOKUP(M$1,DATA!$A$3:$F$301,2,FALSE)-VLOOKUP($A44,DATA!$A$3:$F$301,2,FALSE))^2+(VLOOKUP(M$1,DATA!$A$3:$F$301,3,FALSE)-VLOOKUP($A44,DATA!$A$3:$F$301,3,FALSE))^2),"")</f>
        <v/>
      </c>
      <c r="N44" s="14" t="str">
        <f>_xlfn.IFNA(SQRT((VLOOKUP(N$1,DATA!$A$3:$F$301,2,FALSE)-VLOOKUP($A44,DATA!$A$3:$F$301,2,FALSE))^2+(VLOOKUP(N$1,DATA!$A$3:$F$301,3,FALSE)-VLOOKUP($A44,DATA!$A$3:$F$301,3,FALSE))^2),"")</f>
        <v/>
      </c>
      <c r="O44" s="14" t="str">
        <f>_xlfn.IFNA(SQRT((VLOOKUP(O$1,DATA!$A$3:$F$301,2,FALSE)-VLOOKUP($A44,DATA!$A$3:$F$301,2,FALSE))^2+(VLOOKUP(O$1,DATA!$A$3:$F$301,3,FALSE)-VLOOKUP($A44,DATA!$A$3:$F$301,3,FALSE))^2),"")</f>
        <v/>
      </c>
      <c r="P44" s="14" t="str">
        <f>_xlfn.IFNA(SQRT((VLOOKUP(P$1,DATA!$A$3:$F$301,2,FALSE)-VLOOKUP($A44,DATA!$A$3:$F$301,2,FALSE))^2+(VLOOKUP(P$1,DATA!$A$3:$F$301,3,FALSE)-VLOOKUP($A44,DATA!$A$3:$F$301,3,FALSE))^2),"")</f>
        <v/>
      </c>
      <c r="Q44" s="14" t="str">
        <f>_xlfn.IFNA(SQRT((VLOOKUP(Q$1,DATA!$A$3:$F$301,2,FALSE)-VLOOKUP($A44,DATA!$A$3:$F$301,2,FALSE))^2+(VLOOKUP(Q$1,DATA!$A$3:$F$301,3,FALSE)-VLOOKUP($A44,DATA!$A$3:$F$301,3,FALSE))^2),"")</f>
        <v/>
      </c>
      <c r="R44" s="14" t="str">
        <f>_xlfn.IFNA(SQRT((VLOOKUP(R$1,DATA!$A$3:$F$301,2,FALSE)-VLOOKUP($A44,DATA!$A$3:$F$301,2,FALSE))^2+(VLOOKUP(R$1,DATA!$A$3:$F$301,3,FALSE)-VLOOKUP($A44,DATA!$A$3:$F$301,3,FALSE))^2),"")</f>
        <v/>
      </c>
      <c r="S44" s="14" t="str">
        <f>_xlfn.IFNA(SQRT((VLOOKUP(S$1,DATA!$A$3:$F$301,2,FALSE)-VLOOKUP($A44,DATA!$A$3:$F$301,2,FALSE))^2+(VLOOKUP(S$1,DATA!$A$3:$F$301,3,FALSE)-VLOOKUP($A44,DATA!$A$3:$F$301,3,FALSE))^2),"")</f>
        <v/>
      </c>
      <c r="T44" s="14" t="str">
        <f>_xlfn.IFNA(SQRT((VLOOKUP(T$1,DATA!$A$3:$F$301,2,FALSE)-VLOOKUP($A44,DATA!$A$3:$F$301,2,FALSE))^2+(VLOOKUP(T$1,DATA!$A$3:$F$301,3,FALSE)-VLOOKUP($A44,DATA!$A$3:$F$301,3,FALSE))^2),"")</f>
        <v/>
      </c>
      <c r="U44" s="14" t="str">
        <f>_xlfn.IFNA(SQRT((VLOOKUP(U$1,DATA!$A$3:$F$301,2,FALSE)-VLOOKUP($A44,DATA!$A$3:$F$301,2,FALSE))^2+(VLOOKUP(U$1,DATA!$A$3:$F$301,3,FALSE)-VLOOKUP($A44,DATA!$A$3:$F$301,3,FALSE))^2),"")</f>
        <v/>
      </c>
      <c r="V44" s="14" t="str">
        <f>_xlfn.IFNA(SQRT((VLOOKUP(V$1,DATA!$A$3:$F$301,2,FALSE)-VLOOKUP($A44,DATA!$A$3:$F$301,2,FALSE))^2+(VLOOKUP(V$1,DATA!$A$3:$F$301,3,FALSE)-VLOOKUP($A44,DATA!$A$3:$F$301,3,FALSE))^2),"")</f>
        <v/>
      </c>
      <c r="W44" s="14" t="str">
        <f>_xlfn.IFNA(SQRT((VLOOKUP(W$1,DATA!$A$3:$F$301,2,FALSE)-VLOOKUP($A44,DATA!$A$3:$F$301,2,FALSE))^2+(VLOOKUP(W$1,DATA!$A$3:$F$301,3,FALSE)-VLOOKUP($A44,DATA!$A$3:$F$301,3,FALSE))^2),"")</f>
        <v/>
      </c>
      <c r="X44" s="14" t="str">
        <f>_xlfn.IFNA(SQRT((VLOOKUP(X$1,DATA!$A$3:$F$301,2,FALSE)-VLOOKUP($A44,DATA!$A$3:$F$301,2,FALSE))^2+(VLOOKUP(X$1,DATA!$A$3:$F$301,3,FALSE)-VLOOKUP($A44,DATA!$A$3:$F$301,3,FALSE))^2),"")</f>
        <v/>
      </c>
      <c r="Y44" s="14" t="str">
        <f>_xlfn.IFNA(SQRT((VLOOKUP(Y$1,DATA!$A$3:$F$301,2,FALSE)-VLOOKUP($A44,DATA!$A$3:$F$301,2,FALSE))^2+(VLOOKUP(Y$1,DATA!$A$3:$F$301,3,FALSE)-VLOOKUP($A44,DATA!$A$3:$F$301,3,FALSE))^2),"")</f>
        <v/>
      </c>
      <c r="Z44" s="14" t="str">
        <f>_xlfn.IFNA(SQRT((VLOOKUP(Z$1,DATA!$A$3:$F$301,2,FALSE)-VLOOKUP($A44,DATA!$A$3:$F$301,2,FALSE))^2+(VLOOKUP(Z$1,DATA!$A$3:$F$301,3,FALSE)-VLOOKUP($A44,DATA!$A$3:$F$301,3,FALSE))^2),"")</f>
        <v/>
      </c>
      <c r="AA44" s="14" t="str">
        <f>_xlfn.IFNA(SQRT((VLOOKUP(AA$1,DATA!$A$3:$F$301,2,FALSE)-VLOOKUP($A44,DATA!$A$3:$F$301,2,FALSE))^2+(VLOOKUP(AA$1,DATA!$A$3:$F$301,3,FALSE)-VLOOKUP($A44,DATA!$A$3:$F$301,3,FALSE))^2),"")</f>
        <v/>
      </c>
      <c r="AB44" s="14" t="str">
        <f>_xlfn.IFNA(SQRT((VLOOKUP(AB$1,DATA!$A$3:$F$301,2,FALSE)-VLOOKUP($A44,DATA!$A$3:$F$301,2,FALSE))^2+(VLOOKUP(AB$1,DATA!$A$3:$F$301,3,FALSE)-VLOOKUP($A44,DATA!$A$3:$F$301,3,FALSE))^2),"")</f>
        <v/>
      </c>
      <c r="AC44" s="14" t="str">
        <f>_xlfn.IFNA(SQRT((VLOOKUP(AC$1,DATA!$A$3:$F$301,2,FALSE)-VLOOKUP($A44,DATA!$A$3:$F$301,2,FALSE))^2+(VLOOKUP(AC$1,DATA!$A$3:$F$301,3,FALSE)-VLOOKUP($A44,DATA!$A$3:$F$301,3,FALSE))^2),"")</f>
        <v/>
      </c>
      <c r="AD44" s="14" t="str">
        <f>_xlfn.IFNA(SQRT((VLOOKUP(AD$1,DATA!$A$3:$F$301,2,FALSE)-VLOOKUP($A44,DATA!$A$3:$F$301,2,FALSE))^2+(VLOOKUP(AD$1,DATA!$A$3:$F$301,3,FALSE)-VLOOKUP($A44,DATA!$A$3:$F$301,3,FALSE))^2),"")</f>
        <v/>
      </c>
      <c r="AE44" s="14" t="str">
        <f>_xlfn.IFNA(SQRT((VLOOKUP(AE$1,DATA!$A$3:$F$301,2,FALSE)-VLOOKUP($A44,DATA!$A$3:$F$301,2,FALSE))^2+(VLOOKUP(AE$1,DATA!$A$3:$F$301,3,FALSE)-VLOOKUP($A44,DATA!$A$3:$F$301,3,FALSE))^2),"")</f>
        <v/>
      </c>
      <c r="AF44" s="14" t="str">
        <f>_xlfn.IFNA(SQRT((VLOOKUP(AF$1,DATA!$A$3:$F$301,2,FALSE)-VLOOKUP($A44,DATA!$A$3:$F$301,2,FALSE))^2+(VLOOKUP(AF$1,DATA!$A$3:$F$301,3,FALSE)-VLOOKUP($A44,DATA!$A$3:$F$301,3,FALSE))^2),"")</f>
        <v/>
      </c>
      <c r="AG44" s="14" t="str">
        <f>_xlfn.IFNA(SQRT((VLOOKUP(AG$1,DATA!$A$3:$F$301,2,FALSE)-VLOOKUP($A44,DATA!$A$3:$F$301,2,FALSE))^2+(VLOOKUP(AG$1,DATA!$A$3:$F$301,3,FALSE)-VLOOKUP($A44,DATA!$A$3:$F$301,3,FALSE))^2),"")</f>
        <v/>
      </c>
      <c r="AH44" s="14" t="str">
        <f>_xlfn.IFNA(SQRT((VLOOKUP(AH$1,DATA!$A$3:$F$301,2,FALSE)-VLOOKUP($A44,DATA!$A$3:$F$301,2,FALSE))^2+(VLOOKUP(AH$1,DATA!$A$3:$F$301,3,FALSE)-VLOOKUP($A44,DATA!$A$3:$F$301,3,FALSE))^2),"")</f>
        <v/>
      </c>
      <c r="AI44" s="14" t="str">
        <f>_xlfn.IFNA(SQRT((VLOOKUP(AI$1,DATA!$A$3:$F$301,2,FALSE)-VLOOKUP($A44,DATA!$A$3:$F$301,2,FALSE))^2+(VLOOKUP(AI$1,DATA!$A$3:$F$301,3,FALSE)-VLOOKUP($A44,DATA!$A$3:$F$301,3,FALSE))^2),"")</f>
        <v/>
      </c>
      <c r="AJ44" s="14" t="str">
        <f>_xlfn.IFNA(SQRT((VLOOKUP(AJ$1,DATA!$A$3:$F$301,2,FALSE)-VLOOKUP($A44,DATA!$A$3:$F$301,2,FALSE))^2+(VLOOKUP(AJ$1,DATA!$A$3:$F$301,3,FALSE)-VLOOKUP($A44,DATA!$A$3:$F$301,3,FALSE))^2),"")</f>
        <v/>
      </c>
      <c r="AK44" s="14" t="str">
        <f>_xlfn.IFNA(SQRT((VLOOKUP(AK$1,DATA!$A$3:$F$301,2,FALSE)-VLOOKUP($A44,DATA!$A$3:$F$301,2,FALSE))^2+(VLOOKUP(AK$1,DATA!$A$3:$F$301,3,FALSE)-VLOOKUP($A44,DATA!$A$3:$F$301,3,FALSE))^2),"")</f>
        <v/>
      </c>
      <c r="AL44" s="14" t="str">
        <f>_xlfn.IFNA(SQRT((VLOOKUP(AL$1,DATA!$A$3:$F$301,2,FALSE)-VLOOKUP($A44,DATA!$A$3:$F$301,2,FALSE))^2+(VLOOKUP(AL$1,DATA!$A$3:$F$301,3,FALSE)-VLOOKUP($A44,DATA!$A$3:$F$301,3,FALSE))^2),"")</f>
        <v/>
      </c>
      <c r="AM44" s="14" t="str">
        <f>_xlfn.IFNA(SQRT((VLOOKUP(AM$1,DATA!$A$3:$F$301,2,FALSE)-VLOOKUP($A44,DATA!$A$3:$F$301,2,FALSE))^2+(VLOOKUP(AM$1,DATA!$A$3:$F$301,3,FALSE)-VLOOKUP($A44,DATA!$A$3:$F$301,3,FALSE))^2),"")</f>
        <v/>
      </c>
      <c r="AN44" s="14" t="str">
        <f>_xlfn.IFNA(SQRT((VLOOKUP(AN$1,DATA!$A$3:$F$301,2,FALSE)-VLOOKUP($A44,DATA!$A$3:$F$301,2,FALSE))^2+(VLOOKUP(AN$1,DATA!$A$3:$F$301,3,FALSE)-VLOOKUP($A44,DATA!$A$3:$F$301,3,FALSE))^2),"")</f>
        <v/>
      </c>
      <c r="AO44" s="14" t="str">
        <f>_xlfn.IFNA(SQRT((VLOOKUP(AO$1,DATA!$A$3:$F$301,2,FALSE)-VLOOKUP($A44,DATA!$A$3:$F$301,2,FALSE))^2+(VLOOKUP(AO$1,DATA!$A$3:$F$301,3,FALSE)-VLOOKUP($A44,DATA!$A$3:$F$301,3,FALSE))^2),"")</f>
        <v/>
      </c>
      <c r="AP44" s="14" t="str">
        <f>_xlfn.IFNA(SQRT((VLOOKUP(AP$1,DATA!$A$3:$F$301,2,FALSE)-VLOOKUP($A44,DATA!$A$3:$F$301,2,FALSE))^2+(VLOOKUP(AP$1,DATA!$A$3:$F$301,3,FALSE)-VLOOKUP($A44,DATA!$A$3:$F$301,3,FALSE))^2),"")</f>
        <v/>
      </c>
      <c r="AQ44" s="14" t="str">
        <f>_xlfn.IFNA(SQRT((VLOOKUP(AQ$1,DATA!$A$3:$F$301,2,FALSE)-VLOOKUP($A44,DATA!$A$3:$F$301,2,FALSE))^2+(VLOOKUP(AQ$1,DATA!$A$3:$F$301,3,FALSE)-VLOOKUP($A44,DATA!$A$3:$F$301,3,FALSE))^2),"")</f>
        <v/>
      </c>
      <c r="AR44" s="14" t="str">
        <f>_xlfn.IFNA(SQRT((VLOOKUP(AR$1,DATA!$A$3:$F$301,2,FALSE)-VLOOKUP($A44,DATA!$A$3:$F$301,2,FALSE))^2+(VLOOKUP(AR$1,DATA!$A$3:$F$301,3,FALSE)-VLOOKUP($A44,DATA!$A$3:$F$301,3,FALSE))^2),"")</f>
        <v/>
      </c>
      <c r="AS44" s="14" t="str">
        <f>_xlfn.IFNA(SQRT((VLOOKUP(AS$1,DATA!$A$3:$F$301,2,FALSE)-VLOOKUP($A44,DATA!$A$3:$F$301,2,FALSE))^2+(VLOOKUP(AS$1,DATA!$A$3:$F$301,3,FALSE)-VLOOKUP($A44,DATA!$A$3:$F$301,3,FALSE))^2),"")</f>
        <v/>
      </c>
      <c r="AT44" s="14" t="str">
        <f>_xlfn.IFNA(SQRT((VLOOKUP(AT$1,DATA!$A$3:$F$301,2,FALSE)-VLOOKUP($A44,DATA!$A$3:$F$301,2,FALSE))^2+(VLOOKUP(AT$1,DATA!$A$3:$F$301,3,FALSE)-VLOOKUP($A44,DATA!$A$3:$F$301,3,FALSE))^2),"")</f>
        <v/>
      </c>
      <c r="AU44" s="14" t="str">
        <f>_xlfn.IFNA(SQRT((VLOOKUP(AU$1,DATA!$A$3:$F$301,2,FALSE)-VLOOKUP($A44,DATA!$A$3:$F$301,2,FALSE))^2+(VLOOKUP(AU$1,DATA!$A$3:$F$301,3,FALSE)-VLOOKUP($A44,DATA!$A$3:$F$301,3,FALSE))^2),"")</f>
        <v/>
      </c>
      <c r="AV44" s="14" t="str">
        <f>_xlfn.IFNA(SQRT((VLOOKUP(AV$1,DATA!$A$3:$F$301,2,FALSE)-VLOOKUP($A44,DATA!$A$3:$F$301,2,FALSE))^2+(VLOOKUP(AV$1,DATA!$A$3:$F$301,3,FALSE)-VLOOKUP($A44,DATA!$A$3:$F$301,3,FALSE))^2),"")</f>
        <v/>
      </c>
      <c r="AW44" s="14" t="str">
        <f>_xlfn.IFNA(SQRT((VLOOKUP(AW$1,DATA!$A$3:$F$301,2,FALSE)-VLOOKUP($A44,DATA!$A$3:$F$301,2,FALSE))^2+(VLOOKUP(AW$1,DATA!$A$3:$F$301,3,FALSE)-VLOOKUP($A44,DATA!$A$3:$F$301,3,FALSE))^2),"")</f>
        <v/>
      </c>
      <c r="AX44" s="14" t="str">
        <f>_xlfn.IFNA(SQRT((VLOOKUP(AX$1,DATA!$A$3:$F$301,2,FALSE)-VLOOKUP($A44,DATA!$A$3:$F$301,2,FALSE))^2+(VLOOKUP(AX$1,DATA!$A$3:$F$301,3,FALSE)-VLOOKUP($A44,DATA!$A$3:$F$301,3,FALSE))^2),"")</f>
        <v/>
      </c>
      <c r="AY44" s="14" t="str">
        <f>_xlfn.IFNA(SQRT((VLOOKUP(AY$1,DATA!$A$3:$F$301,2,FALSE)-VLOOKUP($A44,DATA!$A$3:$F$301,2,FALSE))^2+(VLOOKUP(AY$1,DATA!$A$3:$F$301,3,FALSE)-VLOOKUP($A44,DATA!$A$3:$F$301,3,FALSE))^2),"")</f>
        <v/>
      </c>
      <c r="AZ44" s="14" t="str">
        <f>_xlfn.IFNA(SQRT((VLOOKUP(AZ$1,DATA!$A$3:$F$301,2,FALSE)-VLOOKUP($A44,DATA!$A$3:$F$301,2,FALSE))^2+(VLOOKUP(AZ$1,DATA!$A$3:$F$301,3,FALSE)-VLOOKUP($A44,DATA!$A$3:$F$301,3,FALSE))^2),"")</f>
        <v/>
      </c>
      <c r="BA44" s="14" t="str">
        <f>_xlfn.IFNA(SQRT((VLOOKUP(BA$1,DATA!$A$3:$F$301,2,FALSE)-VLOOKUP($A44,DATA!$A$3:$F$301,2,FALSE))^2+(VLOOKUP(BA$1,DATA!$A$3:$F$301,3,FALSE)-VLOOKUP($A44,DATA!$A$3:$F$301,3,FALSE))^2),"")</f>
        <v/>
      </c>
      <c r="BB44" s="14" t="str">
        <f>_xlfn.IFNA(SQRT((VLOOKUP(BB$1,DATA!$A$3:$F$301,2,FALSE)-VLOOKUP($A44,DATA!$A$3:$F$301,2,FALSE))^2+(VLOOKUP(BB$1,DATA!$A$3:$F$301,3,FALSE)-VLOOKUP($A44,DATA!$A$3:$F$301,3,FALSE))^2),"")</f>
        <v/>
      </c>
      <c r="BC44" s="14" t="str">
        <f>_xlfn.IFNA(SQRT((VLOOKUP(BC$1,DATA!$A$3:$F$301,2,FALSE)-VLOOKUP($A44,DATA!$A$3:$F$301,2,FALSE))^2+(VLOOKUP(BC$1,DATA!$A$3:$F$301,3,FALSE)-VLOOKUP($A44,DATA!$A$3:$F$301,3,FALSE))^2),"")</f>
        <v/>
      </c>
      <c r="BD44" s="14" t="str">
        <f>_xlfn.IFNA(SQRT((VLOOKUP(BD$1,DATA!$A$3:$F$301,2,FALSE)-VLOOKUP($A44,DATA!$A$3:$F$301,2,FALSE))^2+(VLOOKUP(BD$1,DATA!$A$3:$F$301,3,FALSE)-VLOOKUP($A44,DATA!$A$3:$F$301,3,FALSE))^2),"")</f>
        <v/>
      </c>
      <c r="BE44" s="14" t="str">
        <f>_xlfn.IFNA(SQRT((VLOOKUP(BE$1,DATA!$A$3:$F$301,2,FALSE)-VLOOKUP($A44,DATA!$A$3:$F$301,2,FALSE))^2+(VLOOKUP(BE$1,DATA!$A$3:$F$301,3,FALSE)-VLOOKUP($A44,DATA!$A$3:$F$301,3,FALSE))^2),"")</f>
        <v/>
      </c>
      <c r="BF44" s="14" t="str">
        <f>_xlfn.IFNA(SQRT((VLOOKUP(BF$1,DATA!$A$3:$F$301,2,FALSE)-VLOOKUP($A44,DATA!$A$3:$F$301,2,FALSE))^2+(VLOOKUP(BF$1,DATA!$A$3:$F$301,3,FALSE)-VLOOKUP($A44,DATA!$A$3:$F$301,3,FALSE))^2),"")</f>
        <v/>
      </c>
      <c r="BG44" s="14" t="str">
        <f>_xlfn.IFNA(SQRT((VLOOKUP(BG$1,DATA!$A$3:$F$301,2,FALSE)-VLOOKUP($A44,DATA!$A$3:$F$301,2,FALSE))^2+(VLOOKUP(BG$1,DATA!$A$3:$F$301,3,FALSE)-VLOOKUP($A44,DATA!$A$3:$F$301,3,FALSE))^2),"")</f>
        <v/>
      </c>
      <c r="BH44" s="14" t="str">
        <f>_xlfn.IFNA(SQRT((VLOOKUP(BH$1,DATA!$A$3:$F$301,2,FALSE)-VLOOKUP($A44,DATA!$A$3:$F$301,2,FALSE))^2+(VLOOKUP(BH$1,DATA!$A$3:$F$301,3,FALSE)-VLOOKUP($A44,DATA!$A$3:$F$301,3,FALSE))^2),"")</f>
        <v/>
      </c>
      <c r="BI44" s="14" t="str">
        <f>_xlfn.IFNA(SQRT((VLOOKUP(BI$1,DATA!$A$3:$F$301,2,FALSE)-VLOOKUP($A44,DATA!$A$3:$F$301,2,FALSE))^2+(VLOOKUP(BI$1,DATA!$A$3:$F$301,3,FALSE)-VLOOKUP($A44,DATA!$A$3:$F$301,3,FALSE))^2),"")</f>
        <v/>
      </c>
      <c r="BJ44" s="14" t="str">
        <f>_xlfn.IFNA(SQRT((VLOOKUP(BJ$1,DATA!$A$3:$F$301,2,FALSE)-VLOOKUP($A44,DATA!$A$3:$F$301,2,FALSE))^2+(VLOOKUP(BJ$1,DATA!$A$3:$F$301,3,FALSE)-VLOOKUP($A44,DATA!$A$3:$F$301,3,FALSE))^2),"")</f>
        <v/>
      </c>
      <c r="BK44" s="14" t="str">
        <f>_xlfn.IFNA(SQRT((VLOOKUP(BK$1,DATA!$A$3:$F$301,2,FALSE)-VLOOKUP($A44,DATA!$A$3:$F$301,2,FALSE))^2+(VLOOKUP(BK$1,DATA!$A$3:$F$301,3,FALSE)-VLOOKUP($A44,DATA!$A$3:$F$301,3,FALSE))^2),"")</f>
        <v/>
      </c>
      <c r="BL44" s="14" t="str">
        <f>_xlfn.IFNA(SQRT((VLOOKUP(BL$1,DATA!$A$3:$F$301,2,FALSE)-VLOOKUP($A44,DATA!$A$3:$F$301,2,FALSE))^2+(VLOOKUP(BL$1,DATA!$A$3:$F$301,3,FALSE)-VLOOKUP($A44,DATA!$A$3:$F$301,3,FALSE))^2),"")</f>
        <v/>
      </c>
      <c r="BM44" s="14" t="str">
        <f>_xlfn.IFNA(SQRT((VLOOKUP(BM$1,DATA!$A$3:$F$301,2,FALSE)-VLOOKUP($A44,DATA!$A$3:$F$301,2,FALSE))^2+(VLOOKUP(BM$1,DATA!$A$3:$F$301,3,FALSE)-VLOOKUP($A44,DATA!$A$3:$F$301,3,FALSE))^2),"")</f>
        <v/>
      </c>
      <c r="BN44" s="14" t="str">
        <f>_xlfn.IFNA(SQRT((VLOOKUP(BN$1,DATA!$A$3:$F$301,2,FALSE)-VLOOKUP($A44,DATA!$A$3:$F$301,2,FALSE))^2+(VLOOKUP(BN$1,DATA!$A$3:$F$301,3,FALSE)-VLOOKUP($A44,DATA!$A$3:$F$301,3,FALSE))^2),"")</f>
        <v/>
      </c>
      <c r="BO44" s="14" t="str">
        <f>_xlfn.IFNA(SQRT((VLOOKUP(BO$1,DATA!$A$3:$F$301,2,FALSE)-VLOOKUP($A44,DATA!$A$3:$F$301,2,FALSE))^2+(VLOOKUP(BO$1,DATA!$A$3:$F$301,3,FALSE)-VLOOKUP($A44,DATA!$A$3:$F$301,3,FALSE))^2),"")</f>
        <v/>
      </c>
      <c r="BP44" s="14" t="str">
        <f>_xlfn.IFNA(SQRT((VLOOKUP(BP$1,DATA!$A$3:$F$301,2,FALSE)-VLOOKUP($A44,DATA!$A$3:$F$301,2,FALSE))^2+(VLOOKUP(BP$1,DATA!$A$3:$F$301,3,FALSE)-VLOOKUP($A44,DATA!$A$3:$F$301,3,FALSE))^2),"")</f>
        <v/>
      </c>
      <c r="BQ44" s="14" t="str">
        <f>_xlfn.IFNA(SQRT((VLOOKUP(BQ$1,DATA!$A$3:$F$301,2,FALSE)-VLOOKUP($A44,DATA!$A$3:$F$301,2,FALSE))^2+(VLOOKUP(BQ$1,DATA!$A$3:$F$301,3,FALSE)-VLOOKUP($A44,DATA!$A$3:$F$301,3,FALSE))^2),"")</f>
        <v/>
      </c>
      <c r="BR44" s="14" t="str">
        <f>_xlfn.IFNA(SQRT((VLOOKUP(BR$1,DATA!$A$3:$F$301,2,FALSE)-VLOOKUP($A44,DATA!$A$3:$F$301,2,FALSE))^2+(VLOOKUP(BR$1,DATA!$A$3:$F$301,3,FALSE)-VLOOKUP($A44,DATA!$A$3:$F$301,3,FALSE))^2),"")</f>
        <v/>
      </c>
      <c r="BS44" s="14" t="str">
        <f>_xlfn.IFNA(SQRT((VLOOKUP(BS$1,DATA!$A$3:$F$301,2,FALSE)-VLOOKUP($A44,DATA!$A$3:$F$301,2,FALSE))^2+(VLOOKUP(BS$1,DATA!$A$3:$F$301,3,FALSE)-VLOOKUP($A44,DATA!$A$3:$F$301,3,FALSE))^2),"")</f>
        <v/>
      </c>
      <c r="BT44" s="14" t="str">
        <f>_xlfn.IFNA(SQRT((VLOOKUP(BT$1,DATA!$A$3:$F$301,2,FALSE)-VLOOKUP($A44,DATA!$A$3:$F$301,2,FALSE))^2+(VLOOKUP(BT$1,DATA!$A$3:$F$301,3,FALSE)-VLOOKUP($A44,DATA!$A$3:$F$301,3,FALSE))^2),"")</f>
        <v/>
      </c>
      <c r="BU44" s="14" t="str">
        <f>_xlfn.IFNA(SQRT((VLOOKUP(BU$1,DATA!$A$3:$F$301,2,FALSE)-VLOOKUP($A44,DATA!$A$3:$F$301,2,FALSE))^2+(VLOOKUP(BU$1,DATA!$A$3:$F$301,3,FALSE)-VLOOKUP($A44,DATA!$A$3:$F$301,3,FALSE))^2),"")</f>
        <v/>
      </c>
      <c r="BV44" s="14" t="str">
        <f>_xlfn.IFNA(SQRT((VLOOKUP(BV$1,DATA!$A$3:$F$301,2,FALSE)-VLOOKUP($A44,DATA!$A$3:$F$301,2,FALSE))^2+(VLOOKUP(BV$1,DATA!$A$3:$F$301,3,FALSE)-VLOOKUP($A44,DATA!$A$3:$F$301,3,FALSE))^2),"")</f>
        <v/>
      </c>
      <c r="BW44" s="14" t="str">
        <f>_xlfn.IFNA(SQRT((VLOOKUP(BW$1,DATA!$A$3:$F$301,2,FALSE)-VLOOKUP($A44,DATA!$A$3:$F$301,2,FALSE))^2+(VLOOKUP(BW$1,DATA!$A$3:$F$301,3,FALSE)-VLOOKUP($A44,DATA!$A$3:$F$301,3,FALSE))^2),"")</f>
        <v/>
      </c>
      <c r="BX44" s="14" t="str">
        <f>_xlfn.IFNA(SQRT((VLOOKUP(BX$1,DATA!$A$3:$F$301,2,FALSE)-VLOOKUP($A44,DATA!$A$3:$F$301,2,FALSE))^2+(VLOOKUP(BX$1,DATA!$A$3:$F$301,3,FALSE)-VLOOKUP($A44,DATA!$A$3:$F$301,3,FALSE))^2),"")</f>
        <v/>
      </c>
      <c r="BY44" s="14" t="str">
        <f>_xlfn.IFNA(SQRT((VLOOKUP(BY$1,DATA!$A$3:$F$301,2,FALSE)-VLOOKUP($A44,DATA!$A$3:$F$301,2,FALSE))^2+(VLOOKUP(BY$1,DATA!$A$3:$F$301,3,FALSE)-VLOOKUP($A44,DATA!$A$3:$F$301,3,FALSE))^2),"")</f>
        <v/>
      </c>
      <c r="BZ44" s="14" t="str">
        <f>_xlfn.IFNA(SQRT((VLOOKUP(BZ$1,DATA!$A$3:$F$301,2,FALSE)-VLOOKUP($A44,DATA!$A$3:$F$301,2,FALSE))^2+(VLOOKUP(BZ$1,DATA!$A$3:$F$301,3,FALSE)-VLOOKUP($A44,DATA!$A$3:$F$301,3,FALSE))^2),"")</f>
        <v/>
      </c>
      <c r="CA44" s="14" t="str">
        <f>_xlfn.IFNA(SQRT((VLOOKUP(CA$1,DATA!$A$3:$F$301,2,FALSE)-VLOOKUP($A44,DATA!$A$3:$F$301,2,FALSE))^2+(VLOOKUP(CA$1,DATA!$A$3:$F$301,3,FALSE)-VLOOKUP($A44,DATA!$A$3:$F$301,3,FALSE))^2),"")</f>
        <v/>
      </c>
      <c r="CB44" s="14" t="str">
        <f>_xlfn.IFNA(SQRT((VLOOKUP(CB$1,DATA!$A$3:$F$301,2,FALSE)-VLOOKUP($A44,DATA!$A$3:$F$301,2,FALSE))^2+(VLOOKUP(CB$1,DATA!$A$3:$F$301,3,FALSE)-VLOOKUP($A44,DATA!$A$3:$F$301,3,FALSE))^2),"")</f>
        <v/>
      </c>
      <c r="CC44" s="14" t="str">
        <f>_xlfn.IFNA(SQRT((VLOOKUP(CC$1,DATA!$A$3:$F$301,2,FALSE)-VLOOKUP($A44,DATA!$A$3:$F$301,2,FALSE))^2+(VLOOKUP(CC$1,DATA!$A$3:$F$301,3,FALSE)-VLOOKUP($A44,DATA!$A$3:$F$301,3,FALSE))^2),"")</f>
        <v/>
      </c>
      <c r="CD44" s="14" t="str">
        <f>_xlfn.IFNA(SQRT((VLOOKUP(CD$1,DATA!$A$3:$F$301,2,FALSE)-VLOOKUP($A44,DATA!$A$3:$F$301,2,FALSE))^2+(VLOOKUP(CD$1,DATA!$A$3:$F$301,3,FALSE)-VLOOKUP($A44,DATA!$A$3:$F$301,3,FALSE))^2),"")</f>
        <v/>
      </c>
      <c r="CE44" s="14" t="str">
        <f>_xlfn.IFNA(SQRT((VLOOKUP(CE$1,DATA!$A$3:$F$301,2,FALSE)-VLOOKUP($A44,DATA!$A$3:$F$301,2,FALSE))^2+(VLOOKUP(CE$1,DATA!$A$3:$F$301,3,FALSE)-VLOOKUP($A44,DATA!$A$3:$F$301,3,FALSE))^2),"")</f>
        <v/>
      </c>
      <c r="CF44" s="14" t="str">
        <f>_xlfn.IFNA(SQRT((VLOOKUP(CF$1,DATA!$A$3:$F$301,2,FALSE)-VLOOKUP($A44,DATA!$A$3:$F$301,2,FALSE))^2+(VLOOKUP(CF$1,DATA!$A$3:$F$301,3,FALSE)-VLOOKUP($A44,DATA!$A$3:$F$301,3,FALSE))^2),"")</f>
        <v/>
      </c>
      <c r="CG44" s="14" t="str">
        <f>_xlfn.IFNA(SQRT((VLOOKUP(CG$1,DATA!$A$3:$F$301,2,FALSE)-VLOOKUP($A44,DATA!$A$3:$F$301,2,FALSE))^2+(VLOOKUP(CG$1,DATA!$A$3:$F$301,3,FALSE)-VLOOKUP($A44,DATA!$A$3:$F$301,3,FALSE))^2),"")</f>
        <v/>
      </c>
      <c r="CH44" s="14" t="str">
        <f>_xlfn.IFNA(SQRT((VLOOKUP(CH$1,DATA!$A$3:$F$301,2,FALSE)-VLOOKUP($A44,DATA!$A$3:$F$301,2,FALSE))^2+(VLOOKUP(CH$1,DATA!$A$3:$F$301,3,FALSE)-VLOOKUP($A44,DATA!$A$3:$F$301,3,FALSE))^2),"")</f>
        <v/>
      </c>
      <c r="CI44" s="14" t="str">
        <f>_xlfn.IFNA(SQRT((VLOOKUP(CI$1,DATA!$A$3:$F$301,2,FALSE)-VLOOKUP($A44,DATA!$A$3:$F$301,2,FALSE))^2+(VLOOKUP(CI$1,DATA!$A$3:$F$301,3,FALSE)-VLOOKUP($A44,DATA!$A$3:$F$301,3,FALSE))^2),"")</f>
        <v/>
      </c>
      <c r="CJ44" s="14" t="str">
        <f>_xlfn.IFNA(SQRT((VLOOKUP(CJ$1,DATA!$A$3:$F$301,2,FALSE)-VLOOKUP($A44,DATA!$A$3:$F$301,2,FALSE))^2+(VLOOKUP(CJ$1,DATA!$A$3:$F$301,3,FALSE)-VLOOKUP($A44,DATA!$A$3:$F$301,3,FALSE))^2),"")</f>
        <v/>
      </c>
      <c r="CK44" s="14" t="str">
        <f>_xlfn.IFNA(SQRT((VLOOKUP(CK$1,DATA!$A$3:$F$301,2,FALSE)-VLOOKUP($A44,DATA!$A$3:$F$301,2,FALSE))^2+(VLOOKUP(CK$1,DATA!$A$3:$F$301,3,FALSE)-VLOOKUP($A44,DATA!$A$3:$F$301,3,FALSE))^2),"")</f>
        <v/>
      </c>
      <c r="CL44" s="14" t="str">
        <f>_xlfn.IFNA(SQRT((VLOOKUP(CL$1,DATA!$A$3:$F$301,2,FALSE)-VLOOKUP($A44,DATA!$A$3:$F$301,2,FALSE))^2+(VLOOKUP(CL$1,DATA!$A$3:$F$301,3,FALSE)-VLOOKUP($A44,DATA!$A$3:$F$301,3,FALSE))^2),"")</f>
        <v/>
      </c>
      <c r="CM44" s="14" t="str">
        <f>_xlfn.IFNA(SQRT((VLOOKUP(CM$1,DATA!$A$3:$F$301,2,FALSE)-VLOOKUP($A44,DATA!$A$3:$F$301,2,FALSE))^2+(VLOOKUP(CM$1,DATA!$A$3:$F$301,3,FALSE)-VLOOKUP($A44,DATA!$A$3:$F$301,3,FALSE))^2),"")</f>
        <v/>
      </c>
      <c r="CN44" s="14" t="str">
        <f>_xlfn.IFNA(SQRT((VLOOKUP(CN$1,DATA!$A$3:$F$301,2,FALSE)-VLOOKUP($A44,DATA!$A$3:$F$301,2,FALSE))^2+(VLOOKUP(CN$1,DATA!$A$3:$F$301,3,FALSE)-VLOOKUP($A44,DATA!$A$3:$F$301,3,FALSE))^2),"")</f>
        <v/>
      </c>
      <c r="CO44" s="14" t="str">
        <f>_xlfn.IFNA(SQRT((VLOOKUP(CO$1,DATA!$A$3:$F$301,2,FALSE)-VLOOKUP($A44,DATA!$A$3:$F$301,2,FALSE))^2+(VLOOKUP(CO$1,DATA!$A$3:$F$301,3,FALSE)-VLOOKUP($A44,DATA!$A$3:$F$301,3,FALSE))^2),"")</f>
        <v/>
      </c>
      <c r="CP44" s="14" t="str">
        <f>_xlfn.IFNA(SQRT((VLOOKUP(CP$1,DATA!$A$3:$F$301,2,FALSE)-VLOOKUP($A44,DATA!$A$3:$F$301,2,FALSE))^2+(VLOOKUP(CP$1,DATA!$A$3:$F$301,3,FALSE)-VLOOKUP($A44,DATA!$A$3:$F$301,3,FALSE))^2),"")</f>
        <v/>
      </c>
      <c r="CQ44" s="14" t="str">
        <f>_xlfn.IFNA(SQRT((VLOOKUP(CQ$1,DATA!$A$3:$F$301,2,FALSE)-VLOOKUP($A44,DATA!$A$3:$F$301,2,FALSE))^2+(VLOOKUP(CQ$1,DATA!$A$3:$F$301,3,FALSE)-VLOOKUP($A44,DATA!$A$3:$F$301,3,FALSE))^2),"")</f>
        <v/>
      </c>
      <c r="CR44" s="14" t="str">
        <f>_xlfn.IFNA(SQRT((VLOOKUP(CR$1,DATA!$A$3:$F$301,2,FALSE)-VLOOKUP($A44,DATA!$A$3:$F$301,2,FALSE))^2+(VLOOKUP(CR$1,DATA!$A$3:$F$301,3,FALSE)-VLOOKUP($A44,DATA!$A$3:$F$301,3,FALSE))^2),"")</f>
        <v/>
      </c>
      <c r="CS44" s="14" t="str">
        <f>_xlfn.IFNA(SQRT((VLOOKUP(CS$1,DATA!$A$3:$F$301,2,FALSE)-VLOOKUP($A44,DATA!$A$3:$F$301,2,FALSE))^2+(VLOOKUP(CS$1,DATA!$A$3:$F$301,3,FALSE)-VLOOKUP($A44,DATA!$A$3:$F$301,3,FALSE))^2),"")</f>
        <v/>
      </c>
      <c r="CT44" s="14" t="str">
        <f>_xlfn.IFNA(SQRT((VLOOKUP(CT$1,DATA!$A$3:$F$301,2,FALSE)-VLOOKUP($A44,DATA!$A$3:$F$301,2,FALSE))^2+(VLOOKUP(CT$1,DATA!$A$3:$F$301,3,FALSE)-VLOOKUP($A44,DATA!$A$3:$F$301,3,FALSE))^2),"")</f>
        <v/>
      </c>
      <c r="CU44" s="14" t="str">
        <f>_xlfn.IFNA(SQRT((VLOOKUP(CU$1,DATA!$A$3:$F$301,2,FALSE)-VLOOKUP($A44,DATA!$A$3:$F$301,2,FALSE))^2+(VLOOKUP(CU$1,DATA!$A$3:$F$301,3,FALSE)-VLOOKUP($A44,DATA!$A$3:$F$301,3,FALSE))^2),"")</f>
        <v/>
      </c>
      <c r="CV44" s="14" t="str">
        <f>_xlfn.IFNA(SQRT((VLOOKUP(CV$1,DATA!$A$3:$F$301,2,FALSE)-VLOOKUP($A44,DATA!$A$3:$F$301,2,FALSE))^2+(VLOOKUP(CV$1,DATA!$A$3:$F$301,3,FALSE)-VLOOKUP($A44,DATA!$A$3:$F$301,3,FALSE))^2),"")</f>
        <v/>
      </c>
      <c r="CW44" s="14" t="str">
        <f>_xlfn.IFNA(SQRT((VLOOKUP(CW$1,DATA!$A$3:$F$301,2,FALSE)-VLOOKUP($A44,DATA!$A$3:$F$301,2,FALSE))^2+(VLOOKUP(CW$1,DATA!$A$3:$F$301,3,FALSE)-VLOOKUP($A44,DATA!$A$3:$F$301,3,FALSE))^2),"")</f>
        <v/>
      </c>
      <c r="CX44" s="14" t="str">
        <f>_xlfn.IFNA(SQRT((VLOOKUP(CX$1,DATA!$A$3:$F$301,2,FALSE)-VLOOKUP($A44,DATA!$A$3:$F$301,2,FALSE))^2+(VLOOKUP(CX$1,DATA!$A$3:$F$301,3,FALSE)-VLOOKUP($A44,DATA!$A$3:$F$301,3,FALSE))^2),"")</f>
        <v/>
      </c>
    </row>
    <row r="45" spans="1:102">
      <c r="A45" s="13">
        <v>44</v>
      </c>
      <c r="B45" s="14" t="str">
        <f>_xlfn.IFNA(SQRT((VLOOKUP(B$1,DATA!$A$3:$F$301,2,FALSE)-VLOOKUP($A45,DATA!$A$3:$F$301,2,FALSE))^2+(VLOOKUP(B$1,DATA!$A$3:$F$301,3,FALSE)-VLOOKUP($A45,DATA!$A$3:$F$301,3,FALSE))^2),"")</f>
        <v/>
      </c>
      <c r="C45" s="14" t="str">
        <f>_xlfn.IFNA(SQRT((VLOOKUP(C$1,DATA!$A$3:$F$301,2,FALSE)-VLOOKUP($A45,DATA!$A$3:$F$301,2,FALSE))^2+(VLOOKUP(C$1,DATA!$A$3:$F$301,3,FALSE)-VLOOKUP($A45,DATA!$A$3:$F$301,3,FALSE))^2),"")</f>
        <v/>
      </c>
      <c r="D45" s="14" t="str">
        <f>_xlfn.IFNA(SQRT((VLOOKUP(D$1,DATA!$A$3:$F$301,2,FALSE)-VLOOKUP($A45,DATA!$A$3:$F$301,2,FALSE))^2+(VLOOKUP(D$1,DATA!$A$3:$F$301,3,FALSE)-VLOOKUP($A45,DATA!$A$3:$F$301,3,FALSE))^2),"")</f>
        <v/>
      </c>
      <c r="E45" s="14" t="str">
        <f>_xlfn.IFNA(SQRT((VLOOKUP(E$1,DATA!$A$3:$F$301,2,FALSE)-VLOOKUP($A45,DATA!$A$3:$F$301,2,FALSE))^2+(VLOOKUP(E$1,DATA!$A$3:$F$301,3,FALSE)-VLOOKUP($A45,DATA!$A$3:$F$301,3,FALSE))^2),"")</f>
        <v/>
      </c>
      <c r="F45" s="14" t="str">
        <f>_xlfn.IFNA(SQRT((VLOOKUP(F$1,DATA!$A$3:$F$301,2,FALSE)-VLOOKUP($A45,DATA!$A$3:$F$301,2,FALSE))^2+(VLOOKUP(F$1,DATA!$A$3:$F$301,3,FALSE)-VLOOKUP($A45,DATA!$A$3:$F$301,3,FALSE))^2),"")</f>
        <v/>
      </c>
      <c r="G45" s="14" t="str">
        <f>_xlfn.IFNA(SQRT((VLOOKUP(G$1,DATA!$A$3:$F$301,2,FALSE)-VLOOKUP($A45,DATA!$A$3:$F$301,2,FALSE))^2+(VLOOKUP(G$1,DATA!$A$3:$F$301,3,FALSE)-VLOOKUP($A45,DATA!$A$3:$F$301,3,FALSE))^2),"")</f>
        <v/>
      </c>
      <c r="H45" s="14" t="str">
        <f>_xlfn.IFNA(SQRT((VLOOKUP(H$1,DATA!$A$3:$F$301,2,FALSE)-VLOOKUP($A45,DATA!$A$3:$F$301,2,FALSE))^2+(VLOOKUP(H$1,DATA!$A$3:$F$301,3,FALSE)-VLOOKUP($A45,DATA!$A$3:$F$301,3,FALSE))^2),"")</f>
        <v/>
      </c>
      <c r="I45" s="14" t="str">
        <f>_xlfn.IFNA(SQRT((VLOOKUP(I$1,DATA!$A$3:$F$301,2,FALSE)-VLOOKUP($A45,DATA!$A$3:$F$301,2,FALSE))^2+(VLOOKUP(I$1,DATA!$A$3:$F$301,3,FALSE)-VLOOKUP($A45,DATA!$A$3:$F$301,3,FALSE))^2),"")</f>
        <v/>
      </c>
      <c r="J45" s="14" t="str">
        <f>_xlfn.IFNA(SQRT((VLOOKUP(J$1,DATA!$A$3:$F$301,2,FALSE)-VLOOKUP($A45,DATA!$A$3:$F$301,2,FALSE))^2+(VLOOKUP(J$1,DATA!$A$3:$F$301,3,FALSE)-VLOOKUP($A45,DATA!$A$3:$F$301,3,FALSE))^2),"")</f>
        <v/>
      </c>
      <c r="K45" s="14" t="str">
        <f>_xlfn.IFNA(SQRT((VLOOKUP(K$1,DATA!$A$3:$F$301,2,FALSE)-VLOOKUP($A45,DATA!$A$3:$F$301,2,FALSE))^2+(VLOOKUP(K$1,DATA!$A$3:$F$301,3,FALSE)-VLOOKUP($A45,DATA!$A$3:$F$301,3,FALSE))^2),"")</f>
        <v/>
      </c>
      <c r="L45" s="14" t="str">
        <f>_xlfn.IFNA(SQRT((VLOOKUP(L$1,DATA!$A$3:$F$301,2,FALSE)-VLOOKUP($A45,DATA!$A$3:$F$301,2,FALSE))^2+(VLOOKUP(L$1,DATA!$A$3:$F$301,3,FALSE)-VLOOKUP($A45,DATA!$A$3:$F$301,3,FALSE))^2),"")</f>
        <v/>
      </c>
      <c r="M45" s="14" t="str">
        <f>_xlfn.IFNA(SQRT((VLOOKUP(M$1,DATA!$A$3:$F$301,2,FALSE)-VLOOKUP($A45,DATA!$A$3:$F$301,2,FALSE))^2+(VLOOKUP(M$1,DATA!$A$3:$F$301,3,FALSE)-VLOOKUP($A45,DATA!$A$3:$F$301,3,FALSE))^2),"")</f>
        <v/>
      </c>
      <c r="N45" s="14" t="str">
        <f>_xlfn.IFNA(SQRT((VLOOKUP(N$1,DATA!$A$3:$F$301,2,FALSE)-VLOOKUP($A45,DATA!$A$3:$F$301,2,FALSE))^2+(VLOOKUP(N$1,DATA!$A$3:$F$301,3,FALSE)-VLOOKUP($A45,DATA!$A$3:$F$301,3,FALSE))^2),"")</f>
        <v/>
      </c>
      <c r="O45" s="14" t="str">
        <f>_xlfn.IFNA(SQRT((VLOOKUP(O$1,DATA!$A$3:$F$301,2,FALSE)-VLOOKUP($A45,DATA!$A$3:$F$301,2,FALSE))^2+(VLOOKUP(O$1,DATA!$A$3:$F$301,3,FALSE)-VLOOKUP($A45,DATA!$A$3:$F$301,3,FALSE))^2),"")</f>
        <v/>
      </c>
      <c r="P45" s="14" t="str">
        <f>_xlfn.IFNA(SQRT((VLOOKUP(P$1,DATA!$A$3:$F$301,2,FALSE)-VLOOKUP($A45,DATA!$A$3:$F$301,2,FALSE))^2+(VLOOKUP(P$1,DATA!$A$3:$F$301,3,FALSE)-VLOOKUP($A45,DATA!$A$3:$F$301,3,FALSE))^2),"")</f>
        <v/>
      </c>
      <c r="Q45" s="14" t="str">
        <f>_xlfn.IFNA(SQRT((VLOOKUP(Q$1,DATA!$A$3:$F$301,2,FALSE)-VLOOKUP($A45,DATA!$A$3:$F$301,2,FALSE))^2+(VLOOKUP(Q$1,DATA!$A$3:$F$301,3,FALSE)-VLOOKUP($A45,DATA!$A$3:$F$301,3,FALSE))^2),"")</f>
        <v/>
      </c>
      <c r="R45" s="14" t="str">
        <f>_xlfn.IFNA(SQRT((VLOOKUP(R$1,DATA!$A$3:$F$301,2,FALSE)-VLOOKUP($A45,DATA!$A$3:$F$301,2,FALSE))^2+(VLOOKUP(R$1,DATA!$A$3:$F$301,3,FALSE)-VLOOKUP($A45,DATA!$A$3:$F$301,3,FALSE))^2),"")</f>
        <v/>
      </c>
      <c r="S45" s="14" t="str">
        <f>_xlfn.IFNA(SQRT((VLOOKUP(S$1,DATA!$A$3:$F$301,2,FALSE)-VLOOKUP($A45,DATA!$A$3:$F$301,2,FALSE))^2+(VLOOKUP(S$1,DATA!$A$3:$F$301,3,FALSE)-VLOOKUP($A45,DATA!$A$3:$F$301,3,FALSE))^2),"")</f>
        <v/>
      </c>
      <c r="T45" s="14" t="str">
        <f>_xlfn.IFNA(SQRT((VLOOKUP(T$1,DATA!$A$3:$F$301,2,FALSE)-VLOOKUP($A45,DATA!$A$3:$F$301,2,FALSE))^2+(VLOOKUP(T$1,DATA!$A$3:$F$301,3,FALSE)-VLOOKUP($A45,DATA!$A$3:$F$301,3,FALSE))^2),"")</f>
        <v/>
      </c>
      <c r="U45" s="14" t="str">
        <f>_xlfn.IFNA(SQRT((VLOOKUP(U$1,DATA!$A$3:$F$301,2,FALSE)-VLOOKUP($A45,DATA!$A$3:$F$301,2,FALSE))^2+(VLOOKUP(U$1,DATA!$A$3:$F$301,3,FALSE)-VLOOKUP($A45,DATA!$A$3:$F$301,3,FALSE))^2),"")</f>
        <v/>
      </c>
      <c r="V45" s="14" t="str">
        <f>_xlfn.IFNA(SQRT((VLOOKUP(V$1,DATA!$A$3:$F$301,2,FALSE)-VLOOKUP($A45,DATA!$A$3:$F$301,2,FALSE))^2+(VLOOKUP(V$1,DATA!$A$3:$F$301,3,FALSE)-VLOOKUP($A45,DATA!$A$3:$F$301,3,FALSE))^2),"")</f>
        <v/>
      </c>
      <c r="W45" s="14" t="str">
        <f>_xlfn.IFNA(SQRT((VLOOKUP(W$1,DATA!$A$3:$F$301,2,FALSE)-VLOOKUP($A45,DATA!$A$3:$F$301,2,FALSE))^2+(VLOOKUP(W$1,DATA!$A$3:$F$301,3,FALSE)-VLOOKUP($A45,DATA!$A$3:$F$301,3,FALSE))^2),"")</f>
        <v/>
      </c>
      <c r="X45" s="14" t="str">
        <f>_xlfn.IFNA(SQRT((VLOOKUP(X$1,DATA!$A$3:$F$301,2,FALSE)-VLOOKUP($A45,DATA!$A$3:$F$301,2,FALSE))^2+(VLOOKUP(X$1,DATA!$A$3:$F$301,3,FALSE)-VLOOKUP($A45,DATA!$A$3:$F$301,3,FALSE))^2),"")</f>
        <v/>
      </c>
      <c r="Y45" s="14" t="str">
        <f>_xlfn.IFNA(SQRT((VLOOKUP(Y$1,DATA!$A$3:$F$301,2,FALSE)-VLOOKUP($A45,DATA!$A$3:$F$301,2,FALSE))^2+(VLOOKUP(Y$1,DATA!$A$3:$F$301,3,FALSE)-VLOOKUP($A45,DATA!$A$3:$F$301,3,FALSE))^2),"")</f>
        <v/>
      </c>
      <c r="Z45" s="14" t="str">
        <f>_xlfn.IFNA(SQRT((VLOOKUP(Z$1,DATA!$A$3:$F$301,2,FALSE)-VLOOKUP($A45,DATA!$A$3:$F$301,2,FALSE))^2+(VLOOKUP(Z$1,DATA!$A$3:$F$301,3,FALSE)-VLOOKUP($A45,DATA!$A$3:$F$301,3,FALSE))^2),"")</f>
        <v/>
      </c>
      <c r="AA45" s="14" t="str">
        <f>_xlfn.IFNA(SQRT((VLOOKUP(AA$1,DATA!$A$3:$F$301,2,FALSE)-VLOOKUP($A45,DATA!$A$3:$F$301,2,FALSE))^2+(VLOOKUP(AA$1,DATA!$A$3:$F$301,3,FALSE)-VLOOKUP($A45,DATA!$A$3:$F$301,3,FALSE))^2),"")</f>
        <v/>
      </c>
      <c r="AB45" s="14" t="str">
        <f>_xlfn.IFNA(SQRT((VLOOKUP(AB$1,DATA!$A$3:$F$301,2,FALSE)-VLOOKUP($A45,DATA!$A$3:$F$301,2,FALSE))^2+(VLOOKUP(AB$1,DATA!$A$3:$F$301,3,FALSE)-VLOOKUP($A45,DATA!$A$3:$F$301,3,FALSE))^2),"")</f>
        <v/>
      </c>
      <c r="AC45" s="14" t="str">
        <f>_xlfn.IFNA(SQRT((VLOOKUP(AC$1,DATA!$A$3:$F$301,2,FALSE)-VLOOKUP($A45,DATA!$A$3:$F$301,2,FALSE))^2+(VLOOKUP(AC$1,DATA!$A$3:$F$301,3,FALSE)-VLOOKUP($A45,DATA!$A$3:$F$301,3,FALSE))^2),"")</f>
        <v/>
      </c>
      <c r="AD45" s="14" t="str">
        <f>_xlfn.IFNA(SQRT((VLOOKUP(AD$1,DATA!$A$3:$F$301,2,FALSE)-VLOOKUP($A45,DATA!$A$3:$F$301,2,FALSE))^2+(VLOOKUP(AD$1,DATA!$A$3:$F$301,3,FALSE)-VLOOKUP($A45,DATA!$A$3:$F$301,3,FALSE))^2),"")</f>
        <v/>
      </c>
      <c r="AE45" s="14" t="str">
        <f>_xlfn.IFNA(SQRT((VLOOKUP(AE$1,DATA!$A$3:$F$301,2,FALSE)-VLOOKUP($A45,DATA!$A$3:$F$301,2,FALSE))^2+(VLOOKUP(AE$1,DATA!$A$3:$F$301,3,FALSE)-VLOOKUP($A45,DATA!$A$3:$F$301,3,FALSE))^2),"")</f>
        <v/>
      </c>
      <c r="AF45" s="14" t="str">
        <f>_xlfn.IFNA(SQRT((VLOOKUP(AF$1,DATA!$A$3:$F$301,2,FALSE)-VLOOKUP($A45,DATA!$A$3:$F$301,2,FALSE))^2+(VLOOKUP(AF$1,DATA!$A$3:$F$301,3,FALSE)-VLOOKUP($A45,DATA!$A$3:$F$301,3,FALSE))^2),"")</f>
        <v/>
      </c>
      <c r="AG45" s="14" t="str">
        <f>_xlfn.IFNA(SQRT((VLOOKUP(AG$1,DATA!$A$3:$F$301,2,FALSE)-VLOOKUP($A45,DATA!$A$3:$F$301,2,FALSE))^2+(VLOOKUP(AG$1,DATA!$A$3:$F$301,3,FALSE)-VLOOKUP($A45,DATA!$A$3:$F$301,3,FALSE))^2),"")</f>
        <v/>
      </c>
      <c r="AH45" s="14" t="str">
        <f>_xlfn.IFNA(SQRT((VLOOKUP(AH$1,DATA!$A$3:$F$301,2,FALSE)-VLOOKUP($A45,DATA!$A$3:$F$301,2,FALSE))^2+(VLOOKUP(AH$1,DATA!$A$3:$F$301,3,FALSE)-VLOOKUP($A45,DATA!$A$3:$F$301,3,FALSE))^2),"")</f>
        <v/>
      </c>
      <c r="AI45" s="14" t="str">
        <f>_xlfn.IFNA(SQRT((VLOOKUP(AI$1,DATA!$A$3:$F$301,2,FALSE)-VLOOKUP($A45,DATA!$A$3:$F$301,2,FALSE))^2+(VLOOKUP(AI$1,DATA!$A$3:$F$301,3,FALSE)-VLOOKUP($A45,DATA!$A$3:$F$301,3,FALSE))^2),"")</f>
        <v/>
      </c>
      <c r="AJ45" s="14" t="str">
        <f>_xlfn.IFNA(SQRT((VLOOKUP(AJ$1,DATA!$A$3:$F$301,2,FALSE)-VLOOKUP($A45,DATA!$A$3:$F$301,2,FALSE))^2+(VLOOKUP(AJ$1,DATA!$A$3:$F$301,3,FALSE)-VLOOKUP($A45,DATA!$A$3:$F$301,3,FALSE))^2),"")</f>
        <v/>
      </c>
      <c r="AK45" s="14" t="str">
        <f>_xlfn.IFNA(SQRT((VLOOKUP(AK$1,DATA!$A$3:$F$301,2,FALSE)-VLOOKUP($A45,DATA!$A$3:$F$301,2,FALSE))^2+(VLOOKUP(AK$1,DATA!$A$3:$F$301,3,FALSE)-VLOOKUP($A45,DATA!$A$3:$F$301,3,FALSE))^2),"")</f>
        <v/>
      </c>
      <c r="AL45" s="14" t="str">
        <f>_xlfn.IFNA(SQRT((VLOOKUP(AL$1,DATA!$A$3:$F$301,2,FALSE)-VLOOKUP($A45,DATA!$A$3:$F$301,2,FALSE))^2+(VLOOKUP(AL$1,DATA!$A$3:$F$301,3,FALSE)-VLOOKUP($A45,DATA!$A$3:$F$301,3,FALSE))^2),"")</f>
        <v/>
      </c>
      <c r="AM45" s="14" t="str">
        <f>_xlfn.IFNA(SQRT((VLOOKUP(AM$1,DATA!$A$3:$F$301,2,FALSE)-VLOOKUP($A45,DATA!$A$3:$F$301,2,FALSE))^2+(VLOOKUP(AM$1,DATA!$A$3:$F$301,3,FALSE)-VLOOKUP($A45,DATA!$A$3:$F$301,3,FALSE))^2),"")</f>
        <v/>
      </c>
      <c r="AN45" s="14" t="str">
        <f>_xlfn.IFNA(SQRT((VLOOKUP(AN$1,DATA!$A$3:$F$301,2,FALSE)-VLOOKUP($A45,DATA!$A$3:$F$301,2,FALSE))^2+(VLOOKUP(AN$1,DATA!$A$3:$F$301,3,FALSE)-VLOOKUP($A45,DATA!$A$3:$F$301,3,FALSE))^2),"")</f>
        <v/>
      </c>
      <c r="AO45" s="14" t="str">
        <f>_xlfn.IFNA(SQRT((VLOOKUP(AO$1,DATA!$A$3:$F$301,2,FALSE)-VLOOKUP($A45,DATA!$A$3:$F$301,2,FALSE))^2+(VLOOKUP(AO$1,DATA!$A$3:$F$301,3,FALSE)-VLOOKUP($A45,DATA!$A$3:$F$301,3,FALSE))^2),"")</f>
        <v/>
      </c>
      <c r="AP45" s="14" t="str">
        <f>_xlfn.IFNA(SQRT((VLOOKUP(AP$1,DATA!$A$3:$F$301,2,FALSE)-VLOOKUP($A45,DATA!$A$3:$F$301,2,FALSE))^2+(VLOOKUP(AP$1,DATA!$A$3:$F$301,3,FALSE)-VLOOKUP($A45,DATA!$A$3:$F$301,3,FALSE))^2),"")</f>
        <v/>
      </c>
      <c r="AQ45" s="14" t="str">
        <f>_xlfn.IFNA(SQRT((VLOOKUP(AQ$1,DATA!$A$3:$F$301,2,FALSE)-VLOOKUP($A45,DATA!$A$3:$F$301,2,FALSE))^2+(VLOOKUP(AQ$1,DATA!$A$3:$F$301,3,FALSE)-VLOOKUP($A45,DATA!$A$3:$F$301,3,FALSE))^2),"")</f>
        <v/>
      </c>
      <c r="AR45" s="14" t="str">
        <f>_xlfn.IFNA(SQRT((VLOOKUP(AR$1,DATA!$A$3:$F$301,2,FALSE)-VLOOKUP($A45,DATA!$A$3:$F$301,2,FALSE))^2+(VLOOKUP(AR$1,DATA!$A$3:$F$301,3,FALSE)-VLOOKUP($A45,DATA!$A$3:$F$301,3,FALSE))^2),"")</f>
        <v/>
      </c>
      <c r="AS45" s="14" t="str">
        <f>_xlfn.IFNA(SQRT((VLOOKUP(AS$1,DATA!$A$3:$F$301,2,FALSE)-VLOOKUP($A45,DATA!$A$3:$F$301,2,FALSE))^2+(VLOOKUP(AS$1,DATA!$A$3:$F$301,3,FALSE)-VLOOKUP($A45,DATA!$A$3:$F$301,3,FALSE))^2),"")</f>
        <v/>
      </c>
      <c r="AT45" s="14" t="str">
        <f>_xlfn.IFNA(SQRT((VLOOKUP(AT$1,DATA!$A$3:$F$301,2,FALSE)-VLOOKUP($A45,DATA!$A$3:$F$301,2,FALSE))^2+(VLOOKUP(AT$1,DATA!$A$3:$F$301,3,FALSE)-VLOOKUP($A45,DATA!$A$3:$F$301,3,FALSE))^2),"")</f>
        <v/>
      </c>
      <c r="AU45" s="14" t="str">
        <f>_xlfn.IFNA(SQRT((VLOOKUP(AU$1,DATA!$A$3:$F$301,2,FALSE)-VLOOKUP($A45,DATA!$A$3:$F$301,2,FALSE))^2+(VLOOKUP(AU$1,DATA!$A$3:$F$301,3,FALSE)-VLOOKUP($A45,DATA!$A$3:$F$301,3,FALSE))^2),"")</f>
        <v/>
      </c>
      <c r="AV45" s="14" t="str">
        <f>_xlfn.IFNA(SQRT((VLOOKUP(AV$1,DATA!$A$3:$F$301,2,FALSE)-VLOOKUP($A45,DATA!$A$3:$F$301,2,FALSE))^2+(VLOOKUP(AV$1,DATA!$A$3:$F$301,3,FALSE)-VLOOKUP($A45,DATA!$A$3:$F$301,3,FALSE))^2),"")</f>
        <v/>
      </c>
      <c r="AW45" s="14" t="str">
        <f>_xlfn.IFNA(SQRT((VLOOKUP(AW$1,DATA!$A$3:$F$301,2,FALSE)-VLOOKUP($A45,DATA!$A$3:$F$301,2,FALSE))^2+(VLOOKUP(AW$1,DATA!$A$3:$F$301,3,FALSE)-VLOOKUP($A45,DATA!$A$3:$F$301,3,FALSE))^2),"")</f>
        <v/>
      </c>
      <c r="AX45" s="14" t="str">
        <f>_xlfn.IFNA(SQRT((VLOOKUP(AX$1,DATA!$A$3:$F$301,2,FALSE)-VLOOKUP($A45,DATA!$A$3:$F$301,2,FALSE))^2+(VLOOKUP(AX$1,DATA!$A$3:$F$301,3,FALSE)-VLOOKUP($A45,DATA!$A$3:$F$301,3,FALSE))^2),"")</f>
        <v/>
      </c>
      <c r="AY45" s="14" t="str">
        <f>_xlfn.IFNA(SQRT((VLOOKUP(AY$1,DATA!$A$3:$F$301,2,FALSE)-VLOOKUP($A45,DATA!$A$3:$F$301,2,FALSE))^2+(VLOOKUP(AY$1,DATA!$A$3:$F$301,3,FALSE)-VLOOKUP($A45,DATA!$A$3:$F$301,3,FALSE))^2),"")</f>
        <v/>
      </c>
      <c r="AZ45" s="14" t="str">
        <f>_xlfn.IFNA(SQRT((VLOOKUP(AZ$1,DATA!$A$3:$F$301,2,FALSE)-VLOOKUP($A45,DATA!$A$3:$F$301,2,FALSE))^2+(VLOOKUP(AZ$1,DATA!$A$3:$F$301,3,FALSE)-VLOOKUP($A45,DATA!$A$3:$F$301,3,FALSE))^2),"")</f>
        <v/>
      </c>
      <c r="BA45" s="14" t="str">
        <f>_xlfn.IFNA(SQRT((VLOOKUP(BA$1,DATA!$A$3:$F$301,2,FALSE)-VLOOKUP($A45,DATA!$A$3:$F$301,2,FALSE))^2+(VLOOKUP(BA$1,DATA!$A$3:$F$301,3,FALSE)-VLOOKUP($A45,DATA!$A$3:$F$301,3,FALSE))^2),"")</f>
        <v/>
      </c>
      <c r="BB45" s="14" t="str">
        <f>_xlfn.IFNA(SQRT((VLOOKUP(BB$1,DATA!$A$3:$F$301,2,FALSE)-VLOOKUP($A45,DATA!$A$3:$F$301,2,FALSE))^2+(VLOOKUP(BB$1,DATA!$A$3:$F$301,3,FALSE)-VLOOKUP($A45,DATA!$A$3:$F$301,3,FALSE))^2),"")</f>
        <v/>
      </c>
      <c r="BC45" s="14" t="str">
        <f>_xlfn.IFNA(SQRT((VLOOKUP(BC$1,DATA!$A$3:$F$301,2,FALSE)-VLOOKUP($A45,DATA!$A$3:$F$301,2,FALSE))^2+(VLOOKUP(BC$1,DATA!$A$3:$F$301,3,FALSE)-VLOOKUP($A45,DATA!$A$3:$F$301,3,FALSE))^2),"")</f>
        <v/>
      </c>
      <c r="BD45" s="14" t="str">
        <f>_xlfn.IFNA(SQRT((VLOOKUP(BD$1,DATA!$A$3:$F$301,2,FALSE)-VLOOKUP($A45,DATA!$A$3:$F$301,2,FALSE))^2+(VLOOKUP(BD$1,DATA!$A$3:$F$301,3,FALSE)-VLOOKUP($A45,DATA!$A$3:$F$301,3,FALSE))^2),"")</f>
        <v/>
      </c>
      <c r="BE45" s="14" t="str">
        <f>_xlfn.IFNA(SQRT((VLOOKUP(BE$1,DATA!$A$3:$F$301,2,FALSE)-VLOOKUP($A45,DATA!$A$3:$F$301,2,FALSE))^2+(VLOOKUP(BE$1,DATA!$A$3:$F$301,3,FALSE)-VLOOKUP($A45,DATA!$A$3:$F$301,3,FALSE))^2),"")</f>
        <v/>
      </c>
      <c r="BF45" s="14" t="str">
        <f>_xlfn.IFNA(SQRT((VLOOKUP(BF$1,DATA!$A$3:$F$301,2,FALSE)-VLOOKUP($A45,DATA!$A$3:$F$301,2,FALSE))^2+(VLOOKUP(BF$1,DATA!$A$3:$F$301,3,FALSE)-VLOOKUP($A45,DATA!$A$3:$F$301,3,FALSE))^2),"")</f>
        <v/>
      </c>
      <c r="BG45" s="14" t="str">
        <f>_xlfn.IFNA(SQRT((VLOOKUP(BG$1,DATA!$A$3:$F$301,2,FALSE)-VLOOKUP($A45,DATA!$A$3:$F$301,2,FALSE))^2+(VLOOKUP(BG$1,DATA!$A$3:$F$301,3,FALSE)-VLOOKUP($A45,DATA!$A$3:$F$301,3,FALSE))^2),"")</f>
        <v/>
      </c>
      <c r="BH45" s="14" t="str">
        <f>_xlfn.IFNA(SQRT((VLOOKUP(BH$1,DATA!$A$3:$F$301,2,FALSE)-VLOOKUP($A45,DATA!$A$3:$F$301,2,FALSE))^2+(VLOOKUP(BH$1,DATA!$A$3:$F$301,3,FALSE)-VLOOKUP($A45,DATA!$A$3:$F$301,3,FALSE))^2),"")</f>
        <v/>
      </c>
      <c r="BI45" s="14" t="str">
        <f>_xlfn.IFNA(SQRT((VLOOKUP(BI$1,DATA!$A$3:$F$301,2,FALSE)-VLOOKUP($A45,DATA!$A$3:$F$301,2,FALSE))^2+(VLOOKUP(BI$1,DATA!$A$3:$F$301,3,FALSE)-VLOOKUP($A45,DATA!$A$3:$F$301,3,FALSE))^2),"")</f>
        <v/>
      </c>
      <c r="BJ45" s="14" t="str">
        <f>_xlfn.IFNA(SQRT((VLOOKUP(BJ$1,DATA!$A$3:$F$301,2,FALSE)-VLOOKUP($A45,DATA!$A$3:$F$301,2,FALSE))^2+(VLOOKUP(BJ$1,DATA!$A$3:$F$301,3,FALSE)-VLOOKUP($A45,DATA!$A$3:$F$301,3,FALSE))^2),"")</f>
        <v/>
      </c>
      <c r="BK45" s="14" t="str">
        <f>_xlfn.IFNA(SQRT((VLOOKUP(BK$1,DATA!$A$3:$F$301,2,FALSE)-VLOOKUP($A45,DATA!$A$3:$F$301,2,FALSE))^2+(VLOOKUP(BK$1,DATA!$A$3:$F$301,3,FALSE)-VLOOKUP($A45,DATA!$A$3:$F$301,3,FALSE))^2),"")</f>
        <v/>
      </c>
      <c r="BL45" s="14" t="str">
        <f>_xlfn.IFNA(SQRT((VLOOKUP(BL$1,DATA!$A$3:$F$301,2,FALSE)-VLOOKUP($A45,DATA!$A$3:$F$301,2,FALSE))^2+(VLOOKUP(BL$1,DATA!$A$3:$F$301,3,FALSE)-VLOOKUP($A45,DATA!$A$3:$F$301,3,FALSE))^2),"")</f>
        <v/>
      </c>
      <c r="BM45" s="14" t="str">
        <f>_xlfn.IFNA(SQRT((VLOOKUP(BM$1,DATA!$A$3:$F$301,2,FALSE)-VLOOKUP($A45,DATA!$A$3:$F$301,2,FALSE))^2+(VLOOKUP(BM$1,DATA!$A$3:$F$301,3,FALSE)-VLOOKUP($A45,DATA!$A$3:$F$301,3,FALSE))^2),"")</f>
        <v/>
      </c>
      <c r="BN45" s="14" t="str">
        <f>_xlfn.IFNA(SQRT((VLOOKUP(BN$1,DATA!$A$3:$F$301,2,FALSE)-VLOOKUP($A45,DATA!$A$3:$F$301,2,FALSE))^2+(VLOOKUP(BN$1,DATA!$A$3:$F$301,3,FALSE)-VLOOKUP($A45,DATA!$A$3:$F$301,3,FALSE))^2),"")</f>
        <v/>
      </c>
      <c r="BO45" s="14" t="str">
        <f>_xlfn.IFNA(SQRT((VLOOKUP(BO$1,DATA!$A$3:$F$301,2,FALSE)-VLOOKUP($A45,DATA!$A$3:$F$301,2,FALSE))^2+(VLOOKUP(BO$1,DATA!$A$3:$F$301,3,FALSE)-VLOOKUP($A45,DATA!$A$3:$F$301,3,FALSE))^2),"")</f>
        <v/>
      </c>
      <c r="BP45" s="14" t="str">
        <f>_xlfn.IFNA(SQRT((VLOOKUP(BP$1,DATA!$A$3:$F$301,2,FALSE)-VLOOKUP($A45,DATA!$A$3:$F$301,2,FALSE))^2+(VLOOKUP(BP$1,DATA!$A$3:$F$301,3,FALSE)-VLOOKUP($A45,DATA!$A$3:$F$301,3,FALSE))^2),"")</f>
        <v/>
      </c>
      <c r="BQ45" s="14" t="str">
        <f>_xlfn.IFNA(SQRT((VLOOKUP(BQ$1,DATA!$A$3:$F$301,2,FALSE)-VLOOKUP($A45,DATA!$A$3:$F$301,2,FALSE))^2+(VLOOKUP(BQ$1,DATA!$A$3:$F$301,3,FALSE)-VLOOKUP($A45,DATA!$A$3:$F$301,3,FALSE))^2),"")</f>
        <v/>
      </c>
      <c r="BR45" s="14" t="str">
        <f>_xlfn.IFNA(SQRT((VLOOKUP(BR$1,DATA!$A$3:$F$301,2,FALSE)-VLOOKUP($A45,DATA!$A$3:$F$301,2,FALSE))^2+(VLOOKUP(BR$1,DATA!$A$3:$F$301,3,FALSE)-VLOOKUP($A45,DATA!$A$3:$F$301,3,FALSE))^2),"")</f>
        <v/>
      </c>
      <c r="BS45" s="14" t="str">
        <f>_xlfn.IFNA(SQRT((VLOOKUP(BS$1,DATA!$A$3:$F$301,2,FALSE)-VLOOKUP($A45,DATA!$A$3:$F$301,2,FALSE))^2+(VLOOKUP(BS$1,DATA!$A$3:$F$301,3,FALSE)-VLOOKUP($A45,DATA!$A$3:$F$301,3,FALSE))^2),"")</f>
        <v/>
      </c>
      <c r="BT45" s="14" t="str">
        <f>_xlfn.IFNA(SQRT((VLOOKUP(BT$1,DATA!$A$3:$F$301,2,FALSE)-VLOOKUP($A45,DATA!$A$3:$F$301,2,FALSE))^2+(VLOOKUP(BT$1,DATA!$A$3:$F$301,3,FALSE)-VLOOKUP($A45,DATA!$A$3:$F$301,3,FALSE))^2),"")</f>
        <v/>
      </c>
      <c r="BU45" s="14" t="str">
        <f>_xlfn.IFNA(SQRT((VLOOKUP(BU$1,DATA!$A$3:$F$301,2,FALSE)-VLOOKUP($A45,DATA!$A$3:$F$301,2,FALSE))^2+(VLOOKUP(BU$1,DATA!$A$3:$F$301,3,FALSE)-VLOOKUP($A45,DATA!$A$3:$F$301,3,FALSE))^2),"")</f>
        <v/>
      </c>
      <c r="BV45" s="14" t="str">
        <f>_xlfn.IFNA(SQRT((VLOOKUP(BV$1,DATA!$A$3:$F$301,2,FALSE)-VLOOKUP($A45,DATA!$A$3:$F$301,2,FALSE))^2+(VLOOKUP(BV$1,DATA!$A$3:$F$301,3,FALSE)-VLOOKUP($A45,DATA!$A$3:$F$301,3,FALSE))^2),"")</f>
        <v/>
      </c>
      <c r="BW45" s="14" t="str">
        <f>_xlfn.IFNA(SQRT((VLOOKUP(BW$1,DATA!$A$3:$F$301,2,FALSE)-VLOOKUP($A45,DATA!$A$3:$F$301,2,FALSE))^2+(VLOOKUP(BW$1,DATA!$A$3:$F$301,3,FALSE)-VLOOKUP($A45,DATA!$A$3:$F$301,3,FALSE))^2),"")</f>
        <v/>
      </c>
      <c r="BX45" s="14" t="str">
        <f>_xlfn.IFNA(SQRT((VLOOKUP(BX$1,DATA!$A$3:$F$301,2,FALSE)-VLOOKUP($A45,DATA!$A$3:$F$301,2,FALSE))^2+(VLOOKUP(BX$1,DATA!$A$3:$F$301,3,FALSE)-VLOOKUP($A45,DATA!$A$3:$F$301,3,FALSE))^2),"")</f>
        <v/>
      </c>
      <c r="BY45" s="14" t="str">
        <f>_xlfn.IFNA(SQRT((VLOOKUP(BY$1,DATA!$A$3:$F$301,2,FALSE)-VLOOKUP($A45,DATA!$A$3:$F$301,2,FALSE))^2+(VLOOKUP(BY$1,DATA!$A$3:$F$301,3,FALSE)-VLOOKUP($A45,DATA!$A$3:$F$301,3,FALSE))^2),"")</f>
        <v/>
      </c>
      <c r="BZ45" s="14" t="str">
        <f>_xlfn.IFNA(SQRT((VLOOKUP(BZ$1,DATA!$A$3:$F$301,2,FALSE)-VLOOKUP($A45,DATA!$A$3:$F$301,2,FALSE))^2+(VLOOKUP(BZ$1,DATA!$A$3:$F$301,3,FALSE)-VLOOKUP($A45,DATA!$A$3:$F$301,3,FALSE))^2),"")</f>
        <v/>
      </c>
      <c r="CA45" s="14" t="str">
        <f>_xlfn.IFNA(SQRT((VLOOKUP(CA$1,DATA!$A$3:$F$301,2,FALSE)-VLOOKUP($A45,DATA!$A$3:$F$301,2,FALSE))^2+(VLOOKUP(CA$1,DATA!$A$3:$F$301,3,FALSE)-VLOOKUP($A45,DATA!$A$3:$F$301,3,FALSE))^2),"")</f>
        <v/>
      </c>
      <c r="CB45" s="14" t="str">
        <f>_xlfn.IFNA(SQRT((VLOOKUP(CB$1,DATA!$A$3:$F$301,2,FALSE)-VLOOKUP($A45,DATA!$A$3:$F$301,2,FALSE))^2+(VLOOKUP(CB$1,DATA!$A$3:$F$301,3,FALSE)-VLOOKUP($A45,DATA!$A$3:$F$301,3,FALSE))^2),"")</f>
        <v/>
      </c>
      <c r="CC45" s="14" t="str">
        <f>_xlfn.IFNA(SQRT((VLOOKUP(CC$1,DATA!$A$3:$F$301,2,FALSE)-VLOOKUP($A45,DATA!$A$3:$F$301,2,FALSE))^2+(VLOOKUP(CC$1,DATA!$A$3:$F$301,3,FALSE)-VLOOKUP($A45,DATA!$A$3:$F$301,3,FALSE))^2),"")</f>
        <v/>
      </c>
      <c r="CD45" s="14" t="str">
        <f>_xlfn.IFNA(SQRT((VLOOKUP(CD$1,DATA!$A$3:$F$301,2,FALSE)-VLOOKUP($A45,DATA!$A$3:$F$301,2,FALSE))^2+(VLOOKUP(CD$1,DATA!$A$3:$F$301,3,FALSE)-VLOOKUP($A45,DATA!$A$3:$F$301,3,FALSE))^2),"")</f>
        <v/>
      </c>
      <c r="CE45" s="14" t="str">
        <f>_xlfn.IFNA(SQRT((VLOOKUP(CE$1,DATA!$A$3:$F$301,2,FALSE)-VLOOKUP($A45,DATA!$A$3:$F$301,2,FALSE))^2+(VLOOKUP(CE$1,DATA!$A$3:$F$301,3,FALSE)-VLOOKUP($A45,DATA!$A$3:$F$301,3,FALSE))^2),"")</f>
        <v/>
      </c>
      <c r="CF45" s="14" t="str">
        <f>_xlfn.IFNA(SQRT((VLOOKUP(CF$1,DATA!$A$3:$F$301,2,FALSE)-VLOOKUP($A45,DATA!$A$3:$F$301,2,FALSE))^2+(VLOOKUP(CF$1,DATA!$A$3:$F$301,3,FALSE)-VLOOKUP($A45,DATA!$A$3:$F$301,3,FALSE))^2),"")</f>
        <v/>
      </c>
      <c r="CG45" s="14" t="str">
        <f>_xlfn.IFNA(SQRT((VLOOKUP(CG$1,DATA!$A$3:$F$301,2,FALSE)-VLOOKUP($A45,DATA!$A$3:$F$301,2,FALSE))^2+(VLOOKUP(CG$1,DATA!$A$3:$F$301,3,FALSE)-VLOOKUP($A45,DATA!$A$3:$F$301,3,FALSE))^2),"")</f>
        <v/>
      </c>
      <c r="CH45" s="14" t="str">
        <f>_xlfn.IFNA(SQRT((VLOOKUP(CH$1,DATA!$A$3:$F$301,2,FALSE)-VLOOKUP($A45,DATA!$A$3:$F$301,2,FALSE))^2+(VLOOKUP(CH$1,DATA!$A$3:$F$301,3,FALSE)-VLOOKUP($A45,DATA!$A$3:$F$301,3,FALSE))^2),"")</f>
        <v/>
      </c>
      <c r="CI45" s="14" t="str">
        <f>_xlfn.IFNA(SQRT((VLOOKUP(CI$1,DATA!$A$3:$F$301,2,FALSE)-VLOOKUP($A45,DATA!$A$3:$F$301,2,FALSE))^2+(VLOOKUP(CI$1,DATA!$A$3:$F$301,3,FALSE)-VLOOKUP($A45,DATA!$A$3:$F$301,3,FALSE))^2),"")</f>
        <v/>
      </c>
      <c r="CJ45" s="14" t="str">
        <f>_xlfn.IFNA(SQRT((VLOOKUP(CJ$1,DATA!$A$3:$F$301,2,FALSE)-VLOOKUP($A45,DATA!$A$3:$F$301,2,FALSE))^2+(VLOOKUP(CJ$1,DATA!$A$3:$F$301,3,FALSE)-VLOOKUP($A45,DATA!$A$3:$F$301,3,FALSE))^2),"")</f>
        <v/>
      </c>
      <c r="CK45" s="14" t="str">
        <f>_xlfn.IFNA(SQRT((VLOOKUP(CK$1,DATA!$A$3:$F$301,2,FALSE)-VLOOKUP($A45,DATA!$A$3:$F$301,2,FALSE))^2+(VLOOKUP(CK$1,DATA!$A$3:$F$301,3,FALSE)-VLOOKUP($A45,DATA!$A$3:$F$301,3,FALSE))^2),"")</f>
        <v/>
      </c>
      <c r="CL45" s="14" t="str">
        <f>_xlfn.IFNA(SQRT((VLOOKUP(CL$1,DATA!$A$3:$F$301,2,FALSE)-VLOOKUP($A45,DATA!$A$3:$F$301,2,FALSE))^2+(VLOOKUP(CL$1,DATA!$A$3:$F$301,3,FALSE)-VLOOKUP($A45,DATA!$A$3:$F$301,3,FALSE))^2),"")</f>
        <v/>
      </c>
      <c r="CM45" s="14" t="str">
        <f>_xlfn.IFNA(SQRT((VLOOKUP(CM$1,DATA!$A$3:$F$301,2,FALSE)-VLOOKUP($A45,DATA!$A$3:$F$301,2,FALSE))^2+(VLOOKUP(CM$1,DATA!$A$3:$F$301,3,FALSE)-VLOOKUP($A45,DATA!$A$3:$F$301,3,FALSE))^2),"")</f>
        <v/>
      </c>
      <c r="CN45" s="14" t="str">
        <f>_xlfn.IFNA(SQRT((VLOOKUP(CN$1,DATA!$A$3:$F$301,2,FALSE)-VLOOKUP($A45,DATA!$A$3:$F$301,2,FALSE))^2+(VLOOKUP(CN$1,DATA!$A$3:$F$301,3,FALSE)-VLOOKUP($A45,DATA!$A$3:$F$301,3,FALSE))^2),"")</f>
        <v/>
      </c>
      <c r="CO45" s="14" t="str">
        <f>_xlfn.IFNA(SQRT((VLOOKUP(CO$1,DATA!$A$3:$F$301,2,FALSE)-VLOOKUP($A45,DATA!$A$3:$F$301,2,FALSE))^2+(VLOOKUP(CO$1,DATA!$A$3:$F$301,3,FALSE)-VLOOKUP($A45,DATA!$A$3:$F$301,3,FALSE))^2),"")</f>
        <v/>
      </c>
      <c r="CP45" s="14" t="str">
        <f>_xlfn.IFNA(SQRT((VLOOKUP(CP$1,DATA!$A$3:$F$301,2,FALSE)-VLOOKUP($A45,DATA!$A$3:$F$301,2,FALSE))^2+(VLOOKUP(CP$1,DATA!$A$3:$F$301,3,FALSE)-VLOOKUP($A45,DATA!$A$3:$F$301,3,FALSE))^2),"")</f>
        <v/>
      </c>
      <c r="CQ45" s="14" t="str">
        <f>_xlfn.IFNA(SQRT((VLOOKUP(CQ$1,DATA!$A$3:$F$301,2,FALSE)-VLOOKUP($A45,DATA!$A$3:$F$301,2,FALSE))^2+(VLOOKUP(CQ$1,DATA!$A$3:$F$301,3,FALSE)-VLOOKUP($A45,DATA!$A$3:$F$301,3,FALSE))^2),"")</f>
        <v/>
      </c>
      <c r="CR45" s="14" t="str">
        <f>_xlfn.IFNA(SQRT((VLOOKUP(CR$1,DATA!$A$3:$F$301,2,FALSE)-VLOOKUP($A45,DATA!$A$3:$F$301,2,FALSE))^2+(VLOOKUP(CR$1,DATA!$A$3:$F$301,3,FALSE)-VLOOKUP($A45,DATA!$A$3:$F$301,3,FALSE))^2),"")</f>
        <v/>
      </c>
      <c r="CS45" s="14" t="str">
        <f>_xlfn.IFNA(SQRT((VLOOKUP(CS$1,DATA!$A$3:$F$301,2,FALSE)-VLOOKUP($A45,DATA!$A$3:$F$301,2,FALSE))^2+(VLOOKUP(CS$1,DATA!$A$3:$F$301,3,FALSE)-VLOOKUP($A45,DATA!$A$3:$F$301,3,FALSE))^2),"")</f>
        <v/>
      </c>
      <c r="CT45" s="14" t="str">
        <f>_xlfn.IFNA(SQRT((VLOOKUP(CT$1,DATA!$A$3:$F$301,2,FALSE)-VLOOKUP($A45,DATA!$A$3:$F$301,2,FALSE))^2+(VLOOKUP(CT$1,DATA!$A$3:$F$301,3,FALSE)-VLOOKUP($A45,DATA!$A$3:$F$301,3,FALSE))^2),"")</f>
        <v/>
      </c>
      <c r="CU45" s="14" t="str">
        <f>_xlfn.IFNA(SQRT((VLOOKUP(CU$1,DATA!$A$3:$F$301,2,FALSE)-VLOOKUP($A45,DATA!$A$3:$F$301,2,FALSE))^2+(VLOOKUP(CU$1,DATA!$A$3:$F$301,3,FALSE)-VLOOKUP($A45,DATA!$A$3:$F$301,3,FALSE))^2),"")</f>
        <v/>
      </c>
      <c r="CV45" s="14" t="str">
        <f>_xlfn.IFNA(SQRT((VLOOKUP(CV$1,DATA!$A$3:$F$301,2,FALSE)-VLOOKUP($A45,DATA!$A$3:$F$301,2,FALSE))^2+(VLOOKUP(CV$1,DATA!$A$3:$F$301,3,FALSE)-VLOOKUP($A45,DATA!$A$3:$F$301,3,FALSE))^2),"")</f>
        <v/>
      </c>
      <c r="CW45" s="14" t="str">
        <f>_xlfn.IFNA(SQRT((VLOOKUP(CW$1,DATA!$A$3:$F$301,2,FALSE)-VLOOKUP($A45,DATA!$A$3:$F$301,2,FALSE))^2+(VLOOKUP(CW$1,DATA!$A$3:$F$301,3,FALSE)-VLOOKUP($A45,DATA!$A$3:$F$301,3,FALSE))^2),"")</f>
        <v/>
      </c>
      <c r="CX45" s="14" t="str">
        <f>_xlfn.IFNA(SQRT((VLOOKUP(CX$1,DATA!$A$3:$F$301,2,FALSE)-VLOOKUP($A45,DATA!$A$3:$F$301,2,FALSE))^2+(VLOOKUP(CX$1,DATA!$A$3:$F$301,3,FALSE)-VLOOKUP($A45,DATA!$A$3:$F$301,3,FALSE))^2),"")</f>
        <v/>
      </c>
    </row>
    <row r="46" spans="1:102">
      <c r="A46" s="13">
        <v>45</v>
      </c>
      <c r="B46" s="14" t="str">
        <f>_xlfn.IFNA(SQRT((VLOOKUP(B$1,DATA!$A$3:$F$301,2,FALSE)-VLOOKUP($A46,DATA!$A$3:$F$301,2,FALSE))^2+(VLOOKUP(B$1,DATA!$A$3:$F$301,3,FALSE)-VLOOKUP($A46,DATA!$A$3:$F$301,3,FALSE))^2),"")</f>
        <v/>
      </c>
      <c r="C46" s="14" t="str">
        <f>_xlfn.IFNA(SQRT((VLOOKUP(C$1,DATA!$A$3:$F$301,2,FALSE)-VLOOKUP($A46,DATA!$A$3:$F$301,2,FALSE))^2+(VLOOKUP(C$1,DATA!$A$3:$F$301,3,FALSE)-VLOOKUP($A46,DATA!$A$3:$F$301,3,FALSE))^2),"")</f>
        <v/>
      </c>
      <c r="D46" s="14" t="str">
        <f>_xlfn.IFNA(SQRT((VLOOKUP(D$1,DATA!$A$3:$F$301,2,FALSE)-VLOOKUP($A46,DATA!$A$3:$F$301,2,FALSE))^2+(VLOOKUP(D$1,DATA!$A$3:$F$301,3,FALSE)-VLOOKUP($A46,DATA!$A$3:$F$301,3,FALSE))^2),"")</f>
        <v/>
      </c>
      <c r="E46" s="14" t="str">
        <f>_xlfn.IFNA(SQRT((VLOOKUP(E$1,DATA!$A$3:$F$301,2,FALSE)-VLOOKUP($A46,DATA!$A$3:$F$301,2,FALSE))^2+(VLOOKUP(E$1,DATA!$A$3:$F$301,3,FALSE)-VLOOKUP($A46,DATA!$A$3:$F$301,3,FALSE))^2),"")</f>
        <v/>
      </c>
      <c r="F46" s="14" t="str">
        <f>_xlfn.IFNA(SQRT((VLOOKUP(F$1,DATA!$A$3:$F$301,2,FALSE)-VLOOKUP($A46,DATA!$A$3:$F$301,2,FALSE))^2+(VLOOKUP(F$1,DATA!$A$3:$F$301,3,FALSE)-VLOOKUP($A46,DATA!$A$3:$F$301,3,FALSE))^2),"")</f>
        <v/>
      </c>
      <c r="G46" s="14" t="str">
        <f>_xlfn.IFNA(SQRT((VLOOKUP(G$1,DATA!$A$3:$F$301,2,FALSE)-VLOOKUP($A46,DATA!$A$3:$F$301,2,FALSE))^2+(VLOOKUP(G$1,DATA!$A$3:$F$301,3,FALSE)-VLOOKUP($A46,DATA!$A$3:$F$301,3,FALSE))^2),"")</f>
        <v/>
      </c>
      <c r="H46" s="14" t="str">
        <f>_xlfn.IFNA(SQRT((VLOOKUP(H$1,DATA!$A$3:$F$301,2,FALSE)-VLOOKUP($A46,DATA!$A$3:$F$301,2,FALSE))^2+(VLOOKUP(H$1,DATA!$A$3:$F$301,3,FALSE)-VLOOKUP($A46,DATA!$A$3:$F$301,3,FALSE))^2),"")</f>
        <v/>
      </c>
      <c r="I46" s="14" t="str">
        <f>_xlfn.IFNA(SQRT((VLOOKUP(I$1,DATA!$A$3:$F$301,2,FALSE)-VLOOKUP($A46,DATA!$A$3:$F$301,2,FALSE))^2+(VLOOKUP(I$1,DATA!$A$3:$F$301,3,FALSE)-VLOOKUP($A46,DATA!$A$3:$F$301,3,FALSE))^2),"")</f>
        <v/>
      </c>
      <c r="J46" s="14" t="str">
        <f>_xlfn.IFNA(SQRT((VLOOKUP(J$1,DATA!$A$3:$F$301,2,FALSE)-VLOOKUP($A46,DATA!$A$3:$F$301,2,FALSE))^2+(VLOOKUP(J$1,DATA!$A$3:$F$301,3,FALSE)-VLOOKUP($A46,DATA!$A$3:$F$301,3,FALSE))^2),"")</f>
        <v/>
      </c>
      <c r="K46" s="14" t="str">
        <f>_xlfn.IFNA(SQRT((VLOOKUP(K$1,DATA!$A$3:$F$301,2,FALSE)-VLOOKUP($A46,DATA!$A$3:$F$301,2,FALSE))^2+(VLOOKUP(K$1,DATA!$A$3:$F$301,3,FALSE)-VLOOKUP($A46,DATA!$A$3:$F$301,3,FALSE))^2),"")</f>
        <v/>
      </c>
      <c r="L46" s="14" t="str">
        <f>_xlfn.IFNA(SQRT((VLOOKUP(L$1,DATA!$A$3:$F$301,2,FALSE)-VLOOKUP($A46,DATA!$A$3:$F$301,2,FALSE))^2+(VLOOKUP(L$1,DATA!$A$3:$F$301,3,FALSE)-VLOOKUP($A46,DATA!$A$3:$F$301,3,FALSE))^2),"")</f>
        <v/>
      </c>
      <c r="M46" s="14" t="str">
        <f>_xlfn.IFNA(SQRT((VLOOKUP(M$1,DATA!$A$3:$F$301,2,FALSE)-VLOOKUP($A46,DATA!$A$3:$F$301,2,FALSE))^2+(VLOOKUP(M$1,DATA!$A$3:$F$301,3,FALSE)-VLOOKUP($A46,DATA!$A$3:$F$301,3,FALSE))^2),"")</f>
        <v/>
      </c>
      <c r="N46" s="14" t="str">
        <f>_xlfn.IFNA(SQRT((VLOOKUP(N$1,DATA!$A$3:$F$301,2,FALSE)-VLOOKUP($A46,DATA!$A$3:$F$301,2,FALSE))^2+(VLOOKUP(N$1,DATA!$A$3:$F$301,3,FALSE)-VLOOKUP($A46,DATA!$A$3:$F$301,3,FALSE))^2),"")</f>
        <v/>
      </c>
      <c r="O46" s="14" t="str">
        <f>_xlfn.IFNA(SQRT((VLOOKUP(O$1,DATA!$A$3:$F$301,2,FALSE)-VLOOKUP($A46,DATA!$A$3:$F$301,2,FALSE))^2+(VLOOKUP(O$1,DATA!$A$3:$F$301,3,FALSE)-VLOOKUP($A46,DATA!$A$3:$F$301,3,FALSE))^2),"")</f>
        <v/>
      </c>
      <c r="P46" s="14" t="str">
        <f>_xlfn.IFNA(SQRT((VLOOKUP(P$1,DATA!$A$3:$F$301,2,FALSE)-VLOOKUP($A46,DATA!$A$3:$F$301,2,FALSE))^2+(VLOOKUP(P$1,DATA!$A$3:$F$301,3,FALSE)-VLOOKUP($A46,DATA!$A$3:$F$301,3,FALSE))^2),"")</f>
        <v/>
      </c>
      <c r="Q46" s="14" t="str">
        <f>_xlfn.IFNA(SQRT((VLOOKUP(Q$1,DATA!$A$3:$F$301,2,FALSE)-VLOOKUP($A46,DATA!$A$3:$F$301,2,FALSE))^2+(VLOOKUP(Q$1,DATA!$A$3:$F$301,3,FALSE)-VLOOKUP($A46,DATA!$A$3:$F$301,3,FALSE))^2),"")</f>
        <v/>
      </c>
      <c r="R46" s="14" t="str">
        <f>_xlfn.IFNA(SQRT((VLOOKUP(R$1,DATA!$A$3:$F$301,2,FALSE)-VLOOKUP($A46,DATA!$A$3:$F$301,2,FALSE))^2+(VLOOKUP(R$1,DATA!$A$3:$F$301,3,FALSE)-VLOOKUP($A46,DATA!$A$3:$F$301,3,FALSE))^2),"")</f>
        <v/>
      </c>
      <c r="S46" s="14" t="str">
        <f>_xlfn.IFNA(SQRT((VLOOKUP(S$1,DATA!$A$3:$F$301,2,FALSE)-VLOOKUP($A46,DATA!$A$3:$F$301,2,FALSE))^2+(VLOOKUP(S$1,DATA!$A$3:$F$301,3,FALSE)-VLOOKUP($A46,DATA!$A$3:$F$301,3,FALSE))^2),"")</f>
        <v/>
      </c>
      <c r="T46" s="14" t="str">
        <f>_xlfn.IFNA(SQRT((VLOOKUP(T$1,DATA!$A$3:$F$301,2,FALSE)-VLOOKUP($A46,DATA!$A$3:$F$301,2,FALSE))^2+(VLOOKUP(T$1,DATA!$A$3:$F$301,3,FALSE)-VLOOKUP($A46,DATA!$A$3:$F$301,3,FALSE))^2),"")</f>
        <v/>
      </c>
      <c r="U46" s="14" t="str">
        <f>_xlfn.IFNA(SQRT((VLOOKUP(U$1,DATA!$A$3:$F$301,2,FALSE)-VLOOKUP($A46,DATA!$A$3:$F$301,2,FALSE))^2+(VLOOKUP(U$1,DATA!$A$3:$F$301,3,FALSE)-VLOOKUP($A46,DATA!$A$3:$F$301,3,FALSE))^2),"")</f>
        <v/>
      </c>
      <c r="V46" s="14" t="str">
        <f>_xlfn.IFNA(SQRT((VLOOKUP(V$1,DATA!$A$3:$F$301,2,FALSE)-VLOOKUP($A46,DATA!$A$3:$F$301,2,FALSE))^2+(VLOOKUP(V$1,DATA!$A$3:$F$301,3,FALSE)-VLOOKUP($A46,DATA!$A$3:$F$301,3,FALSE))^2),"")</f>
        <v/>
      </c>
      <c r="W46" s="14" t="str">
        <f>_xlfn.IFNA(SQRT((VLOOKUP(W$1,DATA!$A$3:$F$301,2,FALSE)-VLOOKUP($A46,DATA!$A$3:$F$301,2,FALSE))^2+(VLOOKUP(W$1,DATA!$A$3:$F$301,3,FALSE)-VLOOKUP($A46,DATA!$A$3:$F$301,3,FALSE))^2),"")</f>
        <v/>
      </c>
      <c r="X46" s="14" t="str">
        <f>_xlfn.IFNA(SQRT((VLOOKUP(X$1,DATA!$A$3:$F$301,2,FALSE)-VLOOKUP($A46,DATA!$A$3:$F$301,2,FALSE))^2+(VLOOKUP(X$1,DATA!$A$3:$F$301,3,FALSE)-VLOOKUP($A46,DATA!$A$3:$F$301,3,FALSE))^2),"")</f>
        <v/>
      </c>
      <c r="Y46" s="14" t="str">
        <f>_xlfn.IFNA(SQRT((VLOOKUP(Y$1,DATA!$A$3:$F$301,2,FALSE)-VLOOKUP($A46,DATA!$A$3:$F$301,2,FALSE))^2+(VLOOKUP(Y$1,DATA!$A$3:$F$301,3,FALSE)-VLOOKUP($A46,DATA!$A$3:$F$301,3,FALSE))^2),"")</f>
        <v/>
      </c>
      <c r="Z46" s="14" t="str">
        <f>_xlfn.IFNA(SQRT((VLOOKUP(Z$1,DATA!$A$3:$F$301,2,FALSE)-VLOOKUP($A46,DATA!$A$3:$F$301,2,FALSE))^2+(VLOOKUP(Z$1,DATA!$A$3:$F$301,3,FALSE)-VLOOKUP($A46,DATA!$A$3:$F$301,3,FALSE))^2),"")</f>
        <v/>
      </c>
      <c r="AA46" s="14" t="str">
        <f>_xlfn.IFNA(SQRT((VLOOKUP(AA$1,DATA!$A$3:$F$301,2,FALSE)-VLOOKUP($A46,DATA!$A$3:$F$301,2,FALSE))^2+(VLOOKUP(AA$1,DATA!$A$3:$F$301,3,FALSE)-VLOOKUP($A46,DATA!$A$3:$F$301,3,FALSE))^2),"")</f>
        <v/>
      </c>
      <c r="AB46" s="14" t="str">
        <f>_xlfn.IFNA(SQRT((VLOOKUP(AB$1,DATA!$A$3:$F$301,2,FALSE)-VLOOKUP($A46,DATA!$A$3:$F$301,2,FALSE))^2+(VLOOKUP(AB$1,DATA!$A$3:$F$301,3,FALSE)-VLOOKUP($A46,DATA!$A$3:$F$301,3,FALSE))^2),"")</f>
        <v/>
      </c>
      <c r="AC46" s="14" t="str">
        <f>_xlfn.IFNA(SQRT((VLOOKUP(AC$1,DATA!$A$3:$F$301,2,FALSE)-VLOOKUP($A46,DATA!$A$3:$F$301,2,FALSE))^2+(VLOOKUP(AC$1,DATA!$A$3:$F$301,3,FALSE)-VLOOKUP($A46,DATA!$A$3:$F$301,3,FALSE))^2),"")</f>
        <v/>
      </c>
      <c r="AD46" s="14" t="str">
        <f>_xlfn.IFNA(SQRT((VLOOKUP(AD$1,DATA!$A$3:$F$301,2,FALSE)-VLOOKUP($A46,DATA!$A$3:$F$301,2,FALSE))^2+(VLOOKUP(AD$1,DATA!$A$3:$F$301,3,FALSE)-VLOOKUP($A46,DATA!$A$3:$F$301,3,FALSE))^2),"")</f>
        <v/>
      </c>
      <c r="AE46" s="14" t="str">
        <f>_xlfn.IFNA(SQRT((VLOOKUP(AE$1,DATA!$A$3:$F$301,2,FALSE)-VLOOKUP($A46,DATA!$A$3:$F$301,2,FALSE))^2+(VLOOKUP(AE$1,DATA!$A$3:$F$301,3,FALSE)-VLOOKUP($A46,DATA!$A$3:$F$301,3,FALSE))^2),"")</f>
        <v/>
      </c>
      <c r="AF46" s="14" t="str">
        <f>_xlfn.IFNA(SQRT((VLOOKUP(AF$1,DATA!$A$3:$F$301,2,FALSE)-VLOOKUP($A46,DATA!$A$3:$F$301,2,FALSE))^2+(VLOOKUP(AF$1,DATA!$A$3:$F$301,3,FALSE)-VLOOKUP($A46,DATA!$A$3:$F$301,3,FALSE))^2),"")</f>
        <v/>
      </c>
      <c r="AG46" s="14" t="str">
        <f>_xlfn.IFNA(SQRT((VLOOKUP(AG$1,DATA!$A$3:$F$301,2,FALSE)-VLOOKUP($A46,DATA!$A$3:$F$301,2,FALSE))^2+(VLOOKUP(AG$1,DATA!$A$3:$F$301,3,FALSE)-VLOOKUP($A46,DATA!$A$3:$F$301,3,FALSE))^2),"")</f>
        <v/>
      </c>
      <c r="AH46" s="14" t="str">
        <f>_xlfn.IFNA(SQRT((VLOOKUP(AH$1,DATA!$A$3:$F$301,2,FALSE)-VLOOKUP($A46,DATA!$A$3:$F$301,2,FALSE))^2+(VLOOKUP(AH$1,DATA!$A$3:$F$301,3,FALSE)-VLOOKUP($A46,DATA!$A$3:$F$301,3,FALSE))^2),"")</f>
        <v/>
      </c>
      <c r="AI46" s="14" t="str">
        <f>_xlfn.IFNA(SQRT((VLOOKUP(AI$1,DATA!$A$3:$F$301,2,FALSE)-VLOOKUP($A46,DATA!$A$3:$F$301,2,FALSE))^2+(VLOOKUP(AI$1,DATA!$A$3:$F$301,3,FALSE)-VLOOKUP($A46,DATA!$A$3:$F$301,3,FALSE))^2),"")</f>
        <v/>
      </c>
      <c r="AJ46" s="14" t="str">
        <f>_xlfn.IFNA(SQRT((VLOOKUP(AJ$1,DATA!$A$3:$F$301,2,FALSE)-VLOOKUP($A46,DATA!$A$3:$F$301,2,FALSE))^2+(VLOOKUP(AJ$1,DATA!$A$3:$F$301,3,FALSE)-VLOOKUP($A46,DATA!$A$3:$F$301,3,FALSE))^2),"")</f>
        <v/>
      </c>
      <c r="AK46" s="14" t="str">
        <f>_xlfn.IFNA(SQRT((VLOOKUP(AK$1,DATA!$A$3:$F$301,2,FALSE)-VLOOKUP($A46,DATA!$A$3:$F$301,2,FALSE))^2+(VLOOKUP(AK$1,DATA!$A$3:$F$301,3,FALSE)-VLOOKUP($A46,DATA!$A$3:$F$301,3,FALSE))^2),"")</f>
        <v/>
      </c>
      <c r="AL46" s="14" t="str">
        <f>_xlfn.IFNA(SQRT((VLOOKUP(AL$1,DATA!$A$3:$F$301,2,FALSE)-VLOOKUP($A46,DATA!$A$3:$F$301,2,FALSE))^2+(VLOOKUP(AL$1,DATA!$A$3:$F$301,3,FALSE)-VLOOKUP($A46,DATA!$A$3:$F$301,3,FALSE))^2),"")</f>
        <v/>
      </c>
      <c r="AM46" s="14" t="str">
        <f>_xlfn.IFNA(SQRT((VLOOKUP(AM$1,DATA!$A$3:$F$301,2,FALSE)-VLOOKUP($A46,DATA!$A$3:$F$301,2,FALSE))^2+(VLOOKUP(AM$1,DATA!$A$3:$F$301,3,FALSE)-VLOOKUP($A46,DATA!$A$3:$F$301,3,FALSE))^2),"")</f>
        <v/>
      </c>
      <c r="AN46" s="14" t="str">
        <f>_xlfn.IFNA(SQRT((VLOOKUP(AN$1,DATA!$A$3:$F$301,2,FALSE)-VLOOKUP($A46,DATA!$A$3:$F$301,2,FALSE))^2+(VLOOKUP(AN$1,DATA!$A$3:$F$301,3,FALSE)-VLOOKUP($A46,DATA!$A$3:$F$301,3,FALSE))^2),"")</f>
        <v/>
      </c>
      <c r="AO46" s="14" t="str">
        <f>_xlfn.IFNA(SQRT((VLOOKUP(AO$1,DATA!$A$3:$F$301,2,FALSE)-VLOOKUP($A46,DATA!$A$3:$F$301,2,FALSE))^2+(VLOOKUP(AO$1,DATA!$A$3:$F$301,3,FALSE)-VLOOKUP($A46,DATA!$A$3:$F$301,3,FALSE))^2),"")</f>
        <v/>
      </c>
      <c r="AP46" s="14" t="str">
        <f>_xlfn.IFNA(SQRT((VLOOKUP(AP$1,DATA!$A$3:$F$301,2,FALSE)-VLOOKUP($A46,DATA!$A$3:$F$301,2,FALSE))^2+(VLOOKUP(AP$1,DATA!$A$3:$F$301,3,FALSE)-VLOOKUP($A46,DATA!$A$3:$F$301,3,FALSE))^2),"")</f>
        <v/>
      </c>
      <c r="AQ46" s="14" t="str">
        <f>_xlfn.IFNA(SQRT((VLOOKUP(AQ$1,DATA!$A$3:$F$301,2,FALSE)-VLOOKUP($A46,DATA!$A$3:$F$301,2,FALSE))^2+(VLOOKUP(AQ$1,DATA!$A$3:$F$301,3,FALSE)-VLOOKUP($A46,DATA!$A$3:$F$301,3,FALSE))^2),"")</f>
        <v/>
      </c>
      <c r="AR46" s="14" t="str">
        <f>_xlfn.IFNA(SQRT((VLOOKUP(AR$1,DATA!$A$3:$F$301,2,FALSE)-VLOOKUP($A46,DATA!$A$3:$F$301,2,FALSE))^2+(VLOOKUP(AR$1,DATA!$A$3:$F$301,3,FALSE)-VLOOKUP($A46,DATA!$A$3:$F$301,3,FALSE))^2),"")</f>
        <v/>
      </c>
      <c r="AS46" s="14" t="str">
        <f>_xlfn.IFNA(SQRT((VLOOKUP(AS$1,DATA!$A$3:$F$301,2,FALSE)-VLOOKUP($A46,DATA!$A$3:$F$301,2,FALSE))^2+(VLOOKUP(AS$1,DATA!$A$3:$F$301,3,FALSE)-VLOOKUP($A46,DATA!$A$3:$F$301,3,FALSE))^2),"")</f>
        <v/>
      </c>
      <c r="AT46" s="14" t="str">
        <f>_xlfn.IFNA(SQRT((VLOOKUP(AT$1,DATA!$A$3:$F$301,2,FALSE)-VLOOKUP($A46,DATA!$A$3:$F$301,2,FALSE))^2+(VLOOKUP(AT$1,DATA!$A$3:$F$301,3,FALSE)-VLOOKUP($A46,DATA!$A$3:$F$301,3,FALSE))^2),"")</f>
        <v/>
      </c>
      <c r="AU46" s="14" t="str">
        <f>_xlfn.IFNA(SQRT((VLOOKUP(AU$1,DATA!$A$3:$F$301,2,FALSE)-VLOOKUP($A46,DATA!$A$3:$F$301,2,FALSE))^2+(VLOOKUP(AU$1,DATA!$A$3:$F$301,3,FALSE)-VLOOKUP($A46,DATA!$A$3:$F$301,3,FALSE))^2),"")</f>
        <v/>
      </c>
      <c r="AV46" s="14" t="str">
        <f>_xlfn.IFNA(SQRT((VLOOKUP(AV$1,DATA!$A$3:$F$301,2,FALSE)-VLOOKUP($A46,DATA!$A$3:$F$301,2,FALSE))^2+(VLOOKUP(AV$1,DATA!$A$3:$F$301,3,FALSE)-VLOOKUP($A46,DATA!$A$3:$F$301,3,FALSE))^2),"")</f>
        <v/>
      </c>
      <c r="AW46" s="14" t="str">
        <f>_xlfn.IFNA(SQRT((VLOOKUP(AW$1,DATA!$A$3:$F$301,2,FALSE)-VLOOKUP($A46,DATA!$A$3:$F$301,2,FALSE))^2+(VLOOKUP(AW$1,DATA!$A$3:$F$301,3,FALSE)-VLOOKUP($A46,DATA!$A$3:$F$301,3,FALSE))^2),"")</f>
        <v/>
      </c>
      <c r="AX46" s="14" t="str">
        <f>_xlfn.IFNA(SQRT((VLOOKUP(AX$1,DATA!$A$3:$F$301,2,FALSE)-VLOOKUP($A46,DATA!$A$3:$F$301,2,FALSE))^2+(VLOOKUP(AX$1,DATA!$A$3:$F$301,3,FALSE)-VLOOKUP($A46,DATA!$A$3:$F$301,3,FALSE))^2),"")</f>
        <v/>
      </c>
      <c r="AY46" s="14" t="str">
        <f>_xlfn.IFNA(SQRT((VLOOKUP(AY$1,DATA!$A$3:$F$301,2,FALSE)-VLOOKUP($A46,DATA!$A$3:$F$301,2,FALSE))^2+(VLOOKUP(AY$1,DATA!$A$3:$F$301,3,FALSE)-VLOOKUP($A46,DATA!$A$3:$F$301,3,FALSE))^2),"")</f>
        <v/>
      </c>
      <c r="AZ46" s="14" t="str">
        <f>_xlfn.IFNA(SQRT((VLOOKUP(AZ$1,DATA!$A$3:$F$301,2,FALSE)-VLOOKUP($A46,DATA!$A$3:$F$301,2,FALSE))^2+(VLOOKUP(AZ$1,DATA!$A$3:$F$301,3,FALSE)-VLOOKUP($A46,DATA!$A$3:$F$301,3,FALSE))^2),"")</f>
        <v/>
      </c>
      <c r="BA46" s="14" t="str">
        <f>_xlfn.IFNA(SQRT((VLOOKUP(BA$1,DATA!$A$3:$F$301,2,FALSE)-VLOOKUP($A46,DATA!$A$3:$F$301,2,FALSE))^2+(VLOOKUP(BA$1,DATA!$A$3:$F$301,3,FALSE)-VLOOKUP($A46,DATA!$A$3:$F$301,3,FALSE))^2),"")</f>
        <v/>
      </c>
      <c r="BB46" s="14" t="str">
        <f>_xlfn.IFNA(SQRT((VLOOKUP(BB$1,DATA!$A$3:$F$301,2,FALSE)-VLOOKUP($A46,DATA!$A$3:$F$301,2,FALSE))^2+(VLOOKUP(BB$1,DATA!$A$3:$F$301,3,FALSE)-VLOOKUP($A46,DATA!$A$3:$F$301,3,FALSE))^2),"")</f>
        <v/>
      </c>
      <c r="BC46" s="14" t="str">
        <f>_xlfn.IFNA(SQRT((VLOOKUP(BC$1,DATA!$A$3:$F$301,2,FALSE)-VLOOKUP($A46,DATA!$A$3:$F$301,2,FALSE))^2+(VLOOKUP(BC$1,DATA!$A$3:$F$301,3,FALSE)-VLOOKUP($A46,DATA!$A$3:$F$301,3,FALSE))^2),"")</f>
        <v/>
      </c>
      <c r="BD46" s="14" t="str">
        <f>_xlfn.IFNA(SQRT((VLOOKUP(BD$1,DATA!$A$3:$F$301,2,FALSE)-VLOOKUP($A46,DATA!$A$3:$F$301,2,FALSE))^2+(VLOOKUP(BD$1,DATA!$A$3:$F$301,3,FALSE)-VLOOKUP($A46,DATA!$A$3:$F$301,3,FALSE))^2),"")</f>
        <v/>
      </c>
      <c r="BE46" s="14" t="str">
        <f>_xlfn.IFNA(SQRT((VLOOKUP(BE$1,DATA!$A$3:$F$301,2,FALSE)-VLOOKUP($A46,DATA!$A$3:$F$301,2,FALSE))^2+(VLOOKUP(BE$1,DATA!$A$3:$F$301,3,FALSE)-VLOOKUP($A46,DATA!$A$3:$F$301,3,FALSE))^2),"")</f>
        <v/>
      </c>
      <c r="BF46" s="14" t="str">
        <f>_xlfn.IFNA(SQRT((VLOOKUP(BF$1,DATA!$A$3:$F$301,2,FALSE)-VLOOKUP($A46,DATA!$A$3:$F$301,2,FALSE))^2+(VLOOKUP(BF$1,DATA!$A$3:$F$301,3,FALSE)-VLOOKUP($A46,DATA!$A$3:$F$301,3,FALSE))^2),"")</f>
        <v/>
      </c>
      <c r="BG46" s="14" t="str">
        <f>_xlfn.IFNA(SQRT((VLOOKUP(BG$1,DATA!$A$3:$F$301,2,FALSE)-VLOOKUP($A46,DATA!$A$3:$F$301,2,FALSE))^2+(VLOOKUP(BG$1,DATA!$A$3:$F$301,3,FALSE)-VLOOKUP($A46,DATA!$A$3:$F$301,3,FALSE))^2),"")</f>
        <v/>
      </c>
      <c r="BH46" s="14" t="str">
        <f>_xlfn.IFNA(SQRT((VLOOKUP(BH$1,DATA!$A$3:$F$301,2,FALSE)-VLOOKUP($A46,DATA!$A$3:$F$301,2,FALSE))^2+(VLOOKUP(BH$1,DATA!$A$3:$F$301,3,FALSE)-VLOOKUP($A46,DATA!$A$3:$F$301,3,FALSE))^2),"")</f>
        <v/>
      </c>
      <c r="BI46" s="14" t="str">
        <f>_xlfn.IFNA(SQRT((VLOOKUP(BI$1,DATA!$A$3:$F$301,2,FALSE)-VLOOKUP($A46,DATA!$A$3:$F$301,2,FALSE))^2+(VLOOKUP(BI$1,DATA!$A$3:$F$301,3,FALSE)-VLOOKUP($A46,DATA!$A$3:$F$301,3,FALSE))^2),"")</f>
        <v/>
      </c>
      <c r="BJ46" s="14" t="str">
        <f>_xlfn.IFNA(SQRT((VLOOKUP(BJ$1,DATA!$A$3:$F$301,2,FALSE)-VLOOKUP($A46,DATA!$A$3:$F$301,2,FALSE))^2+(VLOOKUP(BJ$1,DATA!$A$3:$F$301,3,FALSE)-VLOOKUP($A46,DATA!$A$3:$F$301,3,FALSE))^2),"")</f>
        <v/>
      </c>
      <c r="BK46" s="14" t="str">
        <f>_xlfn.IFNA(SQRT((VLOOKUP(BK$1,DATA!$A$3:$F$301,2,FALSE)-VLOOKUP($A46,DATA!$A$3:$F$301,2,FALSE))^2+(VLOOKUP(BK$1,DATA!$A$3:$F$301,3,FALSE)-VLOOKUP($A46,DATA!$A$3:$F$301,3,FALSE))^2),"")</f>
        <v/>
      </c>
      <c r="BL46" s="14" t="str">
        <f>_xlfn.IFNA(SQRT((VLOOKUP(BL$1,DATA!$A$3:$F$301,2,FALSE)-VLOOKUP($A46,DATA!$A$3:$F$301,2,FALSE))^2+(VLOOKUP(BL$1,DATA!$A$3:$F$301,3,FALSE)-VLOOKUP($A46,DATA!$A$3:$F$301,3,FALSE))^2),"")</f>
        <v/>
      </c>
      <c r="BM46" s="14" t="str">
        <f>_xlfn.IFNA(SQRT((VLOOKUP(BM$1,DATA!$A$3:$F$301,2,FALSE)-VLOOKUP($A46,DATA!$A$3:$F$301,2,FALSE))^2+(VLOOKUP(BM$1,DATA!$A$3:$F$301,3,FALSE)-VLOOKUP($A46,DATA!$A$3:$F$301,3,FALSE))^2),"")</f>
        <v/>
      </c>
      <c r="BN46" s="14" t="str">
        <f>_xlfn.IFNA(SQRT((VLOOKUP(BN$1,DATA!$A$3:$F$301,2,FALSE)-VLOOKUP($A46,DATA!$A$3:$F$301,2,FALSE))^2+(VLOOKUP(BN$1,DATA!$A$3:$F$301,3,FALSE)-VLOOKUP($A46,DATA!$A$3:$F$301,3,FALSE))^2),"")</f>
        <v/>
      </c>
      <c r="BO46" s="14" t="str">
        <f>_xlfn.IFNA(SQRT((VLOOKUP(BO$1,DATA!$A$3:$F$301,2,FALSE)-VLOOKUP($A46,DATA!$A$3:$F$301,2,FALSE))^2+(VLOOKUP(BO$1,DATA!$A$3:$F$301,3,FALSE)-VLOOKUP($A46,DATA!$A$3:$F$301,3,FALSE))^2),"")</f>
        <v/>
      </c>
      <c r="BP46" s="14" t="str">
        <f>_xlfn.IFNA(SQRT((VLOOKUP(BP$1,DATA!$A$3:$F$301,2,FALSE)-VLOOKUP($A46,DATA!$A$3:$F$301,2,FALSE))^2+(VLOOKUP(BP$1,DATA!$A$3:$F$301,3,FALSE)-VLOOKUP($A46,DATA!$A$3:$F$301,3,FALSE))^2),"")</f>
        <v/>
      </c>
      <c r="BQ46" s="14" t="str">
        <f>_xlfn.IFNA(SQRT((VLOOKUP(BQ$1,DATA!$A$3:$F$301,2,FALSE)-VLOOKUP($A46,DATA!$A$3:$F$301,2,FALSE))^2+(VLOOKUP(BQ$1,DATA!$A$3:$F$301,3,FALSE)-VLOOKUP($A46,DATA!$A$3:$F$301,3,FALSE))^2),"")</f>
        <v/>
      </c>
      <c r="BR46" s="14" t="str">
        <f>_xlfn.IFNA(SQRT((VLOOKUP(BR$1,DATA!$A$3:$F$301,2,FALSE)-VLOOKUP($A46,DATA!$A$3:$F$301,2,FALSE))^2+(VLOOKUP(BR$1,DATA!$A$3:$F$301,3,FALSE)-VLOOKUP($A46,DATA!$A$3:$F$301,3,FALSE))^2),"")</f>
        <v/>
      </c>
      <c r="BS46" s="14" t="str">
        <f>_xlfn.IFNA(SQRT((VLOOKUP(BS$1,DATA!$A$3:$F$301,2,FALSE)-VLOOKUP($A46,DATA!$A$3:$F$301,2,FALSE))^2+(VLOOKUP(BS$1,DATA!$A$3:$F$301,3,FALSE)-VLOOKUP($A46,DATA!$A$3:$F$301,3,FALSE))^2),"")</f>
        <v/>
      </c>
      <c r="BT46" s="14" t="str">
        <f>_xlfn.IFNA(SQRT((VLOOKUP(BT$1,DATA!$A$3:$F$301,2,FALSE)-VLOOKUP($A46,DATA!$A$3:$F$301,2,FALSE))^2+(VLOOKUP(BT$1,DATA!$A$3:$F$301,3,FALSE)-VLOOKUP($A46,DATA!$A$3:$F$301,3,FALSE))^2),"")</f>
        <v/>
      </c>
      <c r="BU46" s="14" t="str">
        <f>_xlfn.IFNA(SQRT((VLOOKUP(BU$1,DATA!$A$3:$F$301,2,FALSE)-VLOOKUP($A46,DATA!$A$3:$F$301,2,FALSE))^2+(VLOOKUP(BU$1,DATA!$A$3:$F$301,3,FALSE)-VLOOKUP($A46,DATA!$A$3:$F$301,3,FALSE))^2),"")</f>
        <v/>
      </c>
      <c r="BV46" s="14" t="str">
        <f>_xlfn.IFNA(SQRT((VLOOKUP(BV$1,DATA!$A$3:$F$301,2,FALSE)-VLOOKUP($A46,DATA!$A$3:$F$301,2,FALSE))^2+(VLOOKUP(BV$1,DATA!$A$3:$F$301,3,FALSE)-VLOOKUP($A46,DATA!$A$3:$F$301,3,FALSE))^2),"")</f>
        <v/>
      </c>
      <c r="BW46" s="14" t="str">
        <f>_xlfn.IFNA(SQRT((VLOOKUP(BW$1,DATA!$A$3:$F$301,2,FALSE)-VLOOKUP($A46,DATA!$A$3:$F$301,2,FALSE))^2+(VLOOKUP(BW$1,DATA!$A$3:$F$301,3,FALSE)-VLOOKUP($A46,DATA!$A$3:$F$301,3,FALSE))^2),"")</f>
        <v/>
      </c>
      <c r="BX46" s="14" t="str">
        <f>_xlfn.IFNA(SQRT((VLOOKUP(BX$1,DATA!$A$3:$F$301,2,FALSE)-VLOOKUP($A46,DATA!$A$3:$F$301,2,FALSE))^2+(VLOOKUP(BX$1,DATA!$A$3:$F$301,3,FALSE)-VLOOKUP($A46,DATA!$A$3:$F$301,3,FALSE))^2),"")</f>
        <v/>
      </c>
      <c r="BY46" s="14" t="str">
        <f>_xlfn.IFNA(SQRT((VLOOKUP(BY$1,DATA!$A$3:$F$301,2,FALSE)-VLOOKUP($A46,DATA!$A$3:$F$301,2,FALSE))^2+(VLOOKUP(BY$1,DATA!$A$3:$F$301,3,FALSE)-VLOOKUP($A46,DATA!$A$3:$F$301,3,FALSE))^2),"")</f>
        <v/>
      </c>
      <c r="BZ46" s="14" t="str">
        <f>_xlfn.IFNA(SQRT((VLOOKUP(BZ$1,DATA!$A$3:$F$301,2,FALSE)-VLOOKUP($A46,DATA!$A$3:$F$301,2,FALSE))^2+(VLOOKUP(BZ$1,DATA!$A$3:$F$301,3,FALSE)-VLOOKUP($A46,DATA!$A$3:$F$301,3,FALSE))^2),"")</f>
        <v/>
      </c>
      <c r="CA46" s="14" t="str">
        <f>_xlfn.IFNA(SQRT((VLOOKUP(CA$1,DATA!$A$3:$F$301,2,FALSE)-VLOOKUP($A46,DATA!$A$3:$F$301,2,FALSE))^2+(VLOOKUP(CA$1,DATA!$A$3:$F$301,3,FALSE)-VLOOKUP($A46,DATA!$A$3:$F$301,3,FALSE))^2),"")</f>
        <v/>
      </c>
      <c r="CB46" s="14" t="str">
        <f>_xlfn.IFNA(SQRT((VLOOKUP(CB$1,DATA!$A$3:$F$301,2,FALSE)-VLOOKUP($A46,DATA!$A$3:$F$301,2,FALSE))^2+(VLOOKUP(CB$1,DATA!$A$3:$F$301,3,FALSE)-VLOOKUP($A46,DATA!$A$3:$F$301,3,FALSE))^2),"")</f>
        <v/>
      </c>
      <c r="CC46" s="14" t="str">
        <f>_xlfn.IFNA(SQRT((VLOOKUP(CC$1,DATA!$A$3:$F$301,2,FALSE)-VLOOKUP($A46,DATA!$A$3:$F$301,2,FALSE))^2+(VLOOKUP(CC$1,DATA!$A$3:$F$301,3,FALSE)-VLOOKUP($A46,DATA!$A$3:$F$301,3,FALSE))^2),"")</f>
        <v/>
      </c>
      <c r="CD46" s="14" t="str">
        <f>_xlfn.IFNA(SQRT((VLOOKUP(CD$1,DATA!$A$3:$F$301,2,FALSE)-VLOOKUP($A46,DATA!$A$3:$F$301,2,FALSE))^2+(VLOOKUP(CD$1,DATA!$A$3:$F$301,3,FALSE)-VLOOKUP($A46,DATA!$A$3:$F$301,3,FALSE))^2),"")</f>
        <v/>
      </c>
      <c r="CE46" s="14" t="str">
        <f>_xlfn.IFNA(SQRT((VLOOKUP(CE$1,DATA!$A$3:$F$301,2,FALSE)-VLOOKUP($A46,DATA!$A$3:$F$301,2,FALSE))^2+(VLOOKUP(CE$1,DATA!$A$3:$F$301,3,FALSE)-VLOOKUP($A46,DATA!$A$3:$F$301,3,FALSE))^2),"")</f>
        <v/>
      </c>
      <c r="CF46" s="14" t="str">
        <f>_xlfn.IFNA(SQRT((VLOOKUP(CF$1,DATA!$A$3:$F$301,2,FALSE)-VLOOKUP($A46,DATA!$A$3:$F$301,2,FALSE))^2+(VLOOKUP(CF$1,DATA!$A$3:$F$301,3,FALSE)-VLOOKUP($A46,DATA!$A$3:$F$301,3,FALSE))^2),"")</f>
        <v/>
      </c>
      <c r="CG46" s="14" t="str">
        <f>_xlfn.IFNA(SQRT((VLOOKUP(CG$1,DATA!$A$3:$F$301,2,FALSE)-VLOOKUP($A46,DATA!$A$3:$F$301,2,FALSE))^2+(VLOOKUP(CG$1,DATA!$A$3:$F$301,3,FALSE)-VLOOKUP($A46,DATA!$A$3:$F$301,3,FALSE))^2),"")</f>
        <v/>
      </c>
      <c r="CH46" s="14" t="str">
        <f>_xlfn.IFNA(SQRT((VLOOKUP(CH$1,DATA!$A$3:$F$301,2,FALSE)-VLOOKUP($A46,DATA!$A$3:$F$301,2,FALSE))^2+(VLOOKUP(CH$1,DATA!$A$3:$F$301,3,FALSE)-VLOOKUP($A46,DATA!$A$3:$F$301,3,FALSE))^2),"")</f>
        <v/>
      </c>
      <c r="CI46" s="14" t="str">
        <f>_xlfn.IFNA(SQRT((VLOOKUP(CI$1,DATA!$A$3:$F$301,2,FALSE)-VLOOKUP($A46,DATA!$A$3:$F$301,2,FALSE))^2+(VLOOKUP(CI$1,DATA!$A$3:$F$301,3,FALSE)-VLOOKUP($A46,DATA!$A$3:$F$301,3,FALSE))^2),"")</f>
        <v/>
      </c>
      <c r="CJ46" s="14" t="str">
        <f>_xlfn.IFNA(SQRT((VLOOKUP(CJ$1,DATA!$A$3:$F$301,2,FALSE)-VLOOKUP($A46,DATA!$A$3:$F$301,2,FALSE))^2+(VLOOKUP(CJ$1,DATA!$A$3:$F$301,3,FALSE)-VLOOKUP($A46,DATA!$A$3:$F$301,3,FALSE))^2),"")</f>
        <v/>
      </c>
      <c r="CK46" s="14" t="str">
        <f>_xlfn.IFNA(SQRT((VLOOKUP(CK$1,DATA!$A$3:$F$301,2,FALSE)-VLOOKUP($A46,DATA!$A$3:$F$301,2,FALSE))^2+(VLOOKUP(CK$1,DATA!$A$3:$F$301,3,FALSE)-VLOOKUP($A46,DATA!$A$3:$F$301,3,FALSE))^2),"")</f>
        <v/>
      </c>
      <c r="CL46" s="14" t="str">
        <f>_xlfn.IFNA(SQRT((VLOOKUP(CL$1,DATA!$A$3:$F$301,2,FALSE)-VLOOKUP($A46,DATA!$A$3:$F$301,2,FALSE))^2+(VLOOKUP(CL$1,DATA!$A$3:$F$301,3,FALSE)-VLOOKUP($A46,DATA!$A$3:$F$301,3,FALSE))^2),"")</f>
        <v/>
      </c>
      <c r="CM46" s="14" t="str">
        <f>_xlfn.IFNA(SQRT((VLOOKUP(CM$1,DATA!$A$3:$F$301,2,FALSE)-VLOOKUP($A46,DATA!$A$3:$F$301,2,FALSE))^2+(VLOOKUP(CM$1,DATA!$A$3:$F$301,3,FALSE)-VLOOKUP($A46,DATA!$A$3:$F$301,3,FALSE))^2),"")</f>
        <v/>
      </c>
      <c r="CN46" s="14" t="str">
        <f>_xlfn.IFNA(SQRT((VLOOKUP(CN$1,DATA!$A$3:$F$301,2,FALSE)-VLOOKUP($A46,DATA!$A$3:$F$301,2,FALSE))^2+(VLOOKUP(CN$1,DATA!$A$3:$F$301,3,FALSE)-VLOOKUP($A46,DATA!$A$3:$F$301,3,FALSE))^2),"")</f>
        <v/>
      </c>
      <c r="CO46" s="14" t="str">
        <f>_xlfn.IFNA(SQRT((VLOOKUP(CO$1,DATA!$A$3:$F$301,2,FALSE)-VLOOKUP($A46,DATA!$A$3:$F$301,2,FALSE))^2+(VLOOKUP(CO$1,DATA!$A$3:$F$301,3,FALSE)-VLOOKUP($A46,DATA!$A$3:$F$301,3,FALSE))^2),"")</f>
        <v/>
      </c>
      <c r="CP46" s="14" t="str">
        <f>_xlfn.IFNA(SQRT((VLOOKUP(CP$1,DATA!$A$3:$F$301,2,FALSE)-VLOOKUP($A46,DATA!$A$3:$F$301,2,FALSE))^2+(VLOOKUP(CP$1,DATA!$A$3:$F$301,3,FALSE)-VLOOKUP($A46,DATA!$A$3:$F$301,3,FALSE))^2),"")</f>
        <v/>
      </c>
      <c r="CQ46" s="14" t="str">
        <f>_xlfn.IFNA(SQRT((VLOOKUP(CQ$1,DATA!$A$3:$F$301,2,FALSE)-VLOOKUP($A46,DATA!$A$3:$F$301,2,FALSE))^2+(VLOOKUP(CQ$1,DATA!$A$3:$F$301,3,FALSE)-VLOOKUP($A46,DATA!$A$3:$F$301,3,FALSE))^2),"")</f>
        <v/>
      </c>
      <c r="CR46" s="14" t="str">
        <f>_xlfn.IFNA(SQRT((VLOOKUP(CR$1,DATA!$A$3:$F$301,2,FALSE)-VLOOKUP($A46,DATA!$A$3:$F$301,2,FALSE))^2+(VLOOKUP(CR$1,DATA!$A$3:$F$301,3,FALSE)-VLOOKUP($A46,DATA!$A$3:$F$301,3,FALSE))^2),"")</f>
        <v/>
      </c>
      <c r="CS46" s="14" t="str">
        <f>_xlfn.IFNA(SQRT((VLOOKUP(CS$1,DATA!$A$3:$F$301,2,FALSE)-VLOOKUP($A46,DATA!$A$3:$F$301,2,FALSE))^2+(VLOOKUP(CS$1,DATA!$A$3:$F$301,3,FALSE)-VLOOKUP($A46,DATA!$A$3:$F$301,3,FALSE))^2),"")</f>
        <v/>
      </c>
      <c r="CT46" s="14" t="str">
        <f>_xlfn.IFNA(SQRT((VLOOKUP(CT$1,DATA!$A$3:$F$301,2,FALSE)-VLOOKUP($A46,DATA!$A$3:$F$301,2,FALSE))^2+(VLOOKUP(CT$1,DATA!$A$3:$F$301,3,FALSE)-VLOOKUP($A46,DATA!$A$3:$F$301,3,FALSE))^2),"")</f>
        <v/>
      </c>
      <c r="CU46" s="14" t="str">
        <f>_xlfn.IFNA(SQRT((VLOOKUP(CU$1,DATA!$A$3:$F$301,2,FALSE)-VLOOKUP($A46,DATA!$A$3:$F$301,2,FALSE))^2+(VLOOKUP(CU$1,DATA!$A$3:$F$301,3,FALSE)-VLOOKUP($A46,DATA!$A$3:$F$301,3,FALSE))^2),"")</f>
        <v/>
      </c>
      <c r="CV46" s="14" t="str">
        <f>_xlfn.IFNA(SQRT((VLOOKUP(CV$1,DATA!$A$3:$F$301,2,FALSE)-VLOOKUP($A46,DATA!$A$3:$F$301,2,FALSE))^2+(VLOOKUP(CV$1,DATA!$A$3:$F$301,3,FALSE)-VLOOKUP($A46,DATA!$A$3:$F$301,3,FALSE))^2),"")</f>
        <v/>
      </c>
      <c r="CW46" s="14" t="str">
        <f>_xlfn.IFNA(SQRT((VLOOKUP(CW$1,DATA!$A$3:$F$301,2,FALSE)-VLOOKUP($A46,DATA!$A$3:$F$301,2,FALSE))^2+(VLOOKUP(CW$1,DATA!$A$3:$F$301,3,FALSE)-VLOOKUP($A46,DATA!$A$3:$F$301,3,FALSE))^2),"")</f>
        <v/>
      </c>
      <c r="CX46" s="14" t="str">
        <f>_xlfn.IFNA(SQRT((VLOOKUP(CX$1,DATA!$A$3:$F$301,2,FALSE)-VLOOKUP($A46,DATA!$A$3:$F$301,2,FALSE))^2+(VLOOKUP(CX$1,DATA!$A$3:$F$301,3,FALSE)-VLOOKUP($A46,DATA!$A$3:$F$301,3,FALSE))^2),"")</f>
        <v/>
      </c>
    </row>
    <row r="47" spans="1:102">
      <c r="A47" s="13">
        <v>46</v>
      </c>
      <c r="B47" s="14" t="str">
        <f>_xlfn.IFNA(SQRT((VLOOKUP(B$1,DATA!$A$3:$F$301,2,FALSE)-VLOOKUP($A47,DATA!$A$3:$F$301,2,FALSE))^2+(VLOOKUP(B$1,DATA!$A$3:$F$301,3,FALSE)-VLOOKUP($A47,DATA!$A$3:$F$301,3,FALSE))^2),"")</f>
        <v/>
      </c>
      <c r="C47" s="14" t="str">
        <f>_xlfn.IFNA(SQRT((VLOOKUP(C$1,DATA!$A$3:$F$301,2,FALSE)-VLOOKUP($A47,DATA!$A$3:$F$301,2,FALSE))^2+(VLOOKUP(C$1,DATA!$A$3:$F$301,3,FALSE)-VLOOKUP($A47,DATA!$A$3:$F$301,3,FALSE))^2),"")</f>
        <v/>
      </c>
      <c r="D47" s="14" t="str">
        <f>_xlfn.IFNA(SQRT((VLOOKUP(D$1,DATA!$A$3:$F$301,2,FALSE)-VLOOKUP($A47,DATA!$A$3:$F$301,2,FALSE))^2+(VLOOKUP(D$1,DATA!$A$3:$F$301,3,FALSE)-VLOOKUP($A47,DATA!$A$3:$F$301,3,FALSE))^2),"")</f>
        <v/>
      </c>
      <c r="E47" s="14" t="str">
        <f>_xlfn.IFNA(SQRT((VLOOKUP(E$1,DATA!$A$3:$F$301,2,FALSE)-VLOOKUP($A47,DATA!$A$3:$F$301,2,FALSE))^2+(VLOOKUP(E$1,DATA!$A$3:$F$301,3,FALSE)-VLOOKUP($A47,DATA!$A$3:$F$301,3,FALSE))^2),"")</f>
        <v/>
      </c>
      <c r="F47" s="14" t="str">
        <f>_xlfn.IFNA(SQRT((VLOOKUP(F$1,DATA!$A$3:$F$301,2,FALSE)-VLOOKUP($A47,DATA!$A$3:$F$301,2,FALSE))^2+(VLOOKUP(F$1,DATA!$A$3:$F$301,3,FALSE)-VLOOKUP($A47,DATA!$A$3:$F$301,3,FALSE))^2),"")</f>
        <v/>
      </c>
      <c r="G47" s="14" t="str">
        <f>_xlfn.IFNA(SQRT((VLOOKUP(G$1,DATA!$A$3:$F$301,2,FALSE)-VLOOKUP($A47,DATA!$A$3:$F$301,2,FALSE))^2+(VLOOKUP(G$1,DATA!$A$3:$F$301,3,FALSE)-VLOOKUP($A47,DATA!$A$3:$F$301,3,FALSE))^2),"")</f>
        <v/>
      </c>
      <c r="H47" s="14" t="str">
        <f>_xlfn.IFNA(SQRT((VLOOKUP(H$1,DATA!$A$3:$F$301,2,FALSE)-VLOOKUP($A47,DATA!$A$3:$F$301,2,FALSE))^2+(VLOOKUP(H$1,DATA!$A$3:$F$301,3,FALSE)-VLOOKUP($A47,DATA!$A$3:$F$301,3,FALSE))^2),"")</f>
        <v/>
      </c>
      <c r="I47" s="14" t="str">
        <f>_xlfn.IFNA(SQRT((VLOOKUP(I$1,DATA!$A$3:$F$301,2,FALSE)-VLOOKUP($A47,DATA!$A$3:$F$301,2,FALSE))^2+(VLOOKUP(I$1,DATA!$A$3:$F$301,3,FALSE)-VLOOKUP($A47,DATA!$A$3:$F$301,3,FALSE))^2),"")</f>
        <v/>
      </c>
      <c r="J47" s="14" t="str">
        <f>_xlfn.IFNA(SQRT((VLOOKUP(J$1,DATA!$A$3:$F$301,2,FALSE)-VLOOKUP($A47,DATA!$A$3:$F$301,2,FALSE))^2+(VLOOKUP(J$1,DATA!$A$3:$F$301,3,FALSE)-VLOOKUP($A47,DATA!$A$3:$F$301,3,FALSE))^2),"")</f>
        <v/>
      </c>
      <c r="K47" s="14" t="str">
        <f>_xlfn.IFNA(SQRT((VLOOKUP(K$1,DATA!$A$3:$F$301,2,FALSE)-VLOOKUP($A47,DATA!$A$3:$F$301,2,FALSE))^2+(VLOOKUP(K$1,DATA!$A$3:$F$301,3,FALSE)-VLOOKUP($A47,DATA!$A$3:$F$301,3,FALSE))^2),"")</f>
        <v/>
      </c>
      <c r="L47" s="14" t="str">
        <f>_xlfn.IFNA(SQRT((VLOOKUP(L$1,DATA!$A$3:$F$301,2,FALSE)-VLOOKUP($A47,DATA!$A$3:$F$301,2,FALSE))^2+(VLOOKUP(L$1,DATA!$A$3:$F$301,3,FALSE)-VLOOKUP($A47,DATA!$A$3:$F$301,3,FALSE))^2),"")</f>
        <v/>
      </c>
      <c r="M47" s="14" t="str">
        <f>_xlfn.IFNA(SQRT((VLOOKUP(M$1,DATA!$A$3:$F$301,2,FALSE)-VLOOKUP($A47,DATA!$A$3:$F$301,2,FALSE))^2+(VLOOKUP(M$1,DATA!$A$3:$F$301,3,FALSE)-VLOOKUP($A47,DATA!$A$3:$F$301,3,FALSE))^2),"")</f>
        <v/>
      </c>
      <c r="N47" s="14" t="str">
        <f>_xlfn.IFNA(SQRT((VLOOKUP(N$1,DATA!$A$3:$F$301,2,FALSE)-VLOOKUP($A47,DATA!$A$3:$F$301,2,FALSE))^2+(VLOOKUP(N$1,DATA!$A$3:$F$301,3,FALSE)-VLOOKUP($A47,DATA!$A$3:$F$301,3,FALSE))^2),"")</f>
        <v/>
      </c>
      <c r="O47" s="14" t="str">
        <f>_xlfn.IFNA(SQRT((VLOOKUP(O$1,DATA!$A$3:$F$301,2,FALSE)-VLOOKUP($A47,DATA!$A$3:$F$301,2,FALSE))^2+(VLOOKUP(O$1,DATA!$A$3:$F$301,3,FALSE)-VLOOKUP($A47,DATA!$A$3:$F$301,3,FALSE))^2),"")</f>
        <v/>
      </c>
      <c r="P47" s="14" t="str">
        <f>_xlfn.IFNA(SQRT((VLOOKUP(P$1,DATA!$A$3:$F$301,2,FALSE)-VLOOKUP($A47,DATA!$A$3:$F$301,2,FALSE))^2+(VLOOKUP(P$1,DATA!$A$3:$F$301,3,FALSE)-VLOOKUP($A47,DATA!$A$3:$F$301,3,FALSE))^2),"")</f>
        <v/>
      </c>
      <c r="Q47" s="14" t="str">
        <f>_xlfn.IFNA(SQRT((VLOOKUP(Q$1,DATA!$A$3:$F$301,2,FALSE)-VLOOKUP($A47,DATA!$A$3:$F$301,2,FALSE))^2+(VLOOKUP(Q$1,DATA!$A$3:$F$301,3,FALSE)-VLOOKUP($A47,DATA!$A$3:$F$301,3,FALSE))^2),"")</f>
        <v/>
      </c>
      <c r="R47" s="14" t="str">
        <f>_xlfn.IFNA(SQRT((VLOOKUP(R$1,DATA!$A$3:$F$301,2,FALSE)-VLOOKUP($A47,DATA!$A$3:$F$301,2,FALSE))^2+(VLOOKUP(R$1,DATA!$A$3:$F$301,3,FALSE)-VLOOKUP($A47,DATA!$A$3:$F$301,3,FALSE))^2),"")</f>
        <v/>
      </c>
      <c r="S47" s="14" t="str">
        <f>_xlfn.IFNA(SQRT((VLOOKUP(S$1,DATA!$A$3:$F$301,2,FALSE)-VLOOKUP($A47,DATA!$A$3:$F$301,2,FALSE))^2+(VLOOKUP(S$1,DATA!$A$3:$F$301,3,FALSE)-VLOOKUP($A47,DATA!$A$3:$F$301,3,FALSE))^2),"")</f>
        <v/>
      </c>
      <c r="T47" s="14" t="str">
        <f>_xlfn.IFNA(SQRT((VLOOKUP(T$1,DATA!$A$3:$F$301,2,FALSE)-VLOOKUP($A47,DATA!$A$3:$F$301,2,FALSE))^2+(VLOOKUP(T$1,DATA!$A$3:$F$301,3,FALSE)-VLOOKUP($A47,DATA!$A$3:$F$301,3,FALSE))^2),"")</f>
        <v/>
      </c>
      <c r="U47" s="14" t="str">
        <f>_xlfn.IFNA(SQRT((VLOOKUP(U$1,DATA!$A$3:$F$301,2,FALSE)-VLOOKUP($A47,DATA!$A$3:$F$301,2,FALSE))^2+(VLOOKUP(U$1,DATA!$A$3:$F$301,3,FALSE)-VLOOKUP($A47,DATA!$A$3:$F$301,3,FALSE))^2),"")</f>
        <v/>
      </c>
      <c r="V47" s="14" t="str">
        <f>_xlfn.IFNA(SQRT((VLOOKUP(V$1,DATA!$A$3:$F$301,2,FALSE)-VLOOKUP($A47,DATA!$A$3:$F$301,2,FALSE))^2+(VLOOKUP(V$1,DATA!$A$3:$F$301,3,FALSE)-VLOOKUP($A47,DATA!$A$3:$F$301,3,FALSE))^2),"")</f>
        <v/>
      </c>
      <c r="W47" s="14" t="str">
        <f>_xlfn.IFNA(SQRT((VLOOKUP(W$1,DATA!$A$3:$F$301,2,FALSE)-VLOOKUP($A47,DATA!$A$3:$F$301,2,FALSE))^2+(VLOOKUP(W$1,DATA!$A$3:$F$301,3,FALSE)-VLOOKUP($A47,DATA!$A$3:$F$301,3,FALSE))^2),"")</f>
        <v/>
      </c>
      <c r="X47" s="14" t="str">
        <f>_xlfn.IFNA(SQRT((VLOOKUP(X$1,DATA!$A$3:$F$301,2,FALSE)-VLOOKUP($A47,DATA!$A$3:$F$301,2,FALSE))^2+(VLOOKUP(X$1,DATA!$A$3:$F$301,3,FALSE)-VLOOKUP($A47,DATA!$A$3:$F$301,3,FALSE))^2),"")</f>
        <v/>
      </c>
      <c r="Y47" s="14" t="str">
        <f>_xlfn.IFNA(SQRT((VLOOKUP(Y$1,DATA!$A$3:$F$301,2,FALSE)-VLOOKUP($A47,DATA!$A$3:$F$301,2,FALSE))^2+(VLOOKUP(Y$1,DATA!$A$3:$F$301,3,FALSE)-VLOOKUP($A47,DATA!$A$3:$F$301,3,FALSE))^2),"")</f>
        <v/>
      </c>
      <c r="Z47" s="14" t="str">
        <f>_xlfn.IFNA(SQRT((VLOOKUP(Z$1,DATA!$A$3:$F$301,2,FALSE)-VLOOKUP($A47,DATA!$A$3:$F$301,2,FALSE))^2+(VLOOKUP(Z$1,DATA!$A$3:$F$301,3,FALSE)-VLOOKUP($A47,DATA!$A$3:$F$301,3,FALSE))^2),"")</f>
        <v/>
      </c>
      <c r="AA47" s="14" t="str">
        <f>_xlfn.IFNA(SQRT((VLOOKUP(AA$1,DATA!$A$3:$F$301,2,FALSE)-VLOOKUP($A47,DATA!$A$3:$F$301,2,FALSE))^2+(VLOOKUP(AA$1,DATA!$A$3:$F$301,3,FALSE)-VLOOKUP($A47,DATA!$A$3:$F$301,3,FALSE))^2),"")</f>
        <v/>
      </c>
      <c r="AB47" s="14" t="str">
        <f>_xlfn.IFNA(SQRT((VLOOKUP(AB$1,DATA!$A$3:$F$301,2,FALSE)-VLOOKUP($A47,DATA!$A$3:$F$301,2,FALSE))^2+(VLOOKUP(AB$1,DATA!$A$3:$F$301,3,FALSE)-VLOOKUP($A47,DATA!$A$3:$F$301,3,FALSE))^2),"")</f>
        <v/>
      </c>
      <c r="AC47" s="14" t="str">
        <f>_xlfn.IFNA(SQRT((VLOOKUP(AC$1,DATA!$A$3:$F$301,2,FALSE)-VLOOKUP($A47,DATA!$A$3:$F$301,2,FALSE))^2+(VLOOKUP(AC$1,DATA!$A$3:$F$301,3,FALSE)-VLOOKUP($A47,DATA!$A$3:$F$301,3,FALSE))^2),"")</f>
        <v/>
      </c>
      <c r="AD47" s="14" t="str">
        <f>_xlfn.IFNA(SQRT((VLOOKUP(AD$1,DATA!$A$3:$F$301,2,FALSE)-VLOOKUP($A47,DATA!$A$3:$F$301,2,FALSE))^2+(VLOOKUP(AD$1,DATA!$A$3:$F$301,3,FALSE)-VLOOKUP($A47,DATA!$A$3:$F$301,3,FALSE))^2),"")</f>
        <v/>
      </c>
      <c r="AE47" s="14" t="str">
        <f>_xlfn.IFNA(SQRT((VLOOKUP(AE$1,DATA!$A$3:$F$301,2,FALSE)-VLOOKUP($A47,DATA!$A$3:$F$301,2,FALSE))^2+(VLOOKUP(AE$1,DATA!$A$3:$F$301,3,FALSE)-VLOOKUP($A47,DATA!$A$3:$F$301,3,FALSE))^2),"")</f>
        <v/>
      </c>
      <c r="AF47" s="14" t="str">
        <f>_xlfn.IFNA(SQRT((VLOOKUP(AF$1,DATA!$A$3:$F$301,2,FALSE)-VLOOKUP($A47,DATA!$A$3:$F$301,2,FALSE))^2+(VLOOKUP(AF$1,DATA!$A$3:$F$301,3,FALSE)-VLOOKUP($A47,DATA!$A$3:$F$301,3,FALSE))^2),"")</f>
        <v/>
      </c>
      <c r="AG47" s="14" t="str">
        <f>_xlfn.IFNA(SQRT((VLOOKUP(AG$1,DATA!$A$3:$F$301,2,FALSE)-VLOOKUP($A47,DATA!$A$3:$F$301,2,FALSE))^2+(VLOOKUP(AG$1,DATA!$A$3:$F$301,3,FALSE)-VLOOKUP($A47,DATA!$A$3:$F$301,3,FALSE))^2),"")</f>
        <v/>
      </c>
      <c r="AH47" s="14" t="str">
        <f>_xlfn.IFNA(SQRT((VLOOKUP(AH$1,DATA!$A$3:$F$301,2,FALSE)-VLOOKUP($A47,DATA!$A$3:$F$301,2,FALSE))^2+(VLOOKUP(AH$1,DATA!$A$3:$F$301,3,FALSE)-VLOOKUP($A47,DATA!$A$3:$F$301,3,FALSE))^2),"")</f>
        <v/>
      </c>
      <c r="AI47" s="14" t="str">
        <f>_xlfn.IFNA(SQRT((VLOOKUP(AI$1,DATA!$A$3:$F$301,2,FALSE)-VLOOKUP($A47,DATA!$A$3:$F$301,2,FALSE))^2+(VLOOKUP(AI$1,DATA!$A$3:$F$301,3,FALSE)-VLOOKUP($A47,DATA!$A$3:$F$301,3,FALSE))^2),"")</f>
        <v/>
      </c>
      <c r="AJ47" s="14" t="str">
        <f>_xlfn.IFNA(SQRT((VLOOKUP(AJ$1,DATA!$A$3:$F$301,2,FALSE)-VLOOKUP($A47,DATA!$A$3:$F$301,2,FALSE))^2+(VLOOKUP(AJ$1,DATA!$A$3:$F$301,3,FALSE)-VLOOKUP($A47,DATA!$A$3:$F$301,3,FALSE))^2),"")</f>
        <v/>
      </c>
      <c r="AK47" s="14" t="str">
        <f>_xlfn.IFNA(SQRT((VLOOKUP(AK$1,DATA!$A$3:$F$301,2,FALSE)-VLOOKUP($A47,DATA!$A$3:$F$301,2,FALSE))^2+(VLOOKUP(AK$1,DATA!$A$3:$F$301,3,FALSE)-VLOOKUP($A47,DATA!$A$3:$F$301,3,FALSE))^2),"")</f>
        <v/>
      </c>
      <c r="AL47" s="14" t="str">
        <f>_xlfn.IFNA(SQRT((VLOOKUP(AL$1,DATA!$A$3:$F$301,2,FALSE)-VLOOKUP($A47,DATA!$A$3:$F$301,2,FALSE))^2+(VLOOKUP(AL$1,DATA!$A$3:$F$301,3,FALSE)-VLOOKUP($A47,DATA!$A$3:$F$301,3,FALSE))^2),"")</f>
        <v/>
      </c>
      <c r="AM47" s="14" t="str">
        <f>_xlfn.IFNA(SQRT((VLOOKUP(AM$1,DATA!$A$3:$F$301,2,FALSE)-VLOOKUP($A47,DATA!$A$3:$F$301,2,FALSE))^2+(VLOOKUP(AM$1,DATA!$A$3:$F$301,3,FALSE)-VLOOKUP($A47,DATA!$A$3:$F$301,3,FALSE))^2),"")</f>
        <v/>
      </c>
      <c r="AN47" s="14" t="str">
        <f>_xlfn.IFNA(SQRT((VLOOKUP(AN$1,DATA!$A$3:$F$301,2,FALSE)-VLOOKUP($A47,DATA!$A$3:$F$301,2,FALSE))^2+(VLOOKUP(AN$1,DATA!$A$3:$F$301,3,FALSE)-VLOOKUP($A47,DATA!$A$3:$F$301,3,FALSE))^2),"")</f>
        <v/>
      </c>
      <c r="AO47" s="14" t="str">
        <f>_xlfn.IFNA(SQRT((VLOOKUP(AO$1,DATA!$A$3:$F$301,2,FALSE)-VLOOKUP($A47,DATA!$A$3:$F$301,2,FALSE))^2+(VLOOKUP(AO$1,DATA!$A$3:$F$301,3,FALSE)-VLOOKUP($A47,DATA!$A$3:$F$301,3,FALSE))^2),"")</f>
        <v/>
      </c>
      <c r="AP47" s="14" t="str">
        <f>_xlfn.IFNA(SQRT((VLOOKUP(AP$1,DATA!$A$3:$F$301,2,FALSE)-VLOOKUP($A47,DATA!$A$3:$F$301,2,FALSE))^2+(VLOOKUP(AP$1,DATA!$A$3:$F$301,3,FALSE)-VLOOKUP($A47,DATA!$A$3:$F$301,3,FALSE))^2),"")</f>
        <v/>
      </c>
      <c r="AQ47" s="14" t="str">
        <f>_xlfn.IFNA(SQRT((VLOOKUP(AQ$1,DATA!$A$3:$F$301,2,FALSE)-VLOOKUP($A47,DATA!$A$3:$F$301,2,FALSE))^2+(VLOOKUP(AQ$1,DATA!$A$3:$F$301,3,FALSE)-VLOOKUP($A47,DATA!$A$3:$F$301,3,FALSE))^2),"")</f>
        <v/>
      </c>
      <c r="AR47" s="14" t="str">
        <f>_xlfn.IFNA(SQRT((VLOOKUP(AR$1,DATA!$A$3:$F$301,2,FALSE)-VLOOKUP($A47,DATA!$A$3:$F$301,2,FALSE))^2+(VLOOKUP(AR$1,DATA!$A$3:$F$301,3,FALSE)-VLOOKUP($A47,DATA!$A$3:$F$301,3,FALSE))^2),"")</f>
        <v/>
      </c>
      <c r="AS47" s="14" t="str">
        <f>_xlfn.IFNA(SQRT((VLOOKUP(AS$1,DATA!$A$3:$F$301,2,FALSE)-VLOOKUP($A47,DATA!$A$3:$F$301,2,FALSE))^2+(VLOOKUP(AS$1,DATA!$A$3:$F$301,3,FALSE)-VLOOKUP($A47,DATA!$A$3:$F$301,3,FALSE))^2),"")</f>
        <v/>
      </c>
      <c r="AT47" s="14" t="str">
        <f>_xlfn.IFNA(SQRT((VLOOKUP(AT$1,DATA!$A$3:$F$301,2,FALSE)-VLOOKUP($A47,DATA!$A$3:$F$301,2,FALSE))^2+(VLOOKUP(AT$1,DATA!$A$3:$F$301,3,FALSE)-VLOOKUP($A47,DATA!$A$3:$F$301,3,FALSE))^2),"")</f>
        <v/>
      </c>
      <c r="AU47" s="14" t="str">
        <f>_xlfn.IFNA(SQRT((VLOOKUP(AU$1,DATA!$A$3:$F$301,2,FALSE)-VLOOKUP($A47,DATA!$A$3:$F$301,2,FALSE))^2+(VLOOKUP(AU$1,DATA!$A$3:$F$301,3,FALSE)-VLOOKUP($A47,DATA!$A$3:$F$301,3,FALSE))^2),"")</f>
        <v/>
      </c>
      <c r="AV47" s="14" t="str">
        <f>_xlfn.IFNA(SQRT((VLOOKUP(AV$1,DATA!$A$3:$F$301,2,FALSE)-VLOOKUP($A47,DATA!$A$3:$F$301,2,FALSE))^2+(VLOOKUP(AV$1,DATA!$A$3:$F$301,3,FALSE)-VLOOKUP($A47,DATA!$A$3:$F$301,3,FALSE))^2),"")</f>
        <v/>
      </c>
      <c r="AW47" s="14" t="str">
        <f>_xlfn.IFNA(SQRT((VLOOKUP(AW$1,DATA!$A$3:$F$301,2,FALSE)-VLOOKUP($A47,DATA!$A$3:$F$301,2,FALSE))^2+(VLOOKUP(AW$1,DATA!$A$3:$F$301,3,FALSE)-VLOOKUP($A47,DATA!$A$3:$F$301,3,FALSE))^2),"")</f>
        <v/>
      </c>
      <c r="AX47" s="14" t="str">
        <f>_xlfn.IFNA(SQRT((VLOOKUP(AX$1,DATA!$A$3:$F$301,2,FALSE)-VLOOKUP($A47,DATA!$A$3:$F$301,2,FALSE))^2+(VLOOKUP(AX$1,DATA!$A$3:$F$301,3,FALSE)-VLOOKUP($A47,DATA!$A$3:$F$301,3,FALSE))^2),"")</f>
        <v/>
      </c>
      <c r="AY47" s="14" t="str">
        <f>_xlfn.IFNA(SQRT((VLOOKUP(AY$1,DATA!$A$3:$F$301,2,FALSE)-VLOOKUP($A47,DATA!$A$3:$F$301,2,FALSE))^2+(VLOOKUP(AY$1,DATA!$A$3:$F$301,3,FALSE)-VLOOKUP($A47,DATA!$A$3:$F$301,3,FALSE))^2),"")</f>
        <v/>
      </c>
      <c r="AZ47" s="14" t="str">
        <f>_xlfn.IFNA(SQRT((VLOOKUP(AZ$1,DATA!$A$3:$F$301,2,FALSE)-VLOOKUP($A47,DATA!$A$3:$F$301,2,FALSE))^2+(VLOOKUP(AZ$1,DATA!$A$3:$F$301,3,FALSE)-VLOOKUP($A47,DATA!$A$3:$F$301,3,FALSE))^2),"")</f>
        <v/>
      </c>
      <c r="BA47" s="14" t="str">
        <f>_xlfn.IFNA(SQRT((VLOOKUP(BA$1,DATA!$A$3:$F$301,2,FALSE)-VLOOKUP($A47,DATA!$A$3:$F$301,2,FALSE))^2+(VLOOKUP(BA$1,DATA!$A$3:$F$301,3,FALSE)-VLOOKUP($A47,DATA!$A$3:$F$301,3,FALSE))^2),"")</f>
        <v/>
      </c>
      <c r="BB47" s="14" t="str">
        <f>_xlfn.IFNA(SQRT((VLOOKUP(BB$1,DATA!$A$3:$F$301,2,FALSE)-VLOOKUP($A47,DATA!$A$3:$F$301,2,FALSE))^2+(VLOOKUP(BB$1,DATA!$A$3:$F$301,3,FALSE)-VLOOKUP($A47,DATA!$A$3:$F$301,3,FALSE))^2),"")</f>
        <v/>
      </c>
      <c r="BC47" s="14" t="str">
        <f>_xlfn.IFNA(SQRT((VLOOKUP(BC$1,DATA!$A$3:$F$301,2,FALSE)-VLOOKUP($A47,DATA!$A$3:$F$301,2,FALSE))^2+(VLOOKUP(BC$1,DATA!$A$3:$F$301,3,FALSE)-VLOOKUP($A47,DATA!$A$3:$F$301,3,FALSE))^2),"")</f>
        <v/>
      </c>
      <c r="BD47" s="14" t="str">
        <f>_xlfn.IFNA(SQRT((VLOOKUP(BD$1,DATA!$A$3:$F$301,2,FALSE)-VLOOKUP($A47,DATA!$A$3:$F$301,2,FALSE))^2+(VLOOKUP(BD$1,DATA!$A$3:$F$301,3,FALSE)-VLOOKUP($A47,DATA!$A$3:$F$301,3,FALSE))^2),"")</f>
        <v/>
      </c>
      <c r="BE47" s="14" t="str">
        <f>_xlfn.IFNA(SQRT((VLOOKUP(BE$1,DATA!$A$3:$F$301,2,FALSE)-VLOOKUP($A47,DATA!$A$3:$F$301,2,FALSE))^2+(VLOOKUP(BE$1,DATA!$A$3:$F$301,3,FALSE)-VLOOKUP($A47,DATA!$A$3:$F$301,3,FALSE))^2),"")</f>
        <v/>
      </c>
      <c r="BF47" s="14" t="str">
        <f>_xlfn.IFNA(SQRT((VLOOKUP(BF$1,DATA!$A$3:$F$301,2,FALSE)-VLOOKUP($A47,DATA!$A$3:$F$301,2,FALSE))^2+(VLOOKUP(BF$1,DATA!$A$3:$F$301,3,FALSE)-VLOOKUP($A47,DATA!$A$3:$F$301,3,FALSE))^2),"")</f>
        <v/>
      </c>
      <c r="BG47" s="14" t="str">
        <f>_xlfn.IFNA(SQRT((VLOOKUP(BG$1,DATA!$A$3:$F$301,2,FALSE)-VLOOKUP($A47,DATA!$A$3:$F$301,2,FALSE))^2+(VLOOKUP(BG$1,DATA!$A$3:$F$301,3,FALSE)-VLOOKUP($A47,DATA!$A$3:$F$301,3,FALSE))^2),"")</f>
        <v/>
      </c>
      <c r="BH47" s="14" t="str">
        <f>_xlfn.IFNA(SQRT((VLOOKUP(BH$1,DATA!$A$3:$F$301,2,FALSE)-VLOOKUP($A47,DATA!$A$3:$F$301,2,FALSE))^2+(VLOOKUP(BH$1,DATA!$A$3:$F$301,3,FALSE)-VLOOKUP($A47,DATA!$A$3:$F$301,3,FALSE))^2),"")</f>
        <v/>
      </c>
      <c r="BI47" s="14" t="str">
        <f>_xlfn.IFNA(SQRT((VLOOKUP(BI$1,DATA!$A$3:$F$301,2,FALSE)-VLOOKUP($A47,DATA!$A$3:$F$301,2,FALSE))^2+(VLOOKUP(BI$1,DATA!$A$3:$F$301,3,FALSE)-VLOOKUP($A47,DATA!$A$3:$F$301,3,FALSE))^2),"")</f>
        <v/>
      </c>
      <c r="BJ47" s="14" t="str">
        <f>_xlfn.IFNA(SQRT((VLOOKUP(BJ$1,DATA!$A$3:$F$301,2,FALSE)-VLOOKUP($A47,DATA!$A$3:$F$301,2,FALSE))^2+(VLOOKUP(BJ$1,DATA!$A$3:$F$301,3,FALSE)-VLOOKUP($A47,DATA!$A$3:$F$301,3,FALSE))^2),"")</f>
        <v/>
      </c>
      <c r="BK47" s="14" t="str">
        <f>_xlfn.IFNA(SQRT((VLOOKUP(BK$1,DATA!$A$3:$F$301,2,FALSE)-VLOOKUP($A47,DATA!$A$3:$F$301,2,FALSE))^2+(VLOOKUP(BK$1,DATA!$A$3:$F$301,3,FALSE)-VLOOKUP($A47,DATA!$A$3:$F$301,3,FALSE))^2),"")</f>
        <v/>
      </c>
      <c r="BL47" s="14" t="str">
        <f>_xlfn.IFNA(SQRT((VLOOKUP(BL$1,DATA!$A$3:$F$301,2,FALSE)-VLOOKUP($A47,DATA!$A$3:$F$301,2,FALSE))^2+(VLOOKUP(BL$1,DATA!$A$3:$F$301,3,FALSE)-VLOOKUP($A47,DATA!$A$3:$F$301,3,FALSE))^2),"")</f>
        <v/>
      </c>
      <c r="BM47" s="14" t="str">
        <f>_xlfn.IFNA(SQRT((VLOOKUP(BM$1,DATA!$A$3:$F$301,2,FALSE)-VLOOKUP($A47,DATA!$A$3:$F$301,2,FALSE))^2+(VLOOKUP(BM$1,DATA!$A$3:$F$301,3,FALSE)-VLOOKUP($A47,DATA!$A$3:$F$301,3,FALSE))^2),"")</f>
        <v/>
      </c>
      <c r="BN47" s="14" t="str">
        <f>_xlfn.IFNA(SQRT((VLOOKUP(BN$1,DATA!$A$3:$F$301,2,FALSE)-VLOOKUP($A47,DATA!$A$3:$F$301,2,FALSE))^2+(VLOOKUP(BN$1,DATA!$A$3:$F$301,3,FALSE)-VLOOKUP($A47,DATA!$A$3:$F$301,3,FALSE))^2),"")</f>
        <v/>
      </c>
      <c r="BO47" s="14" t="str">
        <f>_xlfn.IFNA(SQRT((VLOOKUP(BO$1,DATA!$A$3:$F$301,2,FALSE)-VLOOKUP($A47,DATA!$A$3:$F$301,2,FALSE))^2+(VLOOKUP(BO$1,DATA!$A$3:$F$301,3,FALSE)-VLOOKUP($A47,DATA!$A$3:$F$301,3,FALSE))^2),"")</f>
        <v/>
      </c>
      <c r="BP47" s="14" t="str">
        <f>_xlfn.IFNA(SQRT((VLOOKUP(BP$1,DATA!$A$3:$F$301,2,FALSE)-VLOOKUP($A47,DATA!$A$3:$F$301,2,FALSE))^2+(VLOOKUP(BP$1,DATA!$A$3:$F$301,3,FALSE)-VLOOKUP($A47,DATA!$A$3:$F$301,3,FALSE))^2),"")</f>
        <v/>
      </c>
      <c r="BQ47" s="14" t="str">
        <f>_xlfn.IFNA(SQRT((VLOOKUP(BQ$1,DATA!$A$3:$F$301,2,FALSE)-VLOOKUP($A47,DATA!$A$3:$F$301,2,FALSE))^2+(VLOOKUP(BQ$1,DATA!$A$3:$F$301,3,FALSE)-VLOOKUP($A47,DATA!$A$3:$F$301,3,FALSE))^2),"")</f>
        <v/>
      </c>
      <c r="BR47" s="14" t="str">
        <f>_xlfn.IFNA(SQRT((VLOOKUP(BR$1,DATA!$A$3:$F$301,2,FALSE)-VLOOKUP($A47,DATA!$A$3:$F$301,2,FALSE))^2+(VLOOKUP(BR$1,DATA!$A$3:$F$301,3,FALSE)-VLOOKUP($A47,DATA!$A$3:$F$301,3,FALSE))^2),"")</f>
        <v/>
      </c>
      <c r="BS47" s="14" t="str">
        <f>_xlfn.IFNA(SQRT((VLOOKUP(BS$1,DATA!$A$3:$F$301,2,FALSE)-VLOOKUP($A47,DATA!$A$3:$F$301,2,FALSE))^2+(VLOOKUP(BS$1,DATA!$A$3:$F$301,3,FALSE)-VLOOKUP($A47,DATA!$A$3:$F$301,3,FALSE))^2),"")</f>
        <v/>
      </c>
      <c r="BT47" s="14" t="str">
        <f>_xlfn.IFNA(SQRT((VLOOKUP(BT$1,DATA!$A$3:$F$301,2,FALSE)-VLOOKUP($A47,DATA!$A$3:$F$301,2,FALSE))^2+(VLOOKUP(BT$1,DATA!$A$3:$F$301,3,FALSE)-VLOOKUP($A47,DATA!$A$3:$F$301,3,FALSE))^2),"")</f>
        <v/>
      </c>
      <c r="BU47" s="14" t="str">
        <f>_xlfn.IFNA(SQRT((VLOOKUP(BU$1,DATA!$A$3:$F$301,2,FALSE)-VLOOKUP($A47,DATA!$A$3:$F$301,2,FALSE))^2+(VLOOKUP(BU$1,DATA!$A$3:$F$301,3,FALSE)-VLOOKUP($A47,DATA!$A$3:$F$301,3,FALSE))^2),"")</f>
        <v/>
      </c>
      <c r="BV47" s="14" t="str">
        <f>_xlfn.IFNA(SQRT((VLOOKUP(BV$1,DATA!$A$3:$F$301,2,FALSE)-VLOOKUP($A47,DATA!$A$3:$F$301,2,FALSE))^2+(VLOOKUP(BV$1,DATA!$A$3:$F$301,3,FALSE)-VLOOKUP($A47,DATA!$A$3:$F$301,3,FALSE))^2),"")</f>
        <v/>
      </c>
      <c r="BW47" s="14" t="str">
        <f>_xlfn.IFNA(SQRT((VLOOKUP(BW$1,DATA!$A$3:$F$301,2,FALSE)-VLOOKUP($A47,DATA!$A$3:$F$301,2,FALSE))^2+(VLOOKUP(BW$1,DATA!$A$3:$F$301,3,FALSE)-VLOOKUP($A47,DATA!$A$3:$F$301,3,FALSE))^2),"")</f>
        <v/>
      </c>
      <c r="BX47" s="14" t="str">
        <f>_xlfn.IFNA(SQRT((VLOOKUP(BX$1,DATA!$A$3:$F$301,2,FALSE)-VLOOKUP($A47,DATA!$A$3:$F$301,2,FALSE))^2+(VLOOKUP(BX$1,DATA!$A$3:$F$301,3,FALSE)-VLOOKUP($A47,DATA!$A$3:$F$301,3,FALSE))^2),"")</f>
        <v/>
      </c>
      <c r="BY47" s="14" t="str">
        <f>_xlfn.IFNA(SQRT((VLOOKUP(BY$1,DATA!$A$3:$F$301,2,FALSE)-VLOOKUP($A47,DATA!$A$3:$F$301,2,FALSE))^2+(VLOOKUP(BY$1,DATA!$A$3:$F$301,3,FALSE)-VLOOKUP($A47,DATA!$A$3:$F$301,3,FALSE))^2),"")</f>
        <v/>
      </c>
      <c r="BZ47" s="14" t="str">
        <f>_xlfn.IFNA(SQRT((VLOOKUP(BZ$1,DATA!$A$3:$F$301,2,FALSE)-VLOOKUP($A47,DATA!$A$3:$F$301,2,FALSE))^2+(VLOOKUP(BZ$1,DATA!$A$3:$F$301,3,FALSE)-VLOOKUP($A47,DATA!$A$3:$F$301,3,FALSE))^2),"")</f>
        <v/>
      </c>
      <c r="CA47" s="14" t="str">
        <f>_xlfn.IFNA(SQRT((VLOOKUP(CA$1,DATA!$A$3:$F$301,2,FALSE)-VLOOKUP($A47,DATA!$A$3:$F$301,2,FALSE))^2+(VLOOKUP(CA$1,DATA!$A$3:$F$301,3,FALSE)-VLOOKUP($A47,DATA!$A$3:$F$301,3,FALSE))^2),"")</f>
        <v/>
      </c>
      <c r="CB47" s="14" t="str">
        <f>_xlfn.IFNA(SQRT((VLOOKUP(CB$1,DATA!$A$3:$F$301,2,FALSE)-VLOOKUP($A47,DATA!$A$3:$F$301,2,FALSE))^2+(VLOOKUP(CB$1,DATA!$A$3:$F$301,3,FALSE)-VLOOKUP($A47,DATA!$A$3:$F$301,3,FALSE))^2),"")</f>
        <v/>
      </c>
      <c r="CC47" s="14" t="str">
        <f>_xlfn.IFNA(SQRT((VLOOKUP(CC$1,DATA!$A$3:$F$301,2,FALSE)-VLOOKUP($A47,DATA!$A$3:$F$301,2,FALSE))^2+(VLOOKUP(CC$1,DATA!$A$3:$F$301,3,FALSE)-VLOOKUP($A47,DATA!$A$3:$F$301,3,FALSE))^2),"")</f>
        <v/>
      </c>
      <c r="CD47" s="14" t="str">
        <f>_xlfn.IFNA(SQRT((VLOOKUP(CD$1,DATA!$A$3:$F$301,2,FALSE)-VLOOKUP($A47,DATA!$A$3:$F$301,2,FALSE))^2+(VLOOKUP(CD$1,DATA!$A$3:$F$301,3,FALSE)-VLOOKUP($A47,DATA!$A$3:$F$301,3,FALSE))^2),"")</f>
        <v/>
      </c>
      <c r="CE47" s="14" t="str">
        <f>_xlfn.IFNA(SQRT((VLOOKUP(CE$1,DATA!$A$3:$F$301,2,FALSE)-VLOOKUP($A47,DATA!$A$3:$F$301,2,FALSE))^2+(VLOOKUP(CE$1,DATA!$A$3:$F$301,3,FALSE)-VLOOKUP($A47,DATA!$A$3:$F$301,3,FALSE))^2),"")</f>
        <v/>
      </c>
      <c r="CF47" s="14" t="str">
        <f>_xlfn.IFNA(SQRT((VLOOKUP(CF$1,DATA!$A$3:$F$301,2,FALSE)-VLOOKUP($A47,DATA!$A$3:$F$301,2,FALSE))^2+(VLOOKUP(CF$1,DATA!$A$3:$F$301,3,FALSE)-VLOOKUP($A47,DATA!$A$3:$F$301,3,FALSE))^2),"")</f>
        <v/>
      </c>
      <c r="CG47" s="14" t="str">
        <f>_xlfn.IFNA(SQRT((VLOOKUP(CG$1,DATA!$A$3:$F$301,2,FALSE)-VLOOKUP($A47,DATA!$A$3:$F$301,2,FALSE))^2+(VLOOKUP(CG$1,DATA!$A$3:$F$301,3,FALSE)-VLOOKUP($A47,DATA!$A$3:$F$301,3,FALSE))^2),"")</f>
        <v/>
      </c>
      <c r="CH47" s="14" t="str">
        <f>_xlfn.IFNA(SQRT((VLOOKUP(CH$1,DATA!$A$3:$F$301,2,FALSE)-VLOOKUP($A47,DATA!$A$3:$F$301,2,FALSE))^2+(VLOOKUP(CH$1,DATA!$A$3:$F$301,3,FALSE)-VLOOKUP($A47,DATA!$A$3:$F$301,3,FALSE))^2),"")</f>
        <v/>
      </c>
      <c r="CI47" s="14" t="str">
        <f>_xlfn.IFNA(SQRT((VLOOKUP(CI$1,DATA!$A$3:$F$301,2,FALSE)-VLOOKUP($A47,DATA!$A$3:$F$301,2,FALSE))^2+(VLOOKUP(CI$1,DATA!$A$3:$F$301,3,FALSE)-VLOOKUP($A47,DATA!$A$3:$F$301,3,FALSE))^2),"")</f>
        <v/>
      </c>
      <c r="CJ47" s="14" t="str">
        <f>_xlfn.IFNA(SQRT((VLOOKUP(CJ$1,DATA!$A$3:$F$301,2,FALSE)-VLOOKUP($A47,DATA!$A$3:$F$301,2,FALSE))^2+(VLOOKUP(CJ$1,DATA!$A$3:$F$301,3,FALSE)-VLOOKUP($A47,DATA!$A$3:$F$301,3,FALSE))^2),"")</f>
        <v/>
      </c>
      <c r="CK47" s="14" t="str">
        <f>_xlfn.IFNA(SQRT((VLOOKUP(CK$1,DATA!$A$3:$F$301,2,FALSE)-VLOOKUP($A47,DATA!$A$3:$F$301,2,FALSE))^2+(VLOOKUP(CK$1,DATA!$A$3:$F$301,3,FALSE)-VLOOKUP($A47,DATA!$A$3:$F$301,3,FALSE))^2),"")</f>
        <v/>
      </c>
      <c r="CL47" s="14" t="str">
        <f>_xlfn.IFNA(SQRT((VLOOKUP(CL$1,DATA!$A$3:$F$301,2,FALSE)-VLOOKUP($A47,DATA!$A$3:$F$301,2,FALSE))^2+(VLOOKUP(CL$1,DATA!$A$3:$F$301,3,FALSE)-VLOOKUP($A47,DATA!$A$3:$F$301,3,FALSE))^2),"")</f>
        <v/>
      </c>
      <c r="CM47" s="14" t="str">
        <f>_xlfn.IFNA(SQRT((VLOOKUP(CM$1,DATA!$A$3:$F$301,2,FALSE)-VLOOKUP($A47,DATA!$A$3:$F$301,2,FALSE))^2+(VLOOKUP(CM$1,DATA!$A$3:$F$301,3,FALSE)-VLOOKUP($A47,DATA!$A$3:$F$301,3,FALSE))^2),"")</f>
        <v/>
      </c>
      <c r="CN47" s="14" t="str">
        <f>_xlfn.IFNA(SQRT((VLOOKUP(CN$1,DATA!$A$3:$F$301,2,FALSE)-VLOOKUP($A47,DATA!$A$3:$F$301,2,FALSE))^2+(VLOOKUP(CN$1,DATA!$A$3:$F$301,3,FALSE)-VLOOKUP($A47,DATA!$A$3:$F$301,3,FALSE))^2),"")</f>
        <v/>
      </c>
      <c r="CO47" s="14" t="str">
        <f>_xlfn.IFNA(SQRT((VLOOKUP(CO$1,DATA!$A$3:$F$301,2,FALSE)-VLOOKUP($A47,DATA!$A$3:$F$301,2,FALSE))^2+(VLOOKUP(CO$1,DATA!$A$3:$F$301,3,FALSE)-VLOOKUP($A47,DATA!$A$3:$F$301,3,FALSE))^2),"")</f>
        <v/>
      </c>
      <c r="CP47" s="14" t="str">
        <f>_xlfn.IFNA(SQRT((VLOOKUP(CP$1,DATA!$A$3:$F$301,2,FALSE)-VLOOKUP($A47,DATA!$A$3:$F$301,2,FALSE))^2+(VLOOKUP(CP$1,DATA!$A$3:$F$301,3,FALSE)-VLOOKUP($A47,DATA!$A$3:$F$301,3,FALSE))^2),"")</f>
        <v/>
      </c>
      <c r="CQ47" s="14" t="str">
        <f>_xlfn.IFNA(SQRT((VLOOKUP(CQ$1,DATA!$A$3:$F$301,2,FALSE)-VLOOKUP($A47,DATA!$A$3:$F$301,2,FALSE))^2+(VLOOKUP(CQ$1,DATA!$A$3:$F$301,3,FALSE)-VLOOKUP($A47,DATA!$A$3:$F$301,3,FALSE))^2),"")</f>
        <v/>
      </c>
      <c r="CR47" s="14" t="str">
        <f>_xlfn.IFNA(SQRT((VLOOKUP(CR$1,DATA!$A$3:$F$301,2,FALSE)-VLOOKUP($A47,DATA!$A$3:$F$301,2,FALSE))^2+(VLOOKUP(CR$1,DATA!$A$3:$F$301,3,FALSE)-VLOOKUP($A47,DATA!$A$3:$F$301,3,FALSE))^2),"")</f>
        <v/>
      </c>
      <c r="CS47" s="14" t="str">
        <f>_xlfn.IFNA(SQRT((VLOOKUP(CS$1,DATA!$A$3:$F$301,2,FALSE)-VLOOKUP($A47,DATA!$A$3:$F$301,2,FALSE))^2+(VLOOKUP(CS$1,DATA!$A$3:$F$301,3,FALSE)-VLOOKUP($A47,DATA!$A$3:$F$301,3,FALSE))^2),"")</f>
        <v/>
      </c>
      <c r="CT47" s="14" t="str">
        <f>_xlfn.IFNA(SQRT((VLOOKUP(CT$1,DATA!$A$3:$F$301,2,FALSE)-VLOOKUP($A47,DATA!$A$3:$F$301,2,FALSE))^2+(VLOOKUP(CT$1,DATA!$A$3:$F$301,3,FALSE)-VLOOKUP($A47,DATA!$A$3:$F$301,3,FALSE))^2),"")</f>
        <v/>
      </c>
      <c r="CU47" s="14" t="str">
        <f>_xlfn.IFNA(SQRT((VLOOKUP(CU$1,DATA!$A$3:$F$301,2,FALSE)-VLOOKUP($A47,DATA!$A$3:$F$301,2,FALSE))^2+(VLOOKUP(CU$1,DATA!$A$3:$F$301,3,FALSE)-VLOOKUP($A47,DATA!$A$3:$F$301,3,FALSE))^2),"")</f>
        <v/>
      </c>
      <c r="CV47" s="14" t="str">
        <f>_xlfn.IFNA(SQRT((VLOOKUP(CV$1,DATA!$A$3:$F$301,2,FALSE)-VLOOKUP($A47,DATA!$A$3:$F$301,2,FALSE))^2+(VLOOKUP(CV$1,DATA!$A$3:$F$301,3,FALSE)-VLOOKUP($A47,DATA!$A$3:$F$301,3,FALSE))^2),"")</f>
        <v/>
      </c>
      <c r="CW47" s="14" t="str">
        <f>_xlfn.IFNA(SQRT((VLOOKUP(CW$1,DATA!$A$3:$F$301,2,FALSE)-VLOOKUP($A47,DATA!$A$3:$F$301,2,FALSE))^2+(VLOOKUP(CW$1,DATA!$A$3:$F$301,3,FALSE)-VLOOKUP($A47,DATA!$A$3:$F$301,3,FALSE))^2),"")</f>
        <v/>
      </c>
      <c r="CX47" s="14" t="str">
        <f>_xlfn.IFNA(SQRT((VLOOKUP(CX$1,DATA!$A$3:$F$301,2,FALSE)-VLOOKUP($A47,DATA!$A$3:$F$301,2,FALSE))^2+(VLOOKUP(CX$1,DATA!$A$3:$F$301,3,FALSE)-VLOOKUP($A47,DATA!$A$3:$F$301,3,FALSE))^2),"")</f>
        <v/>
      </c>
    </row>
    <row r="48" spans="1:102">
      <c r="A48" s="13">
        <v>47</v>
      </c>
      <c r="B48" s="14" t="str">
        <f>_xlfn.IFNA(SQRT((VLOOKUP(B$1,DATA!$A$3:$F$301,2,FALSE)-VLOOKUP($A48,DATA!$A$3:$F$301,2,FALSE))^2+(VLOOKUP(B$1,DATA!$A$3:$F$301,3,FALSE)-VLOOKUP($A48,DATA!$A$3:$F$301,3,FALSE))^2),"")</f>
        <v/>
      </c>
      <c r="C48" s="14" t="str">
        <f>_xlfn.IFNA(SQRT((VLOOKUP(C$1,DATA!$A$3:$F$301,2,FALSE)-VLOOKUP($A48,DATA!$A$3:$F$301,2,FALSE))^2+(VLOOKUP(C$1,DATA!$A$3:$F$301,3,FALSE)-VLOOKUP($A48,DATA!$A$3:$F$301,3,FALSE))^2),"")</f>
        <v/>
      </c>
      <c r="D48" s="14" t="str">
        <f>_xlfn.IFNA(SQRT((VLOOKUP(D$1,DATA!$A$3:$F$301,2,FALSE)-VLOOKUP($A48,DATA!$A$3:$F$301,2,FALSE))^2+(VLOOKUP(D$1,DATA!$A$3:$F$301,3,FALSE)-VLOOKUP($A48,DATA!$A$3:$F$301,3,FALSE))^2),"")</f>
        <v/>
      </c>
      <c r="E48" s="14" t="str">
        <f>_xlfn.IFNA(SQRT((VLOOKUP(E$1,DATA!$A$3:$F$301,2,FALSE)-VLOOKUP($A48,DATA!$A$3:$F$301,2,FALSE))^2+(VLOOKUP(E$1,DATA!$A$3:$F$301,3,FALSE)-VLOOKUP($A48,DATA!$A$3:$F$301,3,FALSE))^2),"")</f>
        <v/>
      </c>
      <c r="F48" s="14" t="str">
        <f>_xlfn.IFNA(SQRT((VLOOKUP(F$1,DATA!$A$3:$F$301,2,FALSE)-VLOOKUP($A48,DATA!$A$3:$F$301,2,FALSE))^2+(VLOOKUP(F$1,DATA!$A$3:$F$301,3,FALSE)-VLOOKUP($A48,DATA!$A$3:$F$301,3,FALSE))^2),"")</f>
        <v/>
      </c>
      <c r="G48" s="14" t="str">
        <f>_xlfn.IFNA(SQRT((VLOOKUP(G$1,DATA!$A$3:$F$301,2,FALSE)-VLOOKUP($A48,DATA!$A$3:$F$301,2,FALSE))^2+(VLOOKUP(G$1,DATA!$A$3:$F$301,3,FALSE)-VLOOKUP($A48,DATA!$A$3:$F$301,3,FALSE))^2),"")</f>
        <v/>
      </c>
      <c r="H48" s="14" t="str">
        <f>_xlfn.IFNA(SQRT((VLOOKUP(H$1,DATA!$A$3:$F$301,2,FALSE)-VLOOKUP($A48,DATA!$A$3:$F$301,2,FALSE))^2+(VLOOKUP(H$1,DATA!$A$3:$F$301,3,FALSE)-VLOOKUP($A48,DATA!$A$3:$F$301,3,FALSE))^2),"")</f>
        <v/>
      </c>
      <c r="I48" s="14" t="str">
        <f>_xlfn.IFNA(SQRT((VLOOKUP(I$1,DATA!$A$3:$F$301,2,FALSE)-VLOOKUP($A48,DATA!$A$3:$F$301,2,FALSE))^2+(VLOOKUP(I$1,DATA!$A$3:$F$301,3,FALSE)-VLOOKUP($A48,DATA!$A$3:$F$301,3,FALSE))^2),"")</f>
        <v/>
      </c>
      <c r="J48" s="14" t="str">
        <f>_xlfn.IFNA(SQRT((VLOOKUP(J$1,DATA!$A$3:$F$301,2,FALSE)-VLOOKUP($A48,DATA!$A$3:$F$301,2,FALSE))^2+(VLOOKUP(J$1,DATA!$A$3:$F$301,3,FALSE)-VLOOKUP($A48,DATA!$A$3:$F$301,3,FALSE))^2),"")</f>
        <v/>
      </c>
      <c r="K48" s="14" t="str">
        <f>_xlfn.IFNA(SQRT((VLOOKUP(K$1,DATA!$A$3:$F$301,2,FALSE)-VLOOKUP($A48,DATA!$A$3:$F$301,2,FALSE))^2+(VLOOKUP(K$1,DATA!$A$3:$F$301,3,FALSE)-VLOOKUP($A48,DATA!$A$3:$F$301,3,FALSE))^2),"")</f>
        <v/>
      </c>
      <c r="L48" s="14" t="str">
        <f>_xlfn.IFNA(SQRT((VLOOKUP(L$1,DATA!$A$3:$F$301,2,FALSE)-VLOOKUP($A48,DATA!$A$3:$F$301,2,FALSE))^2+(VLOOKUP(L$1,DATA!$A$3:$F$301,3,FALSE)-VLOOKUP($A48,DATA!$A$3:$F$301,3,FALSE))^2),"")</f>
        <v/>
      </c>
      <c r="M48" s="14" t="str">
        <f>_xlfn.IFNA(SQRT((VLOOKUP(M$1,DATA!$A$3:$F$301,2,FALSE)-VLOOKUP($A48,DATA!$A$3:$F$301,2,FALSE))^2+(VLOOKUP(M$1,DATA!$A$3:$F$301,3,FALSE)-VLOOKUP($A48,DATA!$A$3:$F$301,3,FALSE))^2),"")</f>
        <v/>
      </c>
      <c r="N48" s="14" t="str">
        <f>_xlfn.IFNA(SQRT((VLOOKUP(N$1,DATA!$A$3:$F$301,2,FALSE)-VLOOKUP($A48,DATA!$A$3:$F$301,2,FALSE))^2+(VLOOKUP(N$1,DATA!$A$3:$F$301,3,FALSE)-VLOOKUP($A48,DATA!$A$3:$F$301,3,FALSE))^2),"")</f>
        <v/>
      </c>
      <c r="O48" s="14" t="str">
        <f>_xlfn.IFNA(SQRT((VLOOKUP(O$1,DATA!$A$3:$F$301,2,FALSE)-VLOOKUP($A48,DATA!$A$3:$F$301,2,FALSE))^2+(VLOOKUP(O$1,DATA!$A$3:$F$301,3,FALSE)-VLOOKUP($A48,DATA!$A$3:$F$301,3,FALSE))^2),"")</f>
        <v/>
      </c>
      <c r="P48" s="14" t="str">
        <f>_xlfn.IFNA(SQRT((VLOOKUP(P$1,DATA!$A$3:$F$301,2,FALSE)-VLOOKUP($A48,DATA!$A$3:$F$301,2,FALSE))^2+(VLOOKUP(P$1,DATA!$A$3:$F$301,3,FALSE)-VLOOKUP($A48,DATA!$A$3:$F$301,3,FALSE))^2),"")</f>
        <v/>
      </c>
      <c r="Q48" s="14" t="str">
        <f>_xlfn.IFNA(SQRT((VLOOKUP(Q$1,DATA!$A$3:$F$301,2,FALSE)-VLOOKUP($A48,DATA!$A$3:$F$301,2,FALSE))^2+(VLOOKUP(Q$1,DATA!$A$3:$F$301,3,FALSE)-VLOOKUP($A48,DATA!$A$3:$F$301,3,FALSE))^2),"")</f>
        <v/>
      </c>
      <c r="R48" s="14" t="str">
        <f>_xlfn.IFNA(SQRT((VLOOKUP(R$1,DATA!$A$3:$F$301,2,FALSE)-VLOOKUP($A48,DATA!$A$3:$F$301,2,FALSE))^2+(VLOOKUP(R$1,DATA!$A$3:$F$301,3,FALSE)-VLOOKUP($A48,DATA!$A$3:$F$301,3,FALSE))^2),"")</f>
        <v/>
      </c>
      <c r="S48" s="14" t="str">
        <f>_xlfn.IFNA(SQRT((VLOOKUP(S$1,DATA!$A$3:$F$301,2,FALSE)-VLOOKUP($A48,DATA!$A$3:$F$301,2,FALSE))^2+(VLOOKUP(S$1,DATA!$A$3:$F$301,3,FALSE)-VLOOKUP($A48,DATA!$A$3:$F$301,3,FALSE))^2),"")</f>
        <v/>
      </c>
      <c r="T48" s="14" t="str">
        <f>_xlfn.IFNA(SQRT((VLOOKUP(T$1,DATA!$A$3:$F$301,2,FALSE)-VLOOKUP($A48,DATA!$A$3:$F$301,2,FALSE))^2+(VLOOKUP(T$1,DATA!$A$3:$F$301,3,FALSE)-VLOOKUP($A48,DATA!$A$3:$F$301,3,FALSE))^2),"")</f>
        <v/>
      </c>
      <c r="U48" s="14" t="str">
        <f>_xlfn.IFNA(SQRT((VLOOKUP(U$1,DATA!$A$3:$F$301,2,FALSE)-VLOOKUP($A48,DATA!$A$3:$F$301,2,FALSE))^2+(VLOOKUP(U$1,DATA!$A$3:$F$301,3,FALSE)-VLOOKUP($A48,DATA!$A$3:$F$301,3,FALSE))^2),"")</f>
        <v/>
      </c>
      <c r="V48" s="14" t="str">
        <f>_xlfn.IFNA(SQRT((VLOOKUP(V$1,DATA!$A$3:$F$301,2,FALSE)-VLOOKUP($A48,DATA!$A$3:$F$301,2,FALSE))^2+(VLOOKUP(V$1,DATA!$A$3:$F$301,3,FALSE)-VLOOKUP($A48,DATA!$A$3:$F$301,3,FALSE))^2),"")</f>
        <v/>
      </c>
      <c r="W48" s="14" t="str">
        <f>_xlfn.IFNA(SQRT((VLOOKUP(W$1,DATA!$A$3:$F$301,2,FALSE)-VLOOKUP($A48,DATA!$A$3:$F$301,2,FALSE))^2+(VLOOKUP(W$1,DATA!$A$3:$F$301,3,FALSE)-VLOOKUP($A48,DATA!$A$3:$F$301,3,FALSE))^2),"")</f>
        <v/>
      </c>
      <c r="X48" s="14" t="str">
        <f>_xlfn.IFNA(SQRT((VLOOKUP(X$1,DATA!$A$3:$F$301,2,FALSE)-VLOOKUP($A48,DATA!$A$3:$F$301,2,FALSE))^2+(VLOOKUP(X$1,DATA!$A$3:$F$301,3,FALSE)-VLOOKUP($A48,DATA!$A$3:$F$301,3,FALSE))^2),"")</f>
        <v/>
      </c>
      <c r="Y48" s="14" t="str">
        <f>_xlfn.IFNA(SQRT((VLOOKUP(Y$1,DATA!$A$3:$F$301,2,FALSE)-VLOOKUP($A48,DATA!$A$3:$F$301,2,FALSE))^2+(VLOOKUP(Y$1,DATA!$A$3:$F$301,3,FALSE)-VLOOKUP($A48,DATA!$A$3:$F$301,3,FALSE))^2),"")</f>
        <v/>
      </c>
      <c r="Z48" s="14" t="str">
        <f>_xlfn.IFNA(SQRT((VLOOKUP(Z$1,DATA!$A$3:$F$301,2,FALSE)-VLOOKUP($A48,DATA!$A$3:$F$301,2,FALSE))^2+(VLOOKUP(Z$1,DATA!$A$3:$F$301,3,FALSE)-VLOOKUP($A48,DATA!$A$3:$F$301,3,FALSE))^2),"")</f>
        <v/>
      </c>
      <c r="AA48" s="14" t="str">
        <f>_xlfn.IFNA(SQRT((VLOOKUP(AA$1,DATA!$A$3:$F$301,2,FALSE)-VLOOKUP($A48,DATA!$A$3:$F$301,2,FALSE))^2+(VLOOKUP(AA$1,DATA!$A$3:$F$301,3,FALSE)-VLOOKUP($A48,DATA!$A$3:$F$301,3,FALSE))^2),"")</f>
        <v/>
      </c>
      <c r="AB48" s="14" t="str">
        <f>_xlfn.IFNA(SQRT((VLOOKUP(AB$1,DATA!$A$3:$F$301,2,FALSE)-VLOOKUP($A48,DATA!$A$3:$F$301,2,FALSE))^2+(VLOOKUP(AB$1,DATA!$A$3:$F$301,3,FALSE)-VLOOKUP($A48,DATA!$A$3:$F$301,3,FALSE))^2),"")</f>
        <v/>
      </c>
      <c r="AC48" s="14" t="str">
        <f>_xlfn.IFNA(SQRT((VLOOKUP(AC$1,DATA!$A$3:$F$301,2,FALSE)-VLOOKUP($A48,DATA!$A$3:$F$301,2,FALSE))^2+(VLOOKUP(AC$1,DATA!$A$3:$F$301,3,FALSE)-VLOOKUP($A48,DATA!$A$3:$F$301,3,FALSE))^2),"")</f>
        <v/>
      </c>
      <c r="AD48" s="14" t="str">
        <f>_xlfn.IFNA(SQRT((VLOOKUP(AD$1,DATA!$A$3:$F$301,2,FALSE)-VLOOKUP($A48,DATA!$A$3:$F$301,2,FALSE))^2+(VLOOKUP(AD$1,DATA!$A$3:$F$301,3,FALSE)-VLOOKUP($A48,DATA!$A$3:$F$301,3,FALSE))^2),"")</f>
        <v/>
      </c>
      <c r="AE48" s="14" t="str">
        <f>_xlfn.IFNA(SQRT((VLOOKUP(AE$1,DATA!$A$3:$F$301,2,FALSE)-VLOOKUP($A48,DATA!$A$3:$F$301,2,FALSE))^2+(VLOOKUP(AE$1,DATA!$A$3:$F$301,3,FALSE)-VLOOKUP($A48,DATA!$A$3:$F$301,3,FALSE))^2),"")</f>
        <v/>
      </c>
      <c r="AF48" s="14" t="str">
        <f>_xlfn.IFNA(SQRT((VLOOKUP(AF$1,DATA!$A$3:$F$301,2,FALSE)-VLOOKUP($A48,DATA!$A$3:$F$301,2,FALSE))^2+(VLOOKUP(AF$1,DATA!$A$3:$F$301,3,FALSE)-VLOOKUP($A48,DATA!$A$3:$F$301,3,FALSE))^2),"")</f>
        <v/>
      </c>
      <c r="AG48" s="14" t="str">
        <f>_xlfn.IFNA(SQRT((VLOOKUP(AG$1,DATA!$A$3:$F$301,2,FALSE)-VLOOKUP($A48,DATA!$A$3:$F$301,2,FALSE))^2+(VLOOKUP(AG$1,DATA!$A$3:$F$301,3,FALSE)-VLOOKUP($A48,DATA!$A$3:$F$301,3,FALSE))^2),"")</f>
        <v/>
      </c>
      <c r="AH48" s="14" t="str">
        <f>_xlfn.IFNA(SQRT((VLOOKUP(AH$1,DATA!$A$3:$F$301,2,FALSE)-VLOOKUP($A48,DATA!$A$3:$F$301,2,FALSE))^2+(VLOOKUP(AH$1,DATA!$A$3:$F$301,3,FALSE)-VLOOKUP($A48,DATA!$A$3:$F$301,3,FALSE))^2),"")</f>
        <v/>
      </c>
      <c r="AI48" s="14" t="str">
        <f>_xlfn.IFNA(SQRT((VLOOKUP(AI$1,DATA!$A$3:$F$301,2,FALSE)-VLOOKUP($A48,DATA!$A$3:$F$301,2,FALSE))^2+(VLOOKUP(AI$1,DATA!$A$3:$F$301,3,FALSE)-VLOOKUP($A48,DATA!$A$3:$F$301,3,FALSE))^2),"")</f>
        <v/>
      </c>
      <c r="AJ48" s="14" t="str">
        <f>_xlfn.IFNA(SQRT((VLOOKUP(AJ$1,DATA!$A$3:$F$301,2,FALSE)-VLOOKUP($A48,DATA!$A$3:$F$301,2,FALSE))^2+(VLOOKUP(AJ$1,DATA!$A$3:$F$301,3,FALSE)-VLOOKUP($A48,DATA!$A$3:$F$301,3,FALSE))^2),"")</f>
        <v/>
      </c>
      <c r="AK48" s="14" t="str">
        <f>_xlfn.IFNA(SQRT((VLOOKUP(AK$1,DATA!$A$3:$F$301,2,FALSE)-VLOOKUP($A48,DATA!$A$3:$F$301,2,FALSE))^2+(VLOOKUP(AK$1,DATA!$A$3:$F$301,3,FALSE)-VLOOKUP($A48,DATA!$A$3:$F$301,3,FALSE))^2),"")</f>
        <v/>
      </c>
      <c r="AL48" s="14" t="str">
        <f>_xlfn.IFNA(SQRT((VLOOKUP(AL$1,DATA!$A$3:$F$301,2,FALSE)-VLOOKUP($A48,DATA!$A$3:$F$301,2,FALSE))^2+(VLOOKUP(AL$1,DATA!$A$3:$F$301,3,FALSE)-VLOOKUP($A48,DATA!$A$3:$F$301,3,FALSE))^2),"")</f>
        <v/>
      </c>
      <c r="AM48" s="14" t="str">
        <f>_xlfn.IFNA(SQRT((VLOOKUP(AM$1,DATA!$A$3:$F$301,2,FALSE)-VLOOKUP($A48,DATA!$A$3:$F$301,2,FALSE))^2+(VLOOKUP(AM$1,DATA!$A$3:$F$301,3,FALSE)-VLOOKUP($A48,DATA!$A$3:$F$301,3,FALSE))^2),"")</f>
        <v/>
      </c>
      <c r="AN48" s="14" t="str">
        <f>_xlfn.IFNA(SQRT((VLOOKUP(AN$1,DATA!$A$3:$F$301,2,FALSE)-VLOOKUP($A48,DATA!$A$3:$F$301,2,FALSE))^2+(VLOOKUP(AN$1,DATA!$A$3:$F$301,3,FALSE)-VLOOKUP($A48,DATA!$A$3:$F$301,3,FALSE))^2),"")</f>
        <v/>
      </c>
      <c r="AO48" s="14" t="str">
        <f>_xlfn.IFNA(SQRT((VLOOKUP(AO$1,DATA!$A$3:$F$301,2,FALSE)-VLOOKUP($A48,DATA!$A$3:$F$301,2,FALSE))^2+(VLOOKUP(AO$1,DATA!$A$3:$F$301,3,FALSE)-VLOOKUP($A48,DATA!$A$3:$F$301,3,FALSE))^2),"")</f>
        <v/>
      </c>
      <c r="AP48" s="14" t="str">
        <f>_xlfn.IFNA(SQRT((VLOOKUP(AP$1,DATA!$A$3:$F$301,2,FALSE)-VLOOKUP($A48,DATA!$A$3:$F$301,2,FALSE))^2+(VLOOKUP(AP$1,DATA!$A$3:$F$301,3,FALSE)-VLOOKUP($A48,DATA!$A$3:$F$301,3,FALSE))^2),"")</f>
        <v/>
      </c>
      <c r="AQ48" s="14" t="str">
        <f>_xlfn.IFNA(SQRT((VLOOKUP(AQ$1,DATA!$A$3:$F$301,2,FALSE)-VLOOKUP($A48,DATA!$A$3:$F$301,2,FALSE))^2+(VLOOKUP(AQ$1,DATA!$A$3:$F$301,3,FALSE)-VLOOKUP($A48,DATA!$A$3:$F$301,3,FALSE))^2),"")</f>
        <v/>
      </c>
      <c r="AR48" s="14" t="str">
        <f>_xlfn.IFNA(SQRT((VLOOKUP(AR$1,DATA!$A$3:$F$301,2,FALSE)-VLOOKUP($A48,DATA!$A$3:$F$301,2,FALSE))^2+(VLOOKUP(AR$1,DATA!$A$3:$F$301,3,FALSE)-VLOOKUP($A48,DATA!$A$3:$F$301,3,FALSE))^2),"")</f>
        <v/>
      </c>
      <c r="AS48" s="14" t="str">
        <f>_xlfn.IFNA(SQRT((VLOOKUP(AS$1,DATA!$A$3:$F$301,2,FALSE)-VLOOKUP($A48,DATA!$A$3:$F$301,2,FALSE))^2+(VLOOKUP(AS$1,DATA!$A$3:$F$301,3,FALSE)-VLOOKUP($A48,DATA!$A$3:$F$301,3,FALSE))^2),"")</f>
        <v/>
      </c>
      <c r="AT48" s="14" t="str">
        <f>_xlfn.IFNA(SQRT((VLOOKUP(AT$1,DATA!$A$3:$F$301,2,FALSE)-VLOOKUP($A48,DATA!$A$3:$F$301,2,FALSE))^2+(VLOOKUP(AT$1,DATA!$A$3:$F$301,3,FALSE)-VLOOKUP($A48,DATA!$A$3:$F$301,3,FALSE))^2),"")</f>
        <v/>
      </c>
      <c r="AU48" s="14" t="str">
        <f>_xlfn.IFNA(SQRT((VLOOKUP(AU$1,DATA!$A$3:$F$301,2,FALSE)-VLOOKUP($A48,DATA!$A$3:$F$301,2,FALSE))^2+(VLOOKUP(AU$1,DATA!$A$3:$F$301,3,FALSE)-VLOOKUP($A48,DATA!$A$3:$F$301,3,FALSE))^2),"")</f>
        <v/>
      </c>
      <c r="AV48" s="14" t="str">
        <f>_xlfn.IFNA(SQRT((VLOOKUP(AV$1,DATA!$A$3:$F$301,2,FALSE)-VLOOKUP($A48,DATA!$A$3:$F$301,2,FALSE))^2+(VLOOKUP(AV$1,DATA!$A$3:$F$301,3,FALSE)-VLOOKUP($A48,DATA!$A$3:$F$301,3,FALSE))^2),"")</f>
        <v/>
      </c>
      <c r="AW48" s="14" t="str">
        <f>_xlfn.IFNA(SQRT((VLOOKUP(AW$1,DATA!$A$3:$F$301,2,FALSE)-VLOOKUP($A48,DATA!$A$3:$F$301,2,FALSE))^2+(VLOOKUP(AW$1,DATA!$A$3:$F$301,3,FALSE)-VLOOKUP($A48,DATA!$A$3:$F$301,3,FALSE))^2),"")</f>
        <v/>
      </c>
      <c r="AX48" s="14" t="str">
        <f>_xlfn.IFNA(SQRT((VLOOKUP(AX$1,DATA!$A$3:$F$301,2,FALSE)-VLOOKUP($A48,DATA!$A$3:$F$301,2,FALSE))^2+(VLOOKUP(AX$1,DATA!$A$3:$F$301,3,FALSE)-VLOOKUP($A48,DATA!$A$3:$F$301,3,FALSE))^2),"")</f>
        <v/>
      </c>
      <c r="AY48" s="14" t="str">
        <f>_xlfn.IFNA(SQRT((VLOOKUP(AY$1,DATA!$A$3:$F$301,2,FALSE)-VLOOKUP($A48,DATA!$A$3:$F$301,2,FALSE))^2+(VLOOKUP(AY$1,DATA!$A$3:$F$301,3,FALSE)-VLOOKUP($A48,DATA!$A$3:$F$301,3,FALSE))^2),"")</f>
        <v/>
      </c>
      <c r="AZ48" s="14" t="str">
        <f>_xlfn.IFNA(SQRT((VLOOKUP(AZ$1,DATA!$A$3:$F$301,2,FALSE)-VLOOKUP($A48,DATA!$A$3:$F$301,2,FALSE))^2+(VLOOKUP(AZ$1,DATA!$A$3:$F$301,3,FALSE)-VLOOKUP($A48,DATA!$A$3:$F$301,3,FALSE))^2),"")</f>
        <v/>
      </c>
      <c r="BA48" s="14" t="str">
        <f>_xlfn.IFNA(SQRT((VLOOKUP(BA$1,DATA!$A$3:$F$301,2,FALSE)-VLOOKUP($A48,DATA!$A$3:$F$301,2,FALSE))^2+(VLOOKUP(BA$1,DATA!$A$3:$F$301,3,FALSE)-VLOOKUP($A48,DATA!$A$3:$F$301,3,FALSE))^2),"")</f>
        <v/>
      </c>
      <c r="BB48" s="14" t="str">
        <f>_xlfn.IFNA(SQRT((VLOOKUP(BB$1,DATA!$A$3:$F$301,2,FALSE)-VLOOKUP($A48,DATA!$A$3:$F$301,2,FALSE))^2+(VLOOKUP(BB$1,DATA!$A$3:$F$301,3,FALSE)-VLOOKUP($A48,DATA!$A$3:$F$301,3,FALSE))^2),"")</f>
        <v/>
      </c>
      <c r="BC48" s="14" t="str">
        <f>_xlfn.IFNA(SQRT((VLOOKUP(BC$1,DATA!$A$3:$F$301,2,FALSE)-VLOOKUP($A48,DATA!$A$3:$F$301,2,FALSE))^2+(VLOOKUP(BC$1,DATA!$A$3:$F$301,3,FALSE)-VLOOKUP($A48,DATA!$A$3:$F$301,3,FALSE))^2),"")</f>
        <v/>
      </c>
      <c r="BD48" s="14" t="str">
        <f>_xlfn.IFNA(SQRT((VLOOKUP(BD$1,DATA!$A$3:$F$301,2,FALSE)-VLOOKUP($A48,DATA!$A$3:$F$301,2,FALSE))^2+(VLOOKUP(BD$1,DATA!$A$3:$F$301,3,FALSE)-VLOOKUP($A48,DATA!$A$3:$F$301,3,FALSE))^2),"")</f>
        <v/>
      </c>
      <c r="BE48" s="14" t="str">
        <f>_xlfn.IFNA(SQRT((VLOOKUP(BE$1,DATA!$A$3:$F$301,2,FALSE)-VLOOKUP($A48,DATA!$A$3:$F$301,2,FALSE))^2+(VLOOKUP(BE$1,DATA!$A$3:$F$301,3,FALSE)-VLOOKUP($A48,DATA!$A$3:$F$301,3,FALSE))^2),"")</f>
        <v/>
      </c>
      <c r="BF48" s="14" t="str">
        <f>_xlfn.IFNA(SQRT((VLOOKUP(BF$1,DATA!$A$3:$F$301,2,FALSE)-VLOOKUP($A48,DATA!$A$3:$F$301,2,FALSE))^2+(VLOOKUP(BF$1,DATA!$A$3:$F$301,3,FALSE)-VLOOKUP($A48,DATA!$A$3:$F$301,3,FALSE))^2),"")</f>
        <v/>
      </c>
      <c r="BG48" s="14" t="str">
        <f>_xlfn.IFNA(SQRT((VLOOKUP(BG$1,DATA!$A$3:$F$301,2,FALSE)-VLOOKUP($A48,DATA!$A$3:$F$301,2,FALSE))^2+(VLOOKUP(BG$1,DATA!$A$3:$F$301,3,FALSE)-VLOOKUP($A48,DATA!$A$3:$F$301,3,FALSE))^2),"")</f>
        <v/>
      </c>
      <c r="BH48" s="14" t="str">
        <f>_xlfn.IFNA(SQRT((VLOOKUP(BH$1,DATA!$A$3:$F$301,2,FALSE)-VLOOKUP($A48,DATA!$A$3:$F$301,2,FALSE))^2+(VLOOKUP(BH$1,DATA!$A$3:$F$301,3,FALSE)-VLOOKUP($A48,DATA!$A$3:$F$301,3,FALSE))^2),"")</f>
        <v/>
      </c>
      <c r="BI48" s="14" t="str">
        <f>_xlfn.IFNA(SQRT((VLOOKUP(BI$1,DATA!$A$3:$F$301,2,FALSE)-VLOOKUP($A48,DATA!$A$3:$F$301,2,FALSE))^2+(VLOOKUP(BI$1,DATA!$A$3:$F$301,3,FALSE)-VLOOKUP($A48,DATA!$A$3:$F$301,3,FALSE))^2),"")</f>
        <v/>
      </c>
      <c r="BJ48" s="14" t="str">
        <f>_xlfn.IFNA(SQRT((VLOOKUP(BJ$1,DATA!$A$3:$F$301,2,FALSE)-VLOOKUP($A48,DATA!$A$3:$F$301,2,FALSE))^2+(VLOOKUP(BJ$1,DATA!$A$3:$F$301,3,FALSE)-VLOOKUP($A48,DATA!$A$3:$F$301,3,FALSE))^2),"")</f>
        <v/>
      </c>
      <c r="BK48" s="14" t="str">
        <f>_xlfn.IFNA(SQRT((VLOOKUP(BK$1,DATA!$A$3:$F$301,2,FALSE)-VLOOKUP($A48,DATA!$A$3:$F$301,2,FALSE))^2+(VLOOKUP(BK$1,DATA!$A$3:$F$301,3,FALSE)-VLOOKUP($A48,DATA!$A$3:$F$301,3,FALSE))^2),"")</f>
        <v/>
      </c>
      <c r="BL48" s="14" t="str">
        <f>_xlfn.IFNA(SQRT((VLOOKUP(BL$1,DATA!$A$3:$F$301,2,FALSE)-VLOOKUP($A48,DATA!$A$3:$F$301,2,FALSE))^2+(VLOOKUP(BL$1,DATA!$A$3:$F$301,3,FALSE)-VLOOKUP($A48,DATA!$A$3:$F$301,3,FALSE))^2),"")</f>
        <v/>
      </c>
      <c r="BM48" s="14" t="str">
        <f>_xlfn.IFNA(SQRT((VLOOKUP(BM$1,DATA!$A$3:$F$301,2,FALSE)-VLOOKUP($A48,DATA!$A$3:$F$301,2,FALSE))^2+(VLOOKUP(BM$1,DATA!$A$3:$F$301,3,FALSE)-VLOOKUP($A48,DATA!$A$3:$F$301,3,FALSE))^2),"")</f>
        <v/>
      </c>
      <c r="BN48" s="14" t="str">
        <f>_xlfn.IFNA(SQRT((VLOOKUP(BN$1,DATA!$A$3:$F$301,2,FALSE)-VLOOKUP($A48,DATA!$A$3:$F$301,2,FALSE))^2+(VLOOKUP(BN$1,DATA!$A$3:$F$301,3,FALSE)-VLOOKUP($A48,DATA!$A$3:$F$301,3,FALSE))^2),"")</f>
        <v/>
      </c>
      <c r="BO48" s="14" t="str">
        <f>_xlfn.IFNA(SQRT((VLOOKUP(BO$1,DATA!$A$3:$F$301,2,FALSE)-VLOOKUP($A48,DATA!$A$3:$F$301,2,FALSE))^2+(VLOOKUP(BO$1,DATA!$A$3:$F$301,3,FALSE)-VLOOKUP($A48,DATA!$A$3:$F$301,3,FALSE))^2),"")</f>
        <v/>
      </c>
      <c r="BP48" s="14" t="str">
        <f>_xlfn.IFNA(SQRT((VLOOKUP(BP$1,DATA!$A$3:$F$301,2,FALSE)-VLOOKUP($A48,DATA!$A$3:$F$301,2,FALSE))^2+(VLOOKUP(BP$1,DATA!$A$3:$F$301,3,FALSE)-VLOOKUP($A48,DATA!$A$3:$F$301,3,FALSE))^2),"")</f>
        <v/>
      </c>
      <c r="BQ48" s="14" t="str">
        <f>_xlfn.IFNA(SQRT((VLOOKUP(BQ$1,DATA!$A$3:$F$301,2,FALSE)-VLOOKUP($A48,DATA!$A$3:$F$301,2,FALSE))^2+(VLOOKUP(BQ$1,DATA!$A$3:$F$301,3,FALSE)-VLOOKUP($A48,DATA!$A$3:$F$301,3,FALSE))^2),"")</f>
        <v/>
      </c>
      <c r="BR48" s="14" t="str">
        <f>_xlfn.IFNA(SQRT((VLOOKUP(BR$1,DATA!$A$3:$F$301,2,FALSE)-VLOOKUP($A48,DATA!$A$3:$F$301,2,FALSE))^2+(VLOOKUP(BR$1,DATA!$A$3:$F$301,3,FALSE)-VLOOKUP($A48,DATA!$A$3:$F$301,3,FALSE))^2),"")</f>
        <v/>
      </c>
      <c r="BS48" s="14" t="str">
        <f>_xlfn.IFNA(SQRT((VLOOKUP(BS$1,DATA!$A$3:$F$301,2,FALSE)-VLOOKUP($A48,DATA!$A$3:$F$301,2,FALSE))^2+(VLOOKUP(BS$1,DATA!$A$3:$F$301,3,FALSE)-VLOOKUP($A48,DATA!$A$3:$F$301,3,FALSE))^2),"")</f>
        <v/>
      </c>
      <c r="BT48" s="14" t="str">
        <f>_xlfn.IFNA(SQRT((VLOOKUP(BT$1,DATA!$A$3:$F$301,2,FALSE)-VLOOKUP($A48,DATA!$A$3:$F$301,2,FALSE))^2+(VLOOKUP(BT$1,DATA!$A$3:$F$301,3,FALSE)-VLOOKUP($A48,DATA!$A$3:$F$301,3,FALSE))^2),"")</f>
        <v/>
      </c>
      <c r="BU48" s="14" t="str">
        <f>_xlfn.IFNA(SQRT((VLOOKUP(BU$1,DATA!$A$3:$F$301,2,FALSE)-VLOOKUP($A48,DATA!$A$3:$F$301,2,FALSE))^2+(VLOOKUP(BU$1,DATA!$A$3:$F$301,3,FALSE)-VLOOKUP($A48,DATA!$A$3:$F$301,3,FALSE))^2),"")</f>
        <v/>
      </c>
      <c r="BV48" s="14" t="str">
        <f>_xlfn.IFNA(SQRT((VLOOKUP(BV$1,DATA!$A$3:$F$301,2,FALSE)-VLOOKUP($A48,DATA!$A$3:$F$301,2,FALSE))^2+(VLOOKUP(BV$1,DATA!$A$3:$F$301,3,FALSE)-VLOOKUP($A48,DATA!$A$3:$F$301,3,FALSE))^2),"")</f>
        <v/>
      </c>
      <c r="BW48" s="14" t="str">
        <f>_xlfn.IFNA(SQRT((VLOOKUP(BW$1,DATA!$A$3:$F$301,2,FALSE)-VLOOKUP($A48,DATA!$A$3:$F$301,2,FALSE))^2+(VLOOKUP(BW$1,DATA!$A$3:$F$301,3,FALSE)-VLOOKUP($A48,DATA!$A$3:$F$301,3,FALSE))^2),"")</f>
        <v/>
      </c>
      <c r="BX48" s="14" t="str">
        <f>_xlfn.IFNA(SQRT((VLOOKUP(BX$1,DATA!$A$3:$F$301,2,FALSE)-VLOOKUP($A48,DATA!$A$3:$F$301,2,FALSE))^2+(VLOOKUP(BX$1,DATA!$A$3:$F$301,3,FALSE)-VLOOKUP($A48,DATA!$A$3:$F$301,3,FALSE))^2),"")</f>
        <v/>
      </c>
      <c r="BY48" s="14" t="str">
        <f>_xlfn.IFNA(SQRT((VLOOKUP(BY$1,DATA!$A$3:$F$301,2,FALSE)-VLOOKUP($A48,DATA!$A$3:$F$301,2,FALSE))^2+(VLOOKUP(BY$1,DATA!$A$3:$F$301,3,FALSE)-VLOOKUP($A48,DATA!$A$3:$F$301,3,FALSE))^2),"")</f>
        <v/>
      </c>
      <c r="BZ48" s="14" t="str">
        <f>_xlfn.IFNA(SQRT((VLOOKUP(BZ$1,DATA!$A$3:$F$301,2,FALSE)-VLOOKUP($A48,DATA!$A$3:$F$301,2,FALSE))^2+(VLOOKUP(BZ$1,DATA!$A$3:$F$301,3,FALSE)-VLOOKUP($A48,DATA!$A$3:$F$301,3,FALSE))^2),"")</f>
        <v/>
      </c>
      <c r="CA48" s="14" t="str">
        <f>_xlfn.IFNA(SQRT((VLOOKUP(CA$1,DATA!$A$3:$F$301,2,FALSE)-VLOOKUP($A48,DATA!$A$3:$F$301,2,FALSE))^2+(VLOOKUP(CA$1,DATA!$A$3:$F$301,3,FALSE)-VLOOKUP($A48,DATA!$A$3:$F$301,3,FALSE))^2),"")</f>
        <v/>
      </c>
      <c r="CB48" s="14" t="str">
        <f>_xlfn.IFNA(SQRT((VLOOKUP(CB$1,DATA!$A$3:$F$301,2,FALSE)-VLOOKUP($A48,DATA!$A$3:$F$301,2,FALSE))^2+(VLOOKUP(CB$1,DATA!$A$3:$F$301,3,FALSE)-VLOOKUP($A48,DATA!$A$3:$F$301,3,FALSE))^2),"")</f>
        <v/>
      </c>
      <c r="CC48" s="14" t="str">
        <f>_xlfn.IFNA(SQRT((VLOOKUP(CC$1,DATA!$A$3:$F$301,2,FALSE)-VLOOKUP($A48,DATA!$A$3:$F$301,2,FALSE))^2+(VLOOKUP(CC$1,DATA!$A$3:$F$301,3,FALSE)-VLOOKUP($A48,DATA!$A$3:$F$301,3,FALSE))^2),"")</f>
        <v/>
      </c>
      <c r="CD48" s="14" t="str">
        <f>_xlfn.IFNA(SQRT((VLOOKUP(CD$1,DATA!$A$3:$F$301,2,FALSE)-VLOOKUP($A48,DATA!$A$3:$F$301,2,FALSE))^2+(VLOOKUP(CD$1,DATA!$A$3:$F$301,3,FALSE)-VLOOKUP($A48,DATA!$A$3:$F$301,3,FALSE))^2),"")</f>
        <v/>
      </c>
      <c r="CE48" s="14" t="str">
        <f>_xlfn.IFNA(SQRT((VLOOKUP(CE$1,DATA!$A$3:$F$301,2,FALSE)-VLOOKUP($A48,DATA!$A$3:$F$301,2,FALSE))^2+(VLOOKUP(CE$1,DATA!$A$3:$F$301,3,FALSE)-VLOOKUP($A48,DATA!$A$3:$F$301,3,FALSE))^2),"")</f>
        <v/>
      </c>
      <c r="CF48" s="14" t="str">
        <f>_xlfn.IFNA(SQRT((VLOOKUP(CF$1,DATA!$A$3:$F$301,2,FALSE)-VLOOKUP($A48,DATA!$A$3:$F$301,2,FALSE))^2+(VLOOKUP(CF$1,DATA!$A$3:$F$301,3,FALSE)-VLOOKUP($A48,DATA!$A$3:$F$301,3,FALSE))^2),"")</f>
        <v/>
      </c>
      <c r="CG48" s="14" t="str">
        <f>_xlfn.IFNA(SQRT((VLOOKUP(CG$1,DATA!$A$3:$F$301,2,FALSE)-VLOOKUP($A48,DATA!$A$3:$F$301,2,FALSE))^2+(VLOOKUP(CG$1,DATA!$A$3:$F$301,3,FALSE)-VLOOKUP($A48,DATA!$A$3:$F$301,3,FALSE))^2),"")</f>
        <v/>
      </c>
      <c r="CH48" s="14" t="str">
        <f>_xlfn.IFNA(SQRT((VLOOKUP(CH$1,DATA!$A$3:$F$301,2,FALSE)-VLOOKUP($A48,DATA!$A$3:$F$301,2,FALSE))^2+(VLOOKUP(CH$1,DATA!$A$3:$F$301,3,FALSE)-VLOOKUP($A48,DATA!$A$3:$F$301,3,FALSE))^2),"")</f>
        <v/>
      </c>
      <c r="CI48" s="14" t="str">
        <f>_xlfn.IFNA(SQRT((VLOOKUP(CI$1,DATA!$A$3:$F$301,2,FALSE)-VLOOKUP($A48,DATA!$A$3:$F$301,2,FALSE))^2+(VLOOKUP(CI$1,DATA!$A$3:$F$301,3,FALSE)-VLOOKUP($A48,DATA!$A$3:$F$301,3,FALSE))^2),"")</f>
        <v/>
      </c>
      <c r="CJ48" s="14" t="str">
        <f>_xlfn.IFNA(SQRT((VLOOKUP(CJ$1,DATA!$A$3:$F$301,2,FALSE)-VLOOKUP($A48,DATA!$A$3:$F$301,2,FALSE))^2+(VLOOKUP(CJ$1,DATA!$A$3:$F$301,3,FALSE)-VLOOKUP($A48,DATA!$A$3:$F$301,3,FALSE))^2),"")</f>
        <v/>
      </c>
      <c r="CK48" s="14" t="str">
        <f>_xlfn.IFNA(SQRT((VLOOKUP(CK$1,DATA!$A$3:$F$301,2,FALSE)-VLOOKUP($A48,DATA!$A$3:$F$301,2,FALSE))^2+(VLOOKUP(CK$1,DATA!$A$3:$F$301,3,FALSE)-VLOOKUP($A48,DATA!$A$3:$F$301,3,FALSE))^2),"")</f>
        <v/>
      </c>
      <c r="CL48" s="14" t="str">
        <f>_xlfn.IFNA(SQRT((VLOOKUP(CL$1,DATA!$A$3:$F$301,2,FALSE)-VLOOKUP($A48,DATA!$A$3:$F$301,2,FALSE))^2+(VLOOKUP(CL$1,DATA!$A$3:$F$301,3,FALSE)-VLOOKUP($A48,DATA!$A$3:$F$301,3,FALSE))^2),"")</f>
        <v/>
      </c>
      <c r="CM48" s="14" t="str">
        <f>_xlfn.IFNA(SQRT((VLOOKUP(CM$1,DATA!$A$3:$F$301,2,FALSE)-VLOOKUP($A48,DATA!$A$3:$F$301,2,FALSE))^2+(VLOOKUP(CM$1,DATA!$A$3:$F$301,3,FALSE)-VLOOKUP($A48,DATA!$A$3:$F$301,3,FALSE))^2),"")</f>
        <v/>
      </c>
      <c r="CN48" s="14" t="str">
        <f>_xlfn.IFNA(SQRT((VLOOKUP(CN$1,DATA!$A$3:$F$301,2,FALSE)-VLOOKUP($A48,DATA!$A$3:$F$301,2,FALSE))^2+(VLOOKUP(CN$1,DATA!$A$3:$F$301,3,FALSE)-VLOOKUP($A48,DATA!$A$3:$F$301,3,FALSE))^2),"")</f>
        <v/>
      </c>
      <c r="CO48" s="14" t="str">
        <f>_xlfn.IFNA(SQRT((VLOOKUP(CO$1,DATA!$A$3:$F$301,2,FALSE)-VLOOKUP($A48,DATA!$A$3:$F$301,2,FALSE))^2+(VLOOKUP(CO$1,DATA!$A$3:$F$301,3,FALSE)-VLOOKUP($A48,DATA!$A$3:$F$301,3,FALSE))^2),"")</f>
        <v/>
      </c>
      <c r="CP48" s="14" t="str">
        <f>_xlfn.IFNA(SQRT((VLOOKUP(CP$1,DATA!$A$3:$F$301,2,FALSE)-VLOOKUP($A48,DATA!$A$3:$F$301,2,FALSE))^2+(VLOOKUP(CP$1,DATA!$A$3:$F$301,3,FALSE)-VLOOKUP($A48,DATA!$A$3:$F$301,3,FALSE))^2),"")</f>
        <v/>
      </c>
      <c r="CQ48" s="14" t="str">
        <f>_xlfn.IFNA(SQRT((VLOOKUP(CQ$1,DATA!$A$3:$F$301,2,FALSE)-VLOOKUP($A48,DATA!$A$3:$F$301,2,FALSE))^2+(VLOOKUP(CQ$1,DATA!$A$3:$F$301,3,FALSE)-VLOOKUP($A48,DATA!$A$3:$F$301,3,FALSE))^2),"")</f>
        <v/>
      </c>
      <c r="CR48" s="14" t="str">
        <f>_xlfn.IFNA(SQRT((VLOOKUP(CR$1,DATA!$A$3:$F$301,2,FALSE)-VLOOKUP($A48,DATA!$A$3:$F$301,2,FALSE))^2+(VLOOKUP(CR$1,DATA!$A$3:$F$301,3,FALSE)-VLOOKUP($A48,DATA!$A$3:$F$301,3,FALSE))^2),"")</f>
        <v/>
      </c>
      <c r="CS48" s="14" t="str">
        <f>_xlfn.IFNA(SQRT((VLOOKUP(CS$1,DATA!$A$3:$F$301,2,FALSE)-VLOOKUP($A48,DATA!$A$3:$F$301,2,FALSE))^2+(VLOOKUP(CS$1,DATA!$A$3:$F$301,3,FALSE)-VLOOKUP($A48,DATA!$A$3:$F$301,3,FALSE))^2),"")</f>
        <v/>
      </c>
      <c r="CT48" s="14" t="str">
        <f>_xlfn.IFNA(SQRT((VLOOKUP(CT$1,DATA!$A$3:$F$301,2,FALSE)-VLOOKUP($A48,DATA!$A$3:$F$301,2,FALSE))^2+(VLOOKUP(CT$1,DATA!$A$3:$F$301,3,FALSE)-VLOOKUP($A48,DATA!$A$3:$F$301,3,FALSE))^2),"")</f>
        <v/>
      </c>
      <c r="CU48" s="14" t="str">
        <f>_xlfn.IFNA(SQRT((VLOOKUP(CU$1,DATA!$A$3:$F$301,2,FALSE)-VLOOKUP($A48,DATA!$A$3:$F$301,2,FALSE))^2+(VLOOKUP(CU$1,DATA!$A$3:$F$301,3,FALSE)-VLOOKUP($A48,DATA!$A$3:$F$301,3,FALSE))^2),"")</f>
        <v/>
      </c>
      <c r="CV48" s="14" t="str">
        <f>_xlfn.IFNA(SQRT((VLOOKUP(CV$1,DATA!$A$3:$F$301,2,FALSE)-VLOOKUP($A48,DATA!$A$3:$F$301,2,FALSE))^2+(VLOOKUP(CV$1,DATA!$A$3:$F$301,3,FALSE)-VLOOKUP($A48,DATA!$A$3:$F$301,3,FALSE))^2),"")</f>
        <v/>
      </c>
      <c r="CW48" s="14" t="str">
        <f>_xlfn.IFNA(SQRT((VLOOKUP(CW$1,DATA!$A$3:$F$301,2,FALSE)-VLOOKUP($A48,DATA!$A$3:$F$301,2,FALSE))^2+(VLOOKUP(CW$1,DATA!$A$3:$F$301,3,FALSE)-VLOOKUP($A48,DATA!$A$3:$F$301,3,FALSE))^2),"")</f>
        <v/>
      </c>
      <c r="CX48" s="14" t="str">
        <f>_xlfn.IFNA(SQRT((VLOOKUP(CX$1,DATA!$A$3:$F$301,2,FALSE)-VLOOKUP($A48,DATA!$A$3:$F$301,2,FALSE))^2+(VLOOKUP(CX$1,DATA!$A$3:$F$301,3,FALSE)-VLOOKUP($A48,DATA!$A$3:$F$301,3,FALSE))^2),"")</f>
        <v/>
      </c>
    </row>
    <row r="49" spans="1:102">
      <c r="A49" s="13">
        <v>48</v>
      </c>
      <c r="B49" s="14" t="str">
        <f>_xlfn.IFNA(SQRT((VLOOKUP(B$1,DATA!$A$3:$F$301,2,FALSE)-VLOOKUP($A49,DATA!$A$3:$F$301,2,FALSE))^2+(VLOOKUP(B$1,DATA!$A$3:$F$301,3,FALSE)-VLOOKUP($A49,DATA!$A$3:$F$301,3,FALSE))^2),"")</f>
        <v/>
      </c>
      <c r="C49" s="14" t="str">
        <f>_xlfn.IFNA(SQRT((VLOOKUP(C$1,DATA!$A$3:$F$301,2,FALSE)-VLOOKUP($A49,DATA!$A$3:$F$301,2,FALSE))^2+(VLOOKUP(C$1,DATA!$A$3:$F$301,3,FALSE)-VLOOKUP($A49,DATA!$A$3:$F$301,3,FALSE))^2),"")</f>
        <v/>
      </c>
      <c r="D49" s="14" t="str">
        <f>_xlfn.IFNA(SQRT((VLOOKUP(D$1,DATA!$A$3:$F$301,2,FALSE)-VLOOKUP($A49,DATA!$A$3:$F$301,2,FALSE))^2+(VLOOKUP(D$1,DATA!$A$3:$F$301,3,FALSE)-VLOOKUP($A49,DATA!$A$3:$F$301,3,FALSE))^2),"")</f>
        <v/>
      </c>
      <c r="E49" s="14" t="str">
        <f>_xlfn.IFNA(SQRT((VLOOKUP(E$1,DATA!$A$3:$F$301,2,FALSE)-VLOOKUP($A49,DATA!$A$3:$F$301,2,FALSE))^2+(VLOOKUP(E$1,DATA!$A$3:$F$301,3,FALSE)-VLOOKUP($A49,DATA!$A$3:$F$301,3,FALSE))^2),"")</f>
        <v/>
      </c>
      <c r="F49" s="14" t="str">
        <f>_xlfn.IFNA(SQRT((VLOOKUP(F$1,DATA!$A$3:$F$301,2,FALSE)-VLOOKUP($A49,DATA!$A$3:$F$301,2,FALSE))^2+(VLOOKUP(F$1,DATA!$A$3:$F$301,3,FALSE)-VLOOKUP($A49,DATA!$A$3:$F$301,3,FALSE))^2),"")</f>
        <v/>
      </c>
      <c r="G49" s="14" t="str">
        <f>_xlfn.IFNA(SQRT((VLOOKUP(G$1,DATA!$A$3:$F$301,2,FALSE)-VLOOKUP($A49,DATA!$A$3:$F$301,2,FALSE))^2+(VLOOKUP(G$1,DATA!$A$3:$F$301,3,FALSE)-VLOOKUP($A49,DATA!$A$3:$F$301,3,FALSE))^2),"")</f>
        <v/>
      </c>
      <c r="H49" s="14" t="str">
        <f>_xlfn.IFNA(SQRT((VLOOKUP(H$1,DATA!$A$3:$F$301,2,FALSE)-VLOOKUP($A49,DATA!$A$3:$F$301,2,FALSE))^2+(VLOOKUP(H$1,DATA!$A$3:$F$301,3,FALSE)-VLOOKUP($A49,DATA!$A$3:$F$301,3,FALSE))^2),"")</f>
        <v/>
      </c>
      <c r="I49" s="14" t="str">
        <f>_xlfn.IFNA(SQRT((VLOOKUP(I$1,DATA!$A$3:$F$301,2,FALSE)-VLOOKUP($A49,DATA!$A$3:$F$301,2,FALSE))^2+(VLOOKUP(I$1,DATA!$A$3:$F$301,3,FALSE)-VLOOKUP($A49,DATA!$A$3:$F$301,3,FALSE))^2),"")</f>
        <v/>
      </c>
      <c r="J49" s="14" t="str">
        <f>_xlfn.IFNA(SQRT((VLOOKUP(J$1,DATA!$A$3:$F$301,2,FALSE)-VLOOKUP($A49,DATA!$A$3:$F$301,2,FALSE))^2+(VLOOKUP(J$1,DATA!$A$3:$F$301,3,FALSE)-VLOOKUP($A49,DATA!$A$3:$F$301,3,FALSE))^2),"")</f>
        <v/>
      </c>
      <c r="K49" s="14" t="str">
        <f>_xlfn.IFNA(SQRT((VLOOKUP(K$1,DATA!$A$3:$F$301,2,FALSE)-VLOOKUP($A49,DATA!$A$3:$F$301,2,FALSE))^2+(VLOOKUP(K$1,DATA!$A$3:$F$301,3,FALSE)-VLOOKUP($A49,DATA!$A$3:$F$301,3,FALSE))^2),"")</f>
        <v/>
      </c>
      <c r="L49" s="14" t="str">
        <f>_xlfn.IFNA(SQRT((VLOOKUP(L$1,DATA!$A$3:$F$301,2,FALSE)-VLOOKUP($A49,DATA!$A$3:$F$301,2,FALSE))^2+(VLOOKUP(L$1,DATA!$A$3:$F$301,3,FALSE)-VLOOKUP($A49,DATA!$A$3:$F$301,3,FALSE))^2),"")</f>
        <v/>
      </c>
      <c r="M49" s="14" t="str">
        <f>_xlfn.IFNA(SQRT((VLOOKUP(M$1,DATA!$A$3:$F$301,2,FALSE)-VLOOKUP($A49,DATA!$A$3:$F$301,2,FALSE))^2+(VLOOKUP(M$1,DATA!$A$3:$F$301,3,FALSE)-VLOOKUP($A49,DATA!$A$3:$F$301,3,FALSE))^2),"")</f>
        <v/>
      </c>
      <c r="N49" s="14" t="str">
        <f>_xlfn.IFNA(SQRT((VLOOKUP(N$1,DATA!$A$3:$F$301,2,FALSE)-VLOOKUP($A49,DATA!$A$3:$F$301,2,FALSE))^2+(VLOOKUP(N$1,DATA!$A$3:$F$301,3,FALSE)-VLOOKUP($A49,DATA!$A$3:$F$301,3,FALSE))^2),"")</f>
        <v/>
      </c>
      <c r="O49" s="14" t="str">
        <f>_xlfn.IFNA(SQRT((VLOOKUP(O$1,DATA!$A$3:$F$301,2,FALSE)-VLOOKUP($A49,DATA!$A$3:$F$301,2,FALSE))^2+(VLOOKUP(O$1,DATA!$A$3:$F$301,3,FALSE)-VLOOKUP($A49,DATA!$A$3:$F$301,3,FALSE))^2),"")</f>
        <v/>
      </c>
      <c r="P49" s="14" t="str">
        <f>_xlfn.IFNA(SQRT((VLOOKUP(P$1,DATA!$A$3:$F$301,2,FALSE)-VLOOKUP($A49,DATA!$A$3:$F$301,2,FALSE))^2+(VLOOKUP(P$1,DATA!$A$3:$F$301,3,FALSE)-VLOOKUP($A49,DATA!$A$3:$F$301,3,FALSE))^2),"")</f>
        <v/>
      </c>
      <c r="Q49" s="14" t="str">
        <f>_xlfn.IFNA(SQRT((VLOOKUP(Q$1,DATA!$A$3:$F$301,2,FALSE)-VLOOKUP($A49,DATA!$A$3:$F$301,2,FALSE))^2+(VLOOKUP(Q$1,DATA!$A$3:$F$301,3,FALSE)-VLOOKUP($A49,DATA!$A$3:$F$301,3,FALSE))^2),"")</f>
        <v/>
      </c>
      <c r="R49" s="14" t="str">
        <f>_xlfn.IFNA(SQRT((VLOOKUP(R$1,DATA!$A$3:$F$301,2,FALSE)-VLOOKUP($A49,DATA!$A$3:$F$301,2,FALSE))^2+(VLOOKUP(R$1,DATA!$A$3:$F$301,3,FALSE)-VLOOKUP($A49,DATA!$A$3:$F$301,3,FALSE))^2),"")</f>
        <v/>
      </c>
      <c r="S49" s="14" t="str">
        <f>_xlfn.IFNA(SQRT((VLOOKUP(S$1,DATA!$A$3:$F$301,2,FALSE)-VLOOKUP($A49,DATA!$A$3:$F$301,2,FALSE))^2+(VLOOKUP(S$1,DATA!$A$3:$F$301,3,FALSE)-VLOOKUP($A49,DATA!$A$3:$F$301,3,FALSE))^2),"")</f>
        <v/>
      </c>
      <c r="T49" s="14" t="str">
        <f>_xlfn.IFNA(SQRT((VLOOKUP(T$1,DATA!$A$3:$F$301,2,FALSE)-VLOOKUP($A49,DATA!$A$3:$F$301,2,FALSE))^2+(VLOOKUP(T$1,DATA!$A$3:$F$301,3,FALSE)-VLOOKUP($A49,DATA!$A$3:$F$301,3,FALSE))^2),"")</f>
        <v/>
      </c>
      <c r="U49" s="14" t="str">
        <f>_xlfn.IFNA(SQRT((VLOOKUP(U$1,DATA!$A$3:$F$301,2,FALSE)-VLOOKUP($A49,DATA!$A$3:$F$301,2,FALSE))^2+(VLOOKUP(U$1,DATA!$A$3:$F$301,3,FALSE)-VLOOKUP($A49,DATA!$A$3:$F$301,3,FALSE))^2),"")</f>
        <v/>
      </c>
      <c r="V49" s="14" t="str">
        <f>_xlfn.IFNA(SQRT((VLOOKUP(V$1,DATA!$A$3:$F$301,2,FALSE)-VLOOKUP($A49,DATA!$A$3:$F$301,2,FALSE))^2+(VLOOKUP(V$1,DATA!$A$3:$F$301,3,FALSE)-VLOOKUP($A49,DATA!$A$3:$F$301,3,FALSE))^2),"")</f>
        <v/>
      </c>
      <c r="W49" s="14" t="str">
        <f>_xlfn.IFNA(SQRT((VLOOKUP(W$1,DATA!$A$3:$F$301,2,FALSE)-VLOOKUP($A49,DATA!$A$3:$F$301,2,FALSE))^2+(VLOOKUP(W$1,DATA!$A$3:$F$301,3,FALSE)-VLOOKUP($A49,DATA!$A$3:$F$301,3,FALSE))^2),"")</f>
        <v/>
      </c>
      <c r="X49" s="14" t="str">
        <f>_xlfn.IFNA(SQRT((VLOOKUP(X$1,DATA!$A$3:$F$301,2,FALSE)-VLOOKUP($A49,DATA!$A$3:$F$301,2,FALSE))^2+(VLOOKUP(X$1,DATA!$A$3:$F$301,3,FALSE)-VLOOKUP($A49,DATA!$A$3:$F$301,3,FALSE))^2),"")</f>
        <v/>
      </c>
      <c r="Y49" s="14" t="str">
        <f>_xlfn.IFNA(SQRT((VLOOKUP(Y$1,DATA!$A$3:$F$301,2,FALSE)-VLOOKUP($A49,DATA!$A$3:$F$301,2,FALSE))^2+(VLOOKUP(Y$1,DATA!$A$3:$F$301,3,FALSE)-VLOOKUP($A49,DATA!$A$3:$F$301,3,FALSE))^2),"")</f>
        <v/>
      </c>
      <c r="Z49" s="14" t="str">
        <f>_xlfn.IFNA(SQRT((VLOOKUP(Z$1,DATA!$A$3:$F$301,2,FALSE)-VLOOKUP($A49,DATA!$A$3:$F$301,2,FALSE))^2+(VLOOKUP(Z$1,DATA!$A$3:$F$301,3,FALSE)-VLOOKUP($A49,DATA!$A$3:$F$301,3,FALSE))^2),"")</f>
        <v/>
      </c>
      <c r="AA49" s="14" t="str">
        <f>_xlfn.IFNA(SQRT((VLOOKUP(AA$1,DATA!$A$3:$F$301,2,FALSE)-VLOOKUP($A49,DATA!$A$3:$F$301,2,FALSE))^2+(VLOOKUP(AA$1,DATA!$A$3:$F$301,3,FALSE)-VLOOKUP($A49,DATA!$A$3:$F$301,3,FALSE))^2),"")</f>
        <v/>
      </c>
      <c r="AB49" s="14" t="str">
        <f>_xlfn.IFNA(SQRT((VLOOKUP(AB$1,DATA!$A$3:$F$301,2,FALSE)-VLOOKUP($A49,DATA!$A$3:$F$301,2,FALSE))^2+(VLOOKUP(AB$1,DATA!$A$3:$F$301,3,FALSE)-VLOOKUP($A49,DATA!$A$3:$F$301,3,FALSE))^2),"")</f>
        <v/>
      </c>
      <c r="AC49" s="14" t="str">
        <f>_xlfn.IFNA(SQRT((VLOOKUP(AC$1,DATA!$A$3:$F$301,2,FALSE)-VLOOKUP($A49,DATA!$A$3:$F$301,2,FALSE))^2+(VLOOKUP(AC$1,DATA!$A$3:$F$301,3,FALSE)-VLOOKUP($A49,DATA!$A$3:$F$301,3,FALSE))^2),"")</f>
        <v/>
      </c>
      <c r="AD49" s="14" t="str">
        <f>_xlfn.IFNA(SQRT((VLOOKUP(AD$1,DATA!$A$3:$F$301,2,FALSE)-VLOOKUP($A49,DATA!$A$3:$F$301,2,FALSE))^2+(VLOOKUP(AD$1,DATA!$A$3:$F$301,3,FALSE)-VLOOKUP($A49,DATA!$A$3:$F$301,3,FALSE))^2),"")</f>
        <v/>
      </c>
      <c r="AE49" s="14" t="str">
        <f>_xlfn.IFNA(SQRT((VLOOKUP(AE$1,DATA!$A$3:$F$301,2,FALSE)-VLOOKUP($A49,DATA!$A$3:$F$301,2,FALSE))^2+(VLOOKUP(AE$1,DATA!$A$3:$F$301,3,FALSE)-VLOOKUP($A49,DATA!$A$3:$F$301,3,FALSE))^2),"")</f>
        <v/>
      </c>
      <c r="AF49" s="14" t="str">
        <f>_xlfn.IFNA(SQRT((VLOOKUP(AF$1,DATA!$A$3:$F$301,2,FALSE)-VLOOKUP($A49,DATA!$A$3:$F$301,2,FALSE))^2+(VLOOKUP(AF$1,DATA!$A$3:$F$301,3,FALSE)-VLOOKUP($A49,DATA!$A$3:$F$301,3,FALSE))^2),"")</f>
        <v/>
      </c>
      <c r="AG49" s="14" t="str">
        <f>_xlfn.IFNA(SQRT((VLOOKUP(AG$1,DATA!$A$3:$F$301,2,FALSE)-VLOOKUP($A49,DATA!$A$3:$F$301,2,FALSE))^2+(VLOOKUP(AG$1,DATA!$A$3:$F$301,3,FALSE)-VLOOKUP($A49,DATA!$A$3:$F$301,3,FALSE))^2),"")</f>
        <v/>
      </c>
      <c r="AH49" s="14" t="str">
        <f>_xlfn.IFNA(SQRT((VLOOKUP(AH$1,DATA!$A$3:$F$301,2,FALSE)-VLOOKUP($A49,DATA!$A$3:$F$301,2,FALSE))^2+(VLOOKUP(AH$1,DATA!$A$3:$F$301,3,FALSE)-VLOOKUP($A49,DATA!$A$3:$F$301,3,FALSE))^2),"")</f>
        <v/>
      </c>
      <c r="AI49" s="14" t="str">
        <f>_xlfn.IFNA(SQRT((VLOOKUP(AI$1,DATA!$A$3:$F$301,2,FALSE)-VLOOKUP($A49,DATA!$A$3:$F$301,2,FALSE))^2+(VLOOKUP(AI$1,DATA!$A$3:$F$301,3,FALSE)-VLOOKUP($A49,DATA!$A$3:$F$301,3,FALSE))^2),"")</f>
        <v/>
      </c>
      <c r="AJ49" s="14" t="str">
        <f>_xlfn.IFNA(SQRT((VLOOKUP(AJ$1,DATA!$A$3:$F$301,2,FALSE)-VLOOKUP($A49,DATA!$A$3:$F$301,2,FALSE))^2+(VLOOKUP(AJ$1,DATA!$A$3:$F$301,3,FALSE)-VLOOKUP($A49,DATA!$A$3:$F$301,3,FALSE))^2),"")</f>
        <v/>
      </c>
      <c r="AK49" s="14" t="str">
        <f>_xlfn.IFNA(SQRT((VLOOKUP(AK$1,DATA!$A$3:$F$301,2,FALSE)-VLOOKUP($A49,DATA!$A$3:$F$301,2,FALSE))^2+(VLOOKUP(AK$1,DATA!$A$3:$F$301,3,FALSE)-VLOOKUP($A49,DATA!$A$3:$F$301,3,FALSE))^2),"")</f>
        <v/>
      </c>
      <c r="AL49" s="14" t="str">
        <f>_xlfn.IFNA(SQRT((VLOOKUP(AL$1,DATA!$A$3:$F$301,2,FALSE)-VLOOKUP($A49,DATA!$A$3:$F$301,2,FALSE))^2+(VLOOKUP(AL$1,DATA!$A$3:$F$301,3,FALSE)-VLOOKUP($A49,DATA!$A$3:$F$301,3,FALSE))^2),"")</f>
        <v/>
      </c>
      <c r="AM49" s="14" t="str">
        <f>_xlfn.IFNA(SQRT((VLOOKUP(AM$1,DATA!$A$3:$F$301,2,FALSE)-VLOOKUP($A49,DATA!$A$3:$F$301,2,FALSE))^2+(VLOOKUP(AM$1,DATA!$A$3:$F$301,3,FALSE)-VLOOKUP($A49,DATA!$A$3:$F$301,3,FALSE))^2),"")</f>
        <v/>
      </c>
      <c r="AN49" s="14" t="str">
        <f>_xlfn.IFNA(SQRT((VLOOKUP(AN$1,DATA!$A$3:$F$301,2,FALSE)-VLOOKUP($A49,DATA!$A$3:$F$301,2,FALSE))^2+(VLOOKUP(AN$1,DATA!$A$3:$F$301,3,FALSE)-VLOOKUP($A49,DATA!$A$3:$F$301,3,FALSE))^2),"")</f>
        <v/>
      </c>
      <c r="AO49" s="14" t="str">
        <f>_xlfn.IFNA(SQRT((VLOOKUP(AO$1,DATA!$A$3:$F$301,2,FALSE)-VLOOKUP($A49,DATA!$A$3:$F$301,2,FALSE))^2+(VLOOKUP(AO$1,DATA!$A$3:$F$301,3,FALSE)-VLOOKUP($A49,DATA!$A$3:$F$301,3,FALSE))^2),"")</f>
        <v/>
      </c>
      <c r="AP49" s="14" t="str">
        <f>_xlfn.IFNA(SQRT((VLOOKUP(AP$1,DATA!$A$3:$F$301,2,FALSE)-VLOOKUP($A49,DATA!$A$3:$F$301,2,FALSE))^2+(VLOOKUP(AP$1,DATA!$A$3:$F$301,3,FALSE)-VLOOKUP($A49,DATA!$A$3:$F$301,3,FALSE))^2),"")</f>
        <v/>
      </c>
      <c r="AQ49" s="14" t="str">
        <f>_xlfn.IFNA(SQRT((VLOOKUP(AQ$1,DATA!$A$3:$F$301,2,FALSE)-VLOOKUP($A49,DATA!$A$3:$F$301,2,FALSE))^2+(VLOOKUP(AQ$1,DATA!$A$3:$F$301,3,FALSE)-VLOOKUP($A49,DATA!$A$3:$F$301,3,FALSE))^2),"")</f>
        <v/>
      </c>
      <c r="AR49" s="14" t="str">
        <f>_xlfn.IFNA(SQRT((VLOOKUP(AR$1,DATA!$A$3:$F$301,2,FALSE)-VLOOKUP($A49,DATA!$A$3:$F$301,2,FALSE))^2+(VLOOKUP(AR$1,DATA!$A$3:$F$301,3,FALSE)-VLOOKUP($A49,DATA!$A$3:$F$301,3,FALSE))^2),"")</f>
        <v/>
      </c>
      <c r="AS49" s="14" t="str">
        <f>_xlfn.IFNA(SQRT((VLOOKUP(AS$1,DATA!$A$3:$F$301,2,FALSE)-VLOOKUP($A49,DATA!$A$3:$F$301,2,FALSE))^2+(VLOOKUP(AS$1,DATA!$A$3:$F$301,3,FALSE)-VLOOKUP($A49,DATA!$A$3:$F$301,3,FALSE))^2),"")</f>
        <v/>
      </c>
      <c r="AT49" s="14" t="str">
        <f>_xlfn.IFNA(SQRT((VLOOKUP(AT$1,DATA!$A$3:$F$301,2,FALSE)-VLOOKUP($A49,DATA!$A$3:$F$301,2,FALSE))^2+(VLOOKUP(AT$1,DATA!$A$3:$F$301,3,FALSE)-VLOOKUP($A49,DATA!$A$3:$F$301,3,FALSE))^2),"")</f>
        <v/>
      </c>
      <c r="AU49" s="14" t="str">
        <f>_xlfn.IFNA(SQRT((VLOOKUP(AU$1,DATA!$A$3:$F$301,2,FALSE)-VLOOKUP($A49,DATA!$A$3:$F$301,2,FALSE))^2+(VLOOKUP(AU$1,DATA!$A$3:$F$301,3,FALSE)-VLOOKUP($A49,DATA!$A$3:$F$301,3,FALSE))^2),"")</f>
        <v/>
      </c>
      <c r="AV49" s="14" t="str">
        <f>_xlfn.IFNA(SQRT((VLOOKUP(AV$1,DATA!$A$3:$F$301,2,FALSE)-VLOOKUP($A49,DATA!$A$3:$F$301,2,FALSE))^2+(VLOOKUP(AV$1,DATA!$A$3:$F$301,3,FALSE)-VLOOKUP($A49,DATA!$A$3:$F$301,3,FALSE))^2),"")</f>
        <v/>
      </c>
      <c r="AW49" s="14" t="str">
        <f>_xlfn.IFNA(SQRT((VLOOKUP(AW$1,DATA!$A$3:$F$301,2,FALSE)-VLOOKUP($A49,DATA!$A$3:$F$301,2,FALSE))^2+(VLOOKUP(AW$1,DATA!$A$3:$F$301,3,FALSE)-VLOOKUP($A49,DATA!$A$3:$F$301,3,FALSE))^2),"")</f>
        <v/>
      </c>
      <c r="AX49" s="14" t="str">
        <f>_xlfn.IFNA(SQRT((VLOOKUP(AX$1,DATA!$A$3:$F$301,2,FALSE)-VLOOKUP($A49,DATA!$A$3:$F$301,2,FALSE))^2+(VLOOKUP(AX$1,DATA!$A$3:$F$301,3,FALSE)-VLOOKUP($A49,DATA!$A$3:$F$301,3,FALSE))^2),"")</f>
        <v/>
      </c>
      <c r="AY49" s="14" t="str">
        <f>_xlfn.IFNA(SQRT((VLOOKUP(AY$1,DATA!$A$3:$F$301,2,FALSE)-VLOOKUP($A49,DATA!$A$3:$F$301,2,FALSE))^2+(VLOOKUP(AY$1,DATA!$A$3:$F$301,3,FALSE)-VLOOKUP($A49,DATA!$A$3:$F$301,3,FALSE))^2),"")</f>
        <v/>
      </c>
      <c r="AZ49" s="14" t="str">
        <f>_xlfn.IFNA(SQRT((VLOOKUP(AZ$1,DATA!$A$3:$F$301,2,FALSE)-VLOOKUP($A49,DATA!$A$3:$F$301,2,FALSE))^2+(VLOOKUP(AZ$1,DATA!$A$3:$F$301,3,FALSE)-VLOOKUP($A49,DATA!$A$3:$F$301,3,FALSE))^2),"")</f>
        <v/>
      </c>
      <c r="BA49" s="14" t="str">
        <f>_xlfn.IFNA(SQRT((VLOOKUP(BA$1,DATA!$A$3:$F$301,2,FALSE)-VLOOKUP($A49,DATA!$A$3:$F$301,2,FALSE))^2+(VLOOKUP(BA$1,DATA!$A$3:$F$301,3,FALSE)-VLOOKUP($A49,DATA!$A$3:$F$301,3,FALSE))^2),"")</f>
        <v/>
      </c>
      <c r="BB49" s="14" t="str">
        <f>_xlfn.IFNA(SQRT((VLOOKUP(BB$1,DATA!$A$3:$F$301,2,FALSE)-VLOOKUP($A49,DATA!$A$3:$F$301,2,FALSE))^2+(VLOOKUP(BB$1,DATA!$A$3:$F$301,3,FALSE)-VLOOKUP($A49,DATA!$A$3:$F$301,3,FALSE))^2),"")</f>
        <v/>
      </c>
      <c r="BC49" s="14" t="str">
        <f>_xlfn.IFNA(SQRT((VLOOKUP(BC$1,DATA!$A$3:$F$301,2,FALSE)-VLOOKUP($A49,DATA!$A$3:$F$301,2,FALSE))^2+(VLOOKUP(BC$1,DATA!$A$3:$F$301,3,FALSE)-VLOOKUP($A49,DATA!$A$3:$F$301,3,FALSE))^2),"")</f>
        <v/>
      </c>
      <c r="BD49" s="14" t="str">
        <f>_xlfn.IFNA(SQRT((VLOOKUP(BD$1,DATA!$A$3:$F$301,2,FALSE)-VLOOKUP($A49,DATA!$A$3:$F$301,2,FALSE))^2+(VLOOKUP(BD$1,DATA!$A$3:$F$301,3,FALSE)-VLOOKUP($A49,DATA!$A$3:$F$301,3,FALSE))^2),"")</f>
        <v/>
      </c>
      <c r="BE49" s="14" t="str">
        <f>_xlfn.IFNA(SQRT((VLOOKUP(BE$1,DATA!$A$3:$F$301,2,FALSE)-VLOOKUP($A49,DATA!$A$3:$F$301,2,FALSE))^2+(VLOOKUP(BE$1,DATA!$A$3:$F$301,3,FALSE)-VLOOKUP($A49,DATA!$A$3:$F$301,3,FALSE))^2),"")</f>
        <v/>
      </c>
      <c r="BF49" s="14" t="str">
        <f>_xlfn.IFNA(SQRT((VLOOKUP(BF$1,DATA!$A$3:$F$301,2,FALSE)-VLOOKUP($A49,DATA!$A$3:$F$301,2,FALSE))^2+(VLOOKUP(BF$1,DATA!$A$3:$F$301,3,FALSE)-VLOOKUP($A49,DATA!$A$3:$F$301,3,FALSE))^2),"")</f>
        <v/>
      </c>
      <c r="BG49" s="14" t="str">
        <f>_xlfn.IFNA(SQRT((VLOOKUP(BG$1,DATA!$A$3:$F$301,2,FALSE)-VLOOKUP($A49,DATA!$A$3:$F$301,2,FALSE))^2+(VLOOKUP(BG$1,DATA!$A$3:$F$301,3,FALSE)-VLOOKUP($A49,DATA!$A$3:$F$301,3,FALSE))^2),"")</f>
        <v/>
      </c>
      <c r="BH49" s="14" t="str">
        <f>_xlfn.IFNA(SQRT((VLOOKUP(BH$1,DATA!$A$3:$F$301,2,FALSE)-VLOOKUP($A49,DATA!$A$3:$F$301,2,FALSE))^2+(VLOOKUP(BH$1,DATA!$A$3:$F$301,3,FALSE)-VLOOKUP($A49,DATA!$A$3:$F$301,3,FALSE))^2),"")</f>
        <v/>
      </c>
      <c r="BI49" s="14" t="str">
        <f>_xlfn.IFNA(SQRT((VLOOKUP(BI$1,DATA!$A$3:$F$301,2,FALSE)-VLOOKUP($A49,DATA!$A$3:$F$301,2,FALSE))^2+(VLOOKUP(BI$1,DATA!$A$3:$F$301,3,FALSE)-VLOOKUP($A49,DATA!$A$3:$F$301,3,FALSE))^2),"")</f>
        <v/>
      </c>
      <c r="BJ49" s="14" t="str">
        <f>_xlfn.IFNA(SQRT((VLOOKUP(BJ$1,DATA!$A$3:$F$301,2,FALSE)-VLOOKUP($A49,DATA!$A$3:$F$301,2,FALSE))^2+(VLOOKUP(BJ$1,DATA!$A$3:$F$301,3,FALSE)-VLOOKUP($A49,DATA!$A$3:$F$301,3,FALSE))^2),"")</f>
        <v/>
      </c>
      <c r="BK49" s="14" t="str">
        <f>_xlfn.IFNA(SQRT((VLOOKUP(BK$1,DATA!$A$3:$F$301,2,FALSE)-VLOOKUP($A49,DATA!$A$3:$F$301,2,FALSE))^2+(VLOOKUP(BK$1,DATA!$A$3:$F$301,3,FALSE)-VLOOKUP($A49,DATA!$A$3:$F$301,3,FALSE))^2),"")</f>
        <v/>
      </c>
      <c r="BL49" s="14" t="str">
        <f>_xlfn.IFNA(SQRT((VLOOKUP(BL$1,DATA!$A$3:$F$301,2,FALSE)-VLOOKUP($A49,DATA!$A$3:$F$301,2,FALSE))^2+(VLOOKUP(BL$1,DATA!$A$3:$F$301,3,FALSE)-VLOOKUP($A49,DATA!$A$3:$F$301,3,FALSE))^2),"")</f>
        <v/>
      </c>
      <c r="BM49" s="14" t="str">
        <f>_xlfn.IFNA(SQRT((VLOOKUP(BM$1,DATA!$A$3:$F$301,2,FALSE)-VLOOKUP($A49,DATA!$A$3:$F$301,2,FALSE))^2+(VLOOKUP(BM$1,DATA!$A$3:$F$301,3,FALSE)-VLOOKUP($A49,DATA!$A$3:$F$301,3,FALSE))^2),"")</f>
        <v/>
      </c>
      <c r="BN49" s="14" t="str">
        <f>_xlfn.IFNA(SQRT((VLOOKUP(BN$1,DATA!$A$3:$F$301,2,FALSE)-VLOOKUP($A49,DATA!$A$3:$F$301,2,FALSE))^2+(VLOOKUP(BN$1,DATA!$A$3:$F$301,3,FALSE)-VLOOKUP($A49,DATA!$A$3:$F$301,3,FALSE))^2),"")</f>
        <v/>
      </c>
      <c r="BO49" s="14" t="str">
        <f>_xlfn.IFNA(SQRT((VLOOKUP(BO$1,DATA!$A$3:$F$301,2,FALSE)-VLOOKUP($A49,DATA!$A$3:$F$301,2,FALSE))^2+(VLOOKUP(BO$1,DATA!$A$3:$F$301,3,FALSE)-VLOOKUP($A49,DATA!$A$3:$F$301,3,FALSE))^2),"")</f>
        <v/>
      </c>
      <c r="BP49" s="14" t="str">
        <f>_xlfn.IFNA(SQRT((VLOOKUP(BP$1,DATA!$A$3:$F$301,2,FALSE)-VLOOKUP($A49,DATA!$A$3:$F$301,2,FALSE))^2+(VLOOKUP(BP$1,DATA!$A$3:$F$301,3,FALSE)-VLOOKUP($A49,DATA!$A$3:$F$301,3,FALSE))^2),"")</f>
        <v/>
      </c>
      <c r="BQ49" s="14" t="str">
        <f>_xlfn.IFNA(SQRT((VLOOKUP(BQ$1,DATA!$A$3:$F$301,2,FALSE)-VLOOKUP($A49,DATA!$A$3:$F$301,2,FALSE))^2+(VLOOKUP(BQ$1,DATA!$A$3:$F$301,3,FALSE)-VLOOKUP($A49,DATA!$A$3:$F$301,3,FALSE))^2),"")</f>
        <v/>
      </c>
      <c r="BR49" s="14" t="str">
        <f>_xlfn.IFNA(SQRT((VLOOKUP(BR$1,DATA!$A$3:$F$301,2,FALSE)-VLOOKUP($A49,DATA!$A$3:$F$301,2,FALSE))^2+(VLOOKUP(BR$1,DATA!$A$3:$F$301,3,FALSE)-VLOOKUP($A49,DATA!$A$3:$F$301,3,FALSE))^2),"")</f>
        <v/>
      </c>
      <c r="BS49" s="14" t="str">
        <f>_xlfn.IFNA(SQRT((VLOOKUP(BS$1,DATA!$A$3:$F$301,2,FALSE)-VLOOKUP($A49,DATA!$A$3:$F$301,2,FALSE))^2+(VLOOKUP(BS$1,DATA!$A$3:$F$301,3,FALSE)-VLOOKUP($A49,DATA!$A$3:$F$301,3,FALSE))^2),"")</f>
        <v/>
      </c>
      <c r="BT49" s="14" t="str">
        <f>_xlfn.IFNA(SQRT((VLOOKUP(BT$1,DATA!$A$3:$F$301,2,FALSE)-VLOOKUP($A49,DATA!$A$3:$F$301,2,FALSE))^2+(VLOOKUP(BT$1,DATA!$A$3:$F$301,3,FALSE)-VLOOKUP($A49,DATA!$A$3:$F$301,3,FALSE))^2),"")</f>
        <v/>
      </c>
      <c r="BU49" s="14" t="str">
        <f>_xlfn.IFNA(SQRT((VLOOKUP(BU$1,DATA!$A$3:$F$301,2,FALSE)-VLOOKUP($A49,DATA!$A$3:$F$301,2,FALSE))^2+(VLOOKUP(BU$1,DATA!$A$3:$F$301,3,FALSE)-VLOOKUP($A49,DATA!$A$3:$F$301,3,FALSE))^2),"")</f>
        <v/>
      </c>
      <c r="BV49" s="14" t="str">
        <f>_xlfn.IFNA(SQRT((VLOOKUP(BV$1,DATA!$A$3:$F$301,2,FALSE)-VLOOKUP($A49,DATA!$A$3:$F$301,2,FALSE))^2+(VLOOKUP(BV$1,DATA!$A$3:$F$301,3,FALSE)-VLOOKUP($A49,DATA!$A$3:$F$301,3,FALSE))^2),"")</f>
        <v/>
      </c>
      <c r="BW49" s="14" t="str">
        <f>_xlfn.IFNA(SQRT((VLOOKUP(BW$1,DATA!$A$3:$F$301,2,FALSE)-VLOOKUP($A49,DATA!$A$3:$F$301,2,FALSE))^2+(VLOOKUP(BW$1,DATA!$A$3:$F$301,3,FALSE)-VLOOKUP($A49,DATA!$A$3:$F$301,3,FALSE))^2),"")</f>
        <v/>
      </c>
      <c r="BX49" s="14" t="str">
        <f>_xlfn.IFNA(SQRT((VLOOKUP(BX$1,DATA!$A$3:$F$301,2,FALSE)-VLOOKUP($A49,DATA!$A$3:$F$301,2,FALSE))^2+(VLOOKUP(BX$1,DATA!$A$3:$F$301,3,FALSE)-VLOOKUP($A49,DATA!$A$3:$F$301,3,FALSE))^2),"")</f>
        <v/>
      </c>
      <c r="BY49" s="14" t="str">
        <f>_xlfn.IFNA(SQRT((VLOOKUP(BY$1,DATA!$A$3:$F$301,2,FALSE)-VLOOKUP($A49,DATA!$A$3:$F$301,2,FALSE))^2+(VLOOKUP(BY$1,DATA!$A$3:$F$301,3,FALSE)-VLOOKUP($A49,DATA!$A$3:$F$301,3,FALSE))^2),"")</f>
        <v/>
      </c>
      <c r="BZ49" s="14" t="str">
        <f>_xlfn.IFNA(SQRT((VLOOKUP(BZ$1,DATA!$A$3:$F$301,2,FALSE)-VLOOKUP($A49,DATA!$A$3:$F$301,2,FALSE))^2+(VLOOKUP(BZ$1,DATA!$A$3:$F$301,3,FALSE)-VLOOKUP($A49,DATA!$A$3:$F$301,3,FALSE))^2),"")</f>
        <v/>
      </c>
      <c r="CA49" s="14" t="str">
        <f>_xlfn.IFNA(SQRT((VLOOKUP(CA$1,DATA!$A$3:$F$301,2,FALSE)-VLOOKUP($A49,DATA!$A$3:$F$301,2,FALSE))^2+(VLOOKUP(CA$1,DATA!$A$3:$F$301,3,FALSE)-VLOOKUP($A49,DATA!$A$3:$F$301,3,FALSE))^2),"")</f>
        <v/>
      </c>
      <c r="CB49" s="14" t="str">
        <f>_xlfn.IFNA(SQRT((VLOOKUP(CB$1,DATA!$A$3:$F$301,2,FALSE)-VLOOKUP($A49,DATA!$A$3:$F$301,2,FALSE))^2+(VLOOKUP(CB$1,DATA!$A$3:$F$301,3,FALSE)-VLOOKUP($A49,DATA!$A$3:$F$301,3,FALSE))^2),"")</f>
        <v/>
      </c>
      <c r="CC49" s="14" t="str">
        <f>_xlfn.IFNA(SQRT((VLOOKUP(CC$1,DATA!$A$3:$F$301,2,FALSE)-VLOOKUP($A49,DATA!$A$3:$F$301,2,FALSE))^2+(VLOOKUP(CC$1,DATA!$A$3:$F$301,3,FALSE)-VLOOKUP($A49,DATA!$A$3:$F$301,3,FALSE))^2),"")</f>
        <v/>
      </c>
      <c r="CD49" s="14" t="str">
        <f>_xlfn.IFNA(SQRT((VLOOKUP(CD$1,DATA!$A$3:$F$301,2,FALSE)-VLOOKUP($A49,DATA!$A$3:$F$301,2,FALSE))^2+(VLOOKUP(CD$1,DATA!$A$3:$F$301,3,FALSE)-VLOOKUP($A49,DATA!$A$3:$F$301,3,FALSE))^2),"")</f>
        <v/>
      </c>
      <c r="CE49" s="14" t="str">
        <f>_xlfn.IFNA(SQRT((VLOOKUP(CE$1,DATA!$A$3:$F$301,2,FALSE)-VLOOKUP($A49,DATA!$A$3:$F$301,2,FALSE))^2+(VLOOKUP(CE$1,DATA!$A$3:$F$301,3,FALSE)-VLOOKUP($A49,DATA!$A$3:$F$301,3,FALSE))^2),"")</f>
        <v/>
      </c>
      <c r="CF49" s="14" t="str">
        <f>_xlfn.IFNA(SQRT((VLOOKUP(CF$1,DATA!$A$3:$F$301,2,FALSE)-VLOOKUP($A49,DATA!$A$3:$F$301,2,FALSE))^2+(VLOOKUP(CF$1,DATA!$A$3:$F$301,3,FALSE)-VLOOKUP($A49,DATA!$A$3:$F$301,3,FALSE))^2),"")</f>
        <v/>
      </c>
      <c r="CG49" s="14" t="str">
        <f>_xlfn.IFNA(SQRT((VLOOKUP(CG$1,DATA!$A$3:$F$301,2,FALSE)-VLOOKUP($A49,DATA!$A$3:$F$301,2,FALSE))^2+(VLOOKUP(CG$1,DATA!$A$3:$F$301,3,FALSE)-VLOOKUP($A49,DATA!$A$3:$F$301,3,FALSE))^2),"")</f>
        <v/>
      </c>
      <c r="CH49" s="14" t="str">
        <f>_xlfn.IFNA(SQRT((VLOOKUP(CH$1,DATA!$A$3:$F$301,2,FALSE)-VLOOKUP($A49,DATA!$A$3:$F$301,2,FALSE))^2+(VLOOKUP(CH$1,DATA!$A$3:$F$301,3,FALSE)-VLOOKUP($A49,DATA!$A$3:$F$301,3,FALSE))^2),"")</f>
        <v/>
      </c>
      <c r="CI49" s="14" t="str">
        <f>_xlfn.IFNA(SQRT((VLOOKUP(CI$1,DATA!$A$3:$F$301,2,FALSE)-VLOOKUP($A49,DATA!$A$3:$F$301,2,FALSE))^2+(VLOOKUP(CI$1,DATA!$A$3:$F$301,3,FALSE)-VLOOKUP($A49,DATA!$A$3:$F$301,3,FALSE))^2),"")</f>
        <v/>
      </c>
      <c r="CJ49" s="14" t="str">
        <f>_xlfn.IFNA(SQRT((VLOOKUP(CJ$1,DATA!$A$3:$F$301,2,FALSE)-VLOOKUP($A49,DATA!$A$3:$F$301,2,FALSE))^2+(VLOOKUP(CJ$1,DATA!$A$3:$F$301,3,FALSE)-VLOOKUP($A49,DATA!$A$3:$F$301,3,FALSE))^2),"")</f>
        <v/>
      </c>
      <c r="CK49" s="14" t="str">
        <f>_xlfn.IFNA(SQRT((VLOOKUP(CK$1,DATA!$A$3:$F$301,2,FALSE)-VLOOKUP($A49,DATA!$A$3:$F$301,2,FALSE))^2+(VLOOKUP(CK$1,DATA!$A$3:$F$301,3,FALSE)-VLOOKUP($A49,DATA!$A$3:$F$301,3,FALSE))^2),"")</f>
        <v/>
      </c>
      <c r="CL49" s="14" t="str">
        <f>_xlfn.IFNA(SQRT((VLOOKUP(CL$1,DATA!$A$3:$F$301,2,FALSE)-VLOOKUP($A49,DATA!$A$3:$F$301,2,FALSE))^2+(VLOOKUP(CL$1,DATA!$A$3:$F$301,3,FALSE)-VLOOKUP($A49,DATA!$A$3:$F$301,3,FALSE))^2),"")</f>
        <v/>
      </c>
      <c r="CM49" s="14" t="str">
        <f>_xlfn.IFNA(SQRT((VLOOKUP(CM$1,DATA!$A$3:$F$301,2,FALSE)-VLOOKUP($A49,DATA!$A$3:$F$301,2,FALSE))^2+(VLOOKUP(CM$1,DATA!$A$3:$F$301,3,FALSE)-VLOOKUP($A49,DATA!$A$3:$F$301,3,FALSE))^2),"")</f>
        <v/>
      </c>
      <c r="CN49" s="14" t="str">
        <f>_xlfn.IFNA(SQRT((VLOOKUP(CN$1,DATA!$A$3:$F$301,2,FALSE)-VLOOKUP($A49,DATA!$A$3:$F$301,2,FALSE))^2+(VLOOKUP(CN$1,DATA!$A$3:$F$301,3,FALSE)-VLOOKUP($A49,DATA!$A$3:$F$301,3,FALSE))^2),"")</f>
        <v/>
      </c>
      <c r="CO49" s="14" t="str">
        <f>_xlfn.IFNA(SQRT((VLOOKUP(CO$1,DATA!$A$3:$F$301,2,FALSE)-VLOOKUP($A49,DATA!$A$3:$F$301,2,FALSE))^2+(VLOOKUP(CO$1,DATA!$A$3:$F$301,3,FALSE)-VLOOKUP($A49,DATA!$A$3:$F$301,3,FALSE))^2),"")</f>
        <v/>
      </c>
      <c r="CP49" s="14" t="str">
        <f>_xlfn.IFNA(SQRT((VLOOKUP(CP$1,DATA!$A$3:$F$301,2,FALSE)-VLOOKUP($A49,DATA!$A$3:$F$301,2,FALSE))^2+(VLOOKUP(CP$1,DATA!$A$3:$F$301,3,FALSE)-VLOOKUP($A49,DATA!$A$3:$F$301,3,FALSE))^2),"")</f>
        <v/>
      </c>
      <c r="CQ49" s="14" t="str">
        <f>_xlfn.IFNA(SQRT((VLOOKUP(CQ$1,DATA!$A$3:$F$301,2,FALSE)-VLOOKUP($A49,DATA!$A$3:$F$301,2,FALSE))^2+(VLOOKUP(CQ$1,DATA!$A$3:$F$301,3,FALSE)-VLOOKUP($A49,DATA!$A$3:$F$301,3,FALSE))^2),"")</f>
        <v/>
      </c>
      <c r="CR49" s="14" t="str">
        <f>_xlfn.IFNA(SQRT((VLOOKUP(CR$1,DATA!$A$3:$F$301,2,FALSE)-VLOOKUP($A49,DATA!$A$3:$F$301,2,FALSE))^2+(VLOOKUP(CR$1,DATA!$A$3:$F$301,3,FALSE)-VLOOKUP($A49,DATA!$A$3:$F$301,3,FALSE))^2),"")</f>
        <v/>
      </c>
      <c r="CS49" s="14" t="str">
        <f>_xlfn.IFNA(SQRT((VLOOKUP(CS$1,DATA!$A$3:$F$301,2,FALSE)-VLOOKUP($A49,DATA!$A$3:$F$301,2,FALSE))^2+(VLOOKUP(CS$1,DATA!$A$3:$F$301,3,FALSE)-VLOOKUP($A49,DATA!$A$3:$F$301,3,FALSE))^2),"")</f>
        <v/>
      </c>
      <c r="CT49" s="14" t="str">
        <f>_xlfn.IFNA(SQRT((VLOOKUP(CT$1,DATA!$A$3:$F$301,2,FALSE)-VLOOKUP($A49,DATA!$A$3:$F$301,2,FALSE))^2+(VLOOKUP(CT$1,DATA!$A$3:$F$301,3,FALSE)-VLOOKUP($A49,DATA!$A$3:$F$301,3,FALSE))^2),"")</f>
        <v/>
      </c>
      <c r="CU49" s="14" t="str">
        <f>_xlfn.IFNA(SQRT((VLOOKUP(CU$1,DATA!$A$3:$F$301,2,FALSE)-VLOOKUP($A49,DATA!$A$3:$F$301,2,FALSE))^2+(VLOOKUP(CU$1,DATA!$A$3:$F$301,3,FALSE)-VLOOKUP($A49,DATA!$A$3:$F$301,3,FALSE))^2),"")</f>
        <v/>
      </c>
      <c r="CV49" s="14" t="str">
        <f>_xlfn.IFNA(SQRT((VLOOKUP(CV$1,DATA!$A$3:$F$301,2,FALSE)-VLOOKUP($A49,DATA!$A$3:$F$301,2,FALSE))^2+(VLOOKUP(CV$1,DATA!$A$3:$F$301,3,FALSE)-VLOOKUP($A49,DATA!$A$3:$F$301,3,FALSE))^2),"")</f>
        <v/>
      </c>
      <c r="CW49" s="14" t="str">
        <f>_xlfn.IFNA(SQRT((VLOOKUP(CW$1,DATA!$A$3:$F$301,2,FALSE)-VLOOKUP($A49,DATA!$A$3:$F$301,2,FALSE))^2+(VLOOKUP(CW$1,DATA!$A$3:$F$301,3,FALSE)-VLOOKUP($A49,DATA!$A$3:$F$301,3,FALSE))^2),"")</f>
        <v/>
      </c>
      <c r="CX49" s="14" t="str">
        <f>_xlfn.IFNA(SQRT((VLOOKUP(CX$1,DATA!$A$3:$F$301,2,FALSE)-VLOOKUP($A49,DATA!$A$3:$F$301,2,FALSE))^2+(VLOOKUP(CX$1,DATA!$A$3:$F$301,3,FALSE)-VLOOKUP($A49,DATA!$A$3:$F$301,3,FALSE))^2),"")</f>
        <v/>
      </c>
    </row>
    <row r="50" spans="1:102">
      <c r="A50" s="13">
        <v>49</v>
      </c>
      <c r="B50" s="14" t="str">
        <f>_xlfn.IFNA(SQRT((VLOOKUP(B$1,DATA!$A$3:$F$301,2,FALSE)-VLOOKUP($A50,DATA!$A$3:$F$301,2,FALSE))^2+(VLOOKUP(B$1,DATA!$A$3:$F$301,3,FALSE)-VLOOKUP($A50,DATA!$A$3:$F$301,3,FALSE))^2),"")</f>
        <v/>
      </c>
      <c r="C50" s="14" t="str">
        <f>_xlfn.IFNA(SQRT((VLOOKUP(C$1,DATA!$A$3:$F$301,2,FALSE)-VLOOKUP($A50,DATA!$A$3:$F$301,2,FALSE))^2+(VLOOKUP(C$1,DATA!$A$3:$F$301,3,FALSE)-VLOOKUP($A50,DATA!$A$3:$F$301,3,FALSE))^2),"")</f>
        <v/>
      </c>
      <c r="D50" s="14" t="str">
        <f>_xlfn.IFNA(SQRT((VLOOKUP(D$1,DATA!$A$3:$F$301,2,FALSE)-VLOOKUP($A50,DATA!$A$3:$F$301,2,FALSE))^2+(VLOOKUP(D$1,DATA!$A$3:$F$301,3,FALSE)-VLOOKUP($A50,DATA!$A$3:$F$301,3,FALSE))^2),"")</f>
        <v/>
      </c>
      <c r="E50" s="14" t="str">
        <f>_xlfn.IFNA(SQRT((VLOOKUP(E$1,DATA!$A$3:$F$301,2,FALSE)-VLOOKUP($A50,DATA!$A$3:$F$301,2,FALSE))^2+(VLOOKUP(E$1,DATA!$A$3:$F$301,3,FALSE)-VLOOKUP($A50,DATA!$A$3:$F$301,3,FALSE))^2),"")</f>
        <v/>
      </c>
      <c r="F50" s="14" t="str">
        <f>_xlfn.IFNA(SQRT((VLOOKUP(F$1,DATA!$A$3:$F$301,2,FALSE)-VLOOKUP($A50,DATA!$A$3:$F$301,2,FALSE))^2+(VLOOKUP(F$1,DATA!$A$3:$F$301,3,FALSE)-VLOOKUP($A50,DATA!$A$3:$F$301,3,FALSE))^2),"")</f>
        <v/>
      </c>
      <c r="G50" s="14" t="str">
        <f>_xlfn.IFNA(SQRT((VLOOKUP(G$1,DATA!$A$3:$F$301,2,FALSE)-VLOOKUP($A50,DATA!$A$3:$F$301,2,FALSE))^2+(VLOOKUP(G$1,DATA!$A$3:$F$301,3,FALSE)-VLOOKUP($A50,DATA!$A$3:$F$301,3,FALSE))^2),"")</f>
        <v/>
      </c>
      <c r="H50" s="14" t="str">
        <f>_xlfn.IFNA(SQRT((VLOOKUP(H$1,DATA!$A$3:$F$301,2,FALSE)-VLOOKUP($A50,DATA!$A$3:$F$301,2,FALSE))^2+(VLOOKUP(H$1,DATA!$A$3:$F$301,3,FALSE)-VLOOKUP($A50,DATA!$A$3:$F$301,3,FALSE))^2),"")</f>
        <v/>
      </c>
      <c r="I50" s="14" t="str">
        <f>_xlfn.IFNA(SQRT((VLOOKUP(I$1,DATA!$A$3:$F$301,2,FALSE)-VLOOKUP($A50,DATA!$A$3:$F$301,2,FALSE))^2+(VLOOKUP(I$1,DATA!$A$3:$F$301,3,FALSE)-VLOOKUP($A50,DATA!$A$3:$F$301,3,FALSE))^2),"")</f>
        <v/>
      </c>
      <c r="J50" s="14" t="str">
        <f>_xlfn.IFNA(SQRT((VLOOKUP(J$1,DATA!$A$3:$F$301,2,FALSE)-VLOOKUP($A50,DATA!$A$3:$F$301,2,FALSE))^2+(VLOOKUP(J$1,DATA!$A$3:$F$301,3,FALSE)-VLOOKUP($A50,DATA!$A$3:$F$301,3,FALSE))^2),"")</f>
        <v/>
      </c>
      <c r="K50" s="14" t="str">
        <f>_xlfn.IFNA(SQRT((VLOOKUP(K$1,DATA!$A$3:$F$301,2,FALSE)-VLOOKUP($A50,DATA!$A$3:$F$301,2,FALSE))^2+(VLOOKUP(K$1,DATA!$A$3:$F$301,3,FALSE)-VLOOKUP($A50,DATA!$A$3:$F$301,3,FALSE))^2),"")</f>
        <v/>
      </c>
      <c r="L50" s="14" t="str">
        <f>_xlfn.IFNA(SQRT((VLOOKUP(L$1,DATA!$A$3:$F$301,2,FALSE)-VLOOKUP($A50,DATA!$A$3:$F$301,2,FALSE))^2+(VLOOKUP(L$1,DATA!$A$3:$F$301,3,FALSE)-VLOOKUP($A50,DATA!$A$3:$F$301,3,FALSE))^2),"")</f>
        <v/>
      </c>
      <c r="M50" s="14" t="str">
        <f>_xlfn.IFNA(SQRT((VLOOKUP(M$1,DATA!$A$3:$F$301,2,FALSE)-VLOOKUP($A50,DATA!$A$3:$F$301,2,FALSE))^2+(VLOOKUP(M$1,DATA!$A$3:$F$301,3,FALSE)-VLOOKUP($A50,DATA!$A$3:$F$301,3,FALSE))^2),"")</f>
        <v/>
      </c>
      <c r="N50" s="14" t="str">
        <f>_xlfn.IFNA(SQRT((VLOOKUP(N$1,DATA!$A$3:$F$301,2,FALSE)-VLOOKUP($A50,DATA!$A$3:$F$301,2,FALSE))^2+(VLOOKUP(N$1,DATA!$A$3:$F$301,3,FALSE)-VLOOKUP($A50,DATA!$A$3:$F$301,3,FALSE))^2),"")</f>
        <v/>
      </c>
      <c r="O50" s="14" t="str">
        <f>_xlfn.IFNA(SQRT((VLOOKUP(O$1,DATA!$A$3:$F$301,2,FALSE)-VLOOKUP($A50,DATA!$A$3:$F$301,2,FALSE))^2+(VLOOKUP(O$1,DATA!$A$3:$F$301,3,FALSE)-VLOOKUP($A50,DATA!$A$3:$F$301,3,FALSE))^2),"")</f>
        <v/>
      </c>
      <c r="P50" s="14" t="str">
        <f>_xlfn.IFNA(SQRT((VLOOKUP(P$1,DATA!$A$3:$F$301,2,FALSE)-VLOOKUP($A50,DATA!$A$3:$F$301,2,FALSE))^2+(VLOOKUP(P$1,DATA!$A$3:$F$301,3,FALSE)-VLOOKUP($A50,DATA!$A$3:$F$301,3,FALSE))^2),"")</f>
        <v/>
      </c>
      <c r="Q50" s="14" t="str">
        <f>_xlfn.IFNA(SQRT((VLOOKUP(Q$1,DATA!$A$3:$F$301,2,FALSE)-VLOOKUP($A50,DATA!$A$3:$F$301,2,FALSE))^2+(VLOOKUP(Q$1,DATA!$A$3:$F$301,3,FALSE)-VLOOKUP($A50,DATA!$A$3:$F$301,3,FALSE))^2),"")</f>
        <v/>
      </c>
      <c r="R50" s="14" t="str">
        <f>_xlfn.IFNA(SQRT((VLOOKUP(R$1,DATA!$A$3:$F$301,2,FALSE)-VLOOKUP($A50,DATA!$A$3:$F$301,2,FALSE))^2+(VLOOKUP(R$1,DATA!$A$3:$F$301,3,FALSE)-VLOOKUP($A50,DATA!$A$3:$F$301,3,FALSE))^2),"")</f>
        <v/>
      </c>
      <c r="S50" s="14" t="str">
        <f>_xlfn.IFNA(SQRT((VLOOKUP(S$1,DATA!$A$3:$F$301,2,FALSE)-VLOOKUP($A50,DATA!$A$3:$F$301,2,FALSE))^2+(VLOOKUP(S$1,DATA!$A$3:$F$301,3,FALSE)-VLOOKUP($A50,DATA!$A$3:$F$301,3,FALSE))^2),"")</f>
        <v/>
      </c>
      <c r="T50" s="14" t="str">
        <f>_xlfn.IFNA(SQRT((VLOOKUP(T$1,DATA!$A$3:$F$301,2,FALSE)-VLOOKUP($A50,DATA!$A$3:$F$301,2,FALSE))^2+(VLOOKUP(T$1,DATA!$A$3:$F$301,3,FALSE)-VLOOKUP($A50,DATA!$A$3:$F$301,3,FALSE))^2),"")</f>
        <v/>
      </c>
      <c r="U50" s="14" t="str">
        <f>_xlfn.IFNA(SQRT((VLOOKUP(U$1,DATA!$A$3:$F$301,2,FALSE)-VLOOKUP($A50,DATA!$A$3:$F$301,2,FALSE))^2+(VLOOKUP(U$1,DATA!$A$3:$F$301,3,FALSE)-VLOOKUP($A50,DATA!$A$3:$F$301,3,FALSE))^2),"")</f>
        <v/>
      </c>
      <c r="V50" s="14" t="str">
        <f>_xlfn.IFNA(SQRT((VLOOKUP(V$1,DATA!$A$3:$F$301,2,FALSE)-VLOOKUP($A50,DATA!$A$3:$F$301,2,FALSE))^2+(VLOOKUP(V$1,DATA!$A$3:$F$301,3,FALSE)-VLOOKUP($A50,DATA!$A$3:$F$301,3,FALSE))^2),"")</f>
        <v/>
      </c>
      <c r="W50" s="14" t="str">
        <f>_xlfn.IFNA(SQRT((VLOOKUP(W$1,DATA!$A$3:$F$301,2,FALSE)-VLOOKUP($A50,DATA!$A$3:$F$301,2,FALSE))^2+(VLOOKUP(W$1,DATA!$A$3:$F$301,3,FALSE)-VLOOKUP($A50,DATA!$A$3:$F$301,3,FALSE))^2),"")</f>
        <v/>
      </c>
      <c r="X50" s="14" t="str">
        <f>_xlfn.IFNA(SQRT((VLOOKUP(X$1,DATA!$A$3:$F$301,2,FALSE)-VLOOKUP($A50,DATA!$A$3:$F$301,2,FALSE))^2+(VLOOKUP(X$1,DATA!$A$3:$F$301,3,FALSE)-VLOOKUP($A50,DATA!$A$3:$F$301,3,FALSE))^2),"")</f>
        <v/>
      </c>
      <c r="Y50" s="14" t="str">
        <f>_xlfn.IFNA(SQRT((VLOOKUP(Y$1,DATA!$A$3:$F$301,2,FALSE)-VLOOKUP($A50,DATA!$A$3:$F$301,2,FALSE))^2+(VLOOKUP(Y$1,DATA!$A$3:$F$301,3,FALSE)-VLOOKUP($A50,DATA!$A$3:$F$301,3,FALSE))^2),"")</f>
        <v/>
      </c>
      <c r="Z50" s="14" t="str">
        <f>_xlfn.IFNA(SQRT((VLOOKUP(Z$1,DATA!$A$3:$F$301,2,FALSE)-VLOOKUP($A50,DATA!$A$3:$F$301,2,FALSE))^2+(VLOOKUP(Z$1,DATA!$A$3:$F$301,3,FALSE)-VLOOKUP($A50,DATA!$A$3:$F$301,3,FALSE))^2),"")</f>
        <v/>
      </c>
      <c r="AA50" s="14" t="str">
        <f>_xlfn.IFNA(SQRT((VLOOKUP(AA$1,DATA!$A$3:$F$301,2,FALSE)-VLOOKUP($A50,DATA!$A$3:$F$301,2,FALSE))^2+(VLOOKUP(AA$1,DATA!$A$3:$F$301,3,FALSE)-VLOOKUP($A50,DATA!$A$3:$F$301,3,FALSE))^2),"")</f>
        <v/>
      </c>
      <c r="AB50" s="14" t="str">
        <f>_xlfn.IFNA(SQRT((VLOOKUP(AB$1,DATA!$A$3:$F$301,2,FALSE)-VLOOKUP($A50,DATA!$A$3:$F$301,2,FALSE))^2+(VLOOKUP(AB$1,DATA!$A$3:$F$301,3,FALSE)-VLOOKUP($A50,DATA!$A$3:$F$301,3,FALSE))^2),"")</f>
        <v/>
      </c>
      <c r="AC50" s="14" t="str">
        <f>_xlfn.IFNA(SQRT((VLOOKUP(AC$1,DATA!$A$3:$F$301,2,FALSE)-VLOOKUP($A50,DATA!$A$3:$F$301,2,FALSE))^2+(VLOOKUP(AC$1,DATA!$A$3:$F$301,3,FALSE)-VLOOKUP($A50,DATA!$A$3:$F$301,3,FALSE))^2),"")</f>
        <v/>
      </c>
      <c r="AD50" s="14" t="str">
        <f>_xlfn.IFNA(SQRT((VLOOKUP(AD$1,DATA!$A$3:$F$301,2,FALSE)-VLOOKUP($A50,DATA!$A$3:$F$301,2,FALSE))^2+(VLOOKUP(AD$1,DATA!$A$3:$F$301,3,FALSE)-VLOOKUP($A50,DATA!$A$3:$F$301,3,FALSE))^2),"")</f>
        <v/>
      </c>
      <c r="AE50" s="14" t="str">
        <f>_xlfn.IFNA(SQRT((VLOOKUP(AE$1,DATA!$A$3:$F$301,2,FALSE)-VLOOKUP($A50,DATA!$A$3:$F$301,2,FALSE))^2+(VLOOKUP(AE$1,DATA!$A$3:$F$301,3,FALSE)-VLOOKUP($A50,DATA!$A$3:$F$301,3,FALSE))^2),"")</f>
        <v/>
      </c>
      <c r="AF50" s="14" t="str">
        <f>_xlfn.IFNA(SQRT((VLOOKUP(AF$1,DATA!$A$3:$F$301,2,FALSE)-VLOOKUP($A50,DATA!$A$3:$F$301,2,FALSE))^2+(VLOOKUP(AF$1,DATA!$A$3:$F$301,3,FALSE)-VLOOKUP($A50,DATA!$A$3:$F$301,3,FALSE))^2),"")</f>
        <v/>
      </c>
      <c r="AG50" s="14" t="str">
        <f>_xlfn.IFNA(SQRT((VLOOKUP(AG$1,DATA!$A$3:$F$301,2,FALSE)-VLOOKUP($A50,DATA!$A$3:$F$301,2,FALSE))^2+(VLOOKUP(AG$1,DATA!$A$3:$F$301,3,FALSE)-VLOOKUP($A50,DATA!$A$3:$F$301,3,FALSE))^2),"")</f>
        <v/>
      </c>
      <c r="AH50" s="14" t="str">
        <f>_xlfn.IFNA(SQRT((VLOOKUP(AH$1,DATA!$A$3:$F$301,2,FALSE)-VLOOKUP($A50,DATA!$A$3:$F$301,2,FALSE))^2+(VLOOKUP(AH$1,DATA!$A$3:$F$301,3,FALSE)-VLOOKUP($A50,DATA!$A$3:$F$301,3,FALSE))^2),"")</f>
        <v/>
      </c>
      <c r="AI50" s="14" t="str">
        <f>_xlfn.IFNA(SQRT((VLOOKUP(AI$1,DATA!$A$3:$F$301,2,FALSE)-VLOOKUP($A50,DATA!$A$3:$F$301,2,FALSE))^2+(VLOOKUP(AI$1,DATA!$A$3:$F$301,3,FALSE)-VLOOKUP($A50,DATA!$A$3:$F$301,3,FALSE))^2),"")</f>
        <v/>
      </c>
      <c r="AJ50" s="14" t="str">
        <f>_xlfn.IFNA(SQRT((VLOOKUP(AJ$1,DATA!$A$3:$F$301,2,FALSE)-VLOOKUP($A50,DATA!$A$3:$F$301,2,FALSE))^2+(VLOOKUP(AJ$1,DATA!$A$3:$F$301,3,FALSE)-VLOOKUP($A50,DATA!$A$3:$F$301,3,FALSE))^2),"")</f>
        <v/>
      </c>
      <c r="AK50" s="14" t="str">
        <f>_xlfn.IFNA(SQRT((VLOOKUP(AK$1,DATA!$A$3:$F$301,2,FALSE)-VLOOKUP($A50,DATA!$A$3:$F$301,2,FALSE))^2+(VLOOKUP(AK$1,DATA!$A$3:$F$301,3,FALSE)-VLOOKUP($A50,DATA!$A$3:$F$301,3,FALSE))^2),"")</f>
        <v/>
      </c>
      <c r="AL50" s="14" t="str">
        <f>_xlfn.IFNA(SQRT((VLOOKUP(AL$1,DATA!$A$3:$F$301,2,FALSE)-VLOOKUP($A50,DATA!$A$3:$F$301,2,FALSE))^2+(VLOOKUP(AL$1,DATA!$A$3:$F$301,3,FALSE)-VLOOKUP($A50,DATA!$A$3:$F$301,3,FALSE))^2),"")</f>
        <v/>
      </c>
      <c r="AM50" s="14" t="str">
        <f>_xlfn.IFNA(SQRT((VLOOKUP(AM$1,DATA!$A$3:$F$301,2,FALSE)-VLOOKUP($A50,DATA!$A$3:$F$301,2,FALSE))^2+(VLOOKUP(AM$1,DATA!$A$3:$F$301,3,FALSE)-VLOOKUP($A50,DATA!$A$3:$F$301,3,FALSE))^2),"")</f>
        <v/>
      </c>
      <c r="AN50" s="14" t="str">
        <f>_xlfn.IFNA(SQRT((VLOOKUP(AN$1,DATA!$A$3:$F$301,2,FALSE)-VLOOKUP($A50,DATA!$A$3:$F$301,2,FALSE))^2+(VLOOKUP(AN$1,DATA!$A$3:$F$301,3,FALSE)-VLOOKUP($A50,DATA!$A$3:$F$301,3,FALSE))^2),"")</f>
        <v/>
      </c>
      <c r="AO50" s="14" t="str">
        <f>_xlfn.IFNA(SQRT((VLOOKUP(AO$1,DATA!$A$3:$F$301,2,FALSE)-VLOOKUP($A50,DATA!$A$3:$F$301,2,FALSE))^2+(VLOOKUP(AO$1,DATA!$A$3:$F$301,3,FALSE)-VLOOKUP($A50,DATA!$A$3:$F$301,3,FALSE))^2),"")</f>
        <v/>
      </c>
      <c r="AP50" s="14" t="str">
        <f>_xlfn.IFNA(SQRT((VLOOKUP(AP$1,DATA!$A$3:$F$301,2,FALSE)-VLOOKUP($A50,DATA!$A$3:$F$301,2,FALSE))^2+(VLOOKUP(AP$1,DATA!$A$3:$F$301,3,FALSE)-VLOOKUP($A50,DATA!$A$3:$F$301,3,FALSE))^2),"")</f>
        <v/>
      </c>
      <c r="AQ50" s="14" t="str">
        <f>_xlfn.IFNA(SQRT((VLOOKUP(AQ$1,DATA!$A$3:$F$301,2,FALSE)-VLOOKUP($A50,DATA!$A$3:$F$301,2,FALSE))^2+(VLOOKUP(AQ$1,DATA!$A$3:$F$301,3,FALSE)-VLOOKUP($A50,DATA!$A$3:$F$301,3,FALSE))^2),"")</f>
        <v/>
      </c>
      <c r="AR50" s="14" t="str">
        <f>_xlfn.IFNA(SQRT((VLOOKUP(AR$1,DATA!$A$3:$F$301,2,FALSE)-VLOOKUP($A50,DATA!$A$3:$F$301,2,FALSE))^2+(VLOOKUP(AR$1,DATA!$A$3:$F$301,3,FALSE)-VLOOKUP($A50,DATA!$A$3:$F$301,3,FALSE))^2),"")</f>
        <v/>
      </c>
      <c r="AS50" s="14" t="str">
        <f>_xlfn.IFNA(SQRT((VLOOKUP(AS$1,DATA!$A$3:$F$301,2,FALSE)-VLOOKUP($A50,DATA!$A$3:$F$301,2,FALSE))^2+(VLOOKUP(AS$1,DATA!$A$3:$F$301,3,FALSE)-VLOOKUP($A50,DATA!$A$3:$F$301,3,FALSE))^2),"")</f>
        <v/>
      </c>
      <c r="AT50" s="14" t="str">
        <f>_xlfn.IFNA(SQRT((VLOOKUP(AT$1,DATA!$A$3:$F$301,2,FALSE)-VLOOKUP($A50,DATA!$A$3:$F$301,2,FALSE))^2+(VLOOKUP(AT$1,DATA!$A$3:$F$301,3,FALSE)-VLOOKUP($A50,DATA!$A$3:$F$301,3,FALSE))^2),"")</f>
        <v/>
      </c>
      <c r="AU50" s="14" t="str">
        <f>_xlfn.IFNA(SQRT((VLOOKUP(AU$1,DATA!$A$3:$F$301,2,FALSE)-VLOOKUP($A50,DATA!$A$3:$F$301,2,FALSE))^2+(VLOOKUP(AU$1,DATA!$A$3:$F$301,3,FALSE)-VLOOKUP($A50,DATA!$A$3:$F$301,3,FALSE))^2),"")</f>
        <v/>
      </c>
      <c r="AV50" s="14" t="str">
        <f>_xlfn.IFNA(SQRT((VLOOKUP(AV$1,DATA!$A$3:$F$301,2,FALSE)-VLOOKUP($A50,DATA!$A$3:$F$301,2,FALSE))^2+(VLOOKUP(AV$1,DATA!$A$3:$F$301,3,FALSE)-VLOOKUP($A50,DATA!$A$3:$F$301,3,FALSE))^2),"")</f>
        <v/>
      </c>
      <c r="AW50" s="14" t="str">
        <f>_xlfn.IFNA(SQRT((VLOOKUP(AW$1,DATA!$A$3:$F$301,2,FALSE)-VLOOKUP($A50,DATA!$A$3:$F$301,2,FALSE))^2+(VLOOKUP(AW$1,DATA!$A$3:$F$301,3,FALSE)-VLOOKUP($A50,DATA!$A$3:$F$301,3,FALSE))^2),"")</f>
        <v/>
      </c>
      <c r="AX50" s="14" t="str">
        <f>_xlfn.IFNA(SQRT((VLOOKUP(AX$1,DATA!$A$3:$F$301,2,FALSE)-VLOOKUP($A50,DATA!$A$3:$F$301,2,FALSE))^2+(VLOOKUP(AX$1,DATA!$A$3:$F$301,3,FALSE)-VLOOKUP($A50,DATA!$A$3:$F$301,3,FALSE))^2),"")</f>
        <v/>
      </c>
      <c r="AY50" s="14" t="str">
        <f>_xlfn.IFNA(SQRT((VLOOKUP(AY$1,DATA!$A$3:$F$301,2,FALSE)-VLOOKUP($A50,DATA!$A$3:$F$301,2,FALSE))^2+(VLOOKUP(AY$1,DATA!$A$3:$F$301,3,FALSE)-VLOOKUP($A50,DATA!$A$3:$F$301,3,FALSE))^2),"")</f>
        <v/>
      </c>
      <c r="AZ50" s="14" t="str">
        <f>_xlfn.IFNA(SQRT((VLOOKUP(AZ$1,DATA!$A$3:$F$301,2,FALSE)-VLOOKUP($A50,DATA!$A$3:$F$301,2,FALSE))^2+(VLOOKUP(AZ$1,DATA!$A$3:$F$301,3,FALSE)-VLOOKUP($A50,DATA!$A$3:$F$301,3,FALSE))^2),"")</f>
        <v/>
      </c>
      <c r="BA50" s="14" t="str">
        <f>_xlfn.IFNA(SQRT((VLOOKUP(BA$1,DATA!$A$3:$F$301,2,FALSE)-VLOOKUP($A50,DATA!$A$3:$F$301,2,FALSE))^2+(VLOOKUP(BA$1,DATA!$A$3:$F$301,3,FALSE)-VLOOKUP($A50,DATA!$A$3:$F$301,3,FALSE))^2),"")</f>
        <v/>
      </c>
      <c r="BB50" s="14" t="str">
        <f>_xlfn.IFNA(SQRT((VLOOKUP(BB$1,DATA!$A$3:$F$301,2,FALSE)-VLOOKUP($A50,DATA!$A$3:$F$301,2,FALSE))^2+(VLOOKUP(BB$1,DATA!$A$3:$F$301,3,FALSE)-VLOOKUP($A50,DATA!$A$3:$F$301,3,FALSE))^2),"")</f>
        <v/>
      </c>
      <c r="BC50" s="14" t="str">
        <f>_xlfn.IFNA(SQRT((VLOOKUP(BC$1,DATA!$A$3:$F$301,2,FALSE)-VLOOKUP($A50,DATA!$A$3:$F$301,2,FALSE))^2+(VLOOKUP(BC$1,DATA!$A$3:$F$301,3,FALSE)-VLOOKUP($A50,DATA!$A$3:$F$301,3,FALSE))^2),"")</f>
        <v/>
      </c>
      <c r="BD50" s="14" t="str">
        <f>_xlfn.IFNA(SQRT((VLOOKUP(BD$1,DATA!$A$3:$F$301,2,FALSE)-VLOOKUP($A50,DATA!$A$3:$F$301,2,FALSE))^2+(VLOOKUP(BD$1,DATA!$A$3:$F$301,3,FALSE)-VLOOKUP($A50,DATA!$A$3:$F$301,3,FALSE))^2),"")</f>
        <v/>
      </c>
      <c r="BE50" s="14" t="str">
        <f>_xlfn.IFNA(SQRT((VLOOKUP(BE$1,DATA!$A$3:$F$301,2,FALSE)-VLOOKUP($A50,DATA!$A$3:$F$301,2,FALSE))^2+(VLOOKUP(BE$1,DATA!$A$3:$F$301,3,FALSE)-VLOOKUP($A50,DATA!$A$3:$F$301,3,FALSE))^2),"")</f>
        <v/>
      </c>
      <c r="BF50" s="14" t="str">
        <f>_xlfn.IFNA(SQRT((VLOOKUP(BF$1,DATA!$A$3:$F$301,2,FALSE)-VLOOKUP($A50,DATA!$A$3:$F$301,2,FALSE))^2+(VLOOKUP(BF$1,DATA!$A$3:$F$301,3,FALSE)-VLOOKUP($A50,DATA!$A$3:$F$301,3,FALSE))^2),"")</f>
        <v/>
      </c>
      <c r="BG50" s="14" t="str">
        <f>_xlfn.IFNA(SQRT((VLOOKUP(BG$1,DATA!$A$3:$F$301,2,FALSE)-VLOOKUP($A50,DATA!$A$3:$F$301,2,FALSE))^2+(VLOOKUP(BG$1,DATA!$A$3:$F$301,3,FALSE)-VLOOKUP($A50,DATA!$A$3:$F$301,3,FALSE))^2),"")</f>
        <v/>
      </c>
      <c r="BH50" s="14" t="str">
        <f>_xlfn.IFNA(SQRT((VLOOKUP(BH$1,DATA!$A$3:$F$301,2,FALSE)-VLOOKUP($A50,DATA!$A$3:$F$301,2,FALSE))^2+(VLOOKUP(BH$1,DATA!$A$3:$F$301,3,FALSE)-VLOOKUP($A50,DATA!$A$3:$F$301,3,FALSE))^2),"")</f>
        <v/>
      </c>
      <c r="BI50" s="14" t="str">
        <f>_xlfn.IFNA(SQRT((VLOOKUP(BI$1,DATA!$A$3:$F$301,2,FALSE)-VLOOKUP($A50,DATA!$A$3:$F$301,2,FALSE))^2+(VLOOKUP(BI$1,DATA!$A$3:$F$301,3,FALSE)-VLOOKUP($A50,DATA!$A$3:$F$301,3,FALSE))^2),"")</f>
        <v/>
      </c>
      <c r="BJ50" s="14" t="str">
        <f>_xlfn.IFNA(SQRT((VLOOKUP(BJ$1,DATA!$A$3:$F$301,2,FALSE)-VLOOKUP($A50,DATA!$A$3:$F$301,2,FALSE))^2+(VLOOKUP(BJ$1,DATA!$A$3:$F$301,3,FALSE)-VLOOKUP($A50,DATA!$A$3:$F$301,3,FALSE))^2),"")</f>
        <v/>
      </c>
      <c r="BK50" s="14" t="str">
        <f>_xlfn.IFNA(SQRT((VLOOKUP(BK$1,DATA!$A$3:$F$301,2,FALSE)-VLOOKUP($A50,DATA!$A$3:$F$301,2,FALSE))^2+(VLOOKUP(BK$1,DATA!$A$3:$F$301,3,FALSE)-VLOOKUP($A50,DATA!$A$3:$F$301,3,FALSE))^2),"")</f>
        <v/>
      </c>
      <c r="BL50" s="14" t="str">
        <f>_xlfn.IFNA(SQRT((VLOOKUP(BL$1,DATA!$A$3:$F$301,2,FALSE)-VLOOKUP($A50,DATA!$A$3:$F$301,2,FALSE))^2+(VLOOKUP(BL$1,DATA!$A$3:$F$301,3,FALSE)-VLOOKUP($A50,DATA!$A$3:$F$301,3,FALSE))^2),"")</f>
        <v/>
      </c>
      <c r="BM50" s="14" t="str">
        <f>_xlfn.IFNA(SQRT((VLOOKUP(BM$1,DATA!$A$3:$F$301,2,FALSE)-VLOOKUP($A50,DATA!$A$3:$F$301,2,FALSE))^2+(VLOOKUP(BM$1,DATA!$A$3:$F$301,3,FALSE)-VLOOKUP($A50,DATA!$A$3:$F$301,3,FALSE))^2),"")</f>
        <v/>
      </c>
      <c r="BN50" s="14" t="str">
        <f>_xlfn.IFNA(SQRT((VLOOKUP(BN$1,DATA!$A$3:$F$301,2,FALSE)-VLOOKUP($A50,DATA!$A$3:$F$301,2,FALSE))^2+(VLOOKUP(BN$1,DATA!$A$3:$F$301,3,FALSE)-VLOOKUP($A50,DATA!$A$3:$F$301,3,FALSE))^2),"")</f>
        <v/>
      </c>
      <c r="BO50" s="14" t="str">
        <f>_xlfn.IFNA(SQRT((VLOOKUP(BO$1,DATA!$A$3:$F$301,2,FALSE)-VLOOKUP($A50,DATA!$A$3:$F$301,2,FALSE))^2+(VLOOKUP(BO$1,DATA!$A$3:$F$301,3,FALSE)-VLOOKUP($A50,DATA!$A$3:$F$301,3,FALSE))^2),"")</f>
        <v/>
      </c>
      <c r="BP50" s="14" t="str">
        <f>_xlfn.IFNA(SQRT((VLOOKUP(BP$1,DATA!$A$3:$F$301,2,FALSE)-VLOOKUP($A50,DATA!$A$3:$F$301,2,FALSE))^2+(VLOOKUP(BP$1,DATA!$A$3:$F$301,3,FALSE)-VLOOKUP($A50,DATA!$A$3:$F$301,3,FALSE))^2),"")</f>
        <v/>
      </c>
      <c r="BQ50" s="14" t="str">
        <f>_xlfn.IFNA(SQRT((VLOOKUP(BQ$1,DATA!$A$3:$F$301,2,FALSE)-VLOOKUP($A50,DATA!$A$3:$F$301,2,FALSE))^2+(VLOOKUP(BQ$1,DATA!$A$3:$F$301,3,FALSE)-VLOOKUP($A50,DATA!$A$3:$F$301,3,FALSE))^2),"")</f>
        <v/>
      </c>
      <c r="BR50" s="14" t="str">
        <f>_xlfn.IFNA(SQRT((VLOOKUP(BR$1,DATA!$A$3:$F$301,2,FALSE)-VLOOKUP($A50,DATA!$A$3:$F$301,2,FALSE))^2+(VLOOKUP(BR$1,DATA!$A$3:$F$301,3,FALSE)-VLOOKUP($A50,DATA!$A$3:$F$301,3,FALSE))^2),"")</f>
        <v/>
      </c>
      <c r="BS50" s="14" t="str">
        <f>_xlfn.IFNA(SQRT((VLOOKUP(BS$1,DATA!$A$3:$F$301,2,FALSE)-VLOOKUP($A50,DATA!$A$3:$F$301,2,FALSE))^2+(VLOOKUP(BS$1,DATA!$A$3:$F$301,3,FALSE)-VLOOKUP($A50,DATA!$A$3:$F$301,3,FALSE))^2),"")</f>
        <v/>
      </c>
      <c r="BT50" s="14" t="str">
        <f>_xlfn.IFNA(SQRT((VLOOKUP(BT$1,DATA!$A$3:$F$301,2,FALSE)-VLOOKUP($A50,DATA!$A$3:$F$301,2,FALSE))^2+(VLOOKUP(BT$1,DATA!$A$3:$F$301,3,FALSE)-VLOOKUP($A50,DATA!$A$3:$F$301,3,FALSE))^2),"")</f>
        <v/>
      </c>
      <c r="BU50" s="14" t="str">
        <f>_xlfn.IFNA(SQRT((VLOOKUP(BU$1,DATA!$A$3:$F$301,2,FALSE)-VLOOKUP($A50,DATA!$A$3:$F$301,2,FALSE))^2+(VLOOKUP(BU$1,DATA!$A$3:$F$301,3,FALSE)-VLOOKUP($A50,DATA!$A$3:$F$301,3,FALSE))^2),"")</f>
        <v/>
      </c>
      <c r="BV50" s="14" t="str">
        <f>_xlfn.IFNA(SQRT((VLOOKUP(BV$1,DATA!$A$3:$F$301,2,FALSE)-VLOOKUP($A50,DATA!$A$3:$F$301,2,FALSE))^2+(VLOOKUP(BV$1,DATA!$A$3:$F$301,3,FALSE)-VLOOKUP($A50,DATA!$A$3:$F$301,3,FALSE))^2),"")</f>
        <v/>
      </c>
      <c r="BW50" s="14" t="str">
        <f>_xlfn.IFNA(SQRT((VLOOKUP(BW$1,DATA!$A$3:$F$301,2,FALSE)-VLOOKUP($A50,DATA!$A$3:$F$301,2,FALSE))^2+(VLOOKUP(BW$1,DATA!$A$3:$F$301,3,FALSE)-VLOOKUP($A50,DATA!$A$3:$F$301,3,FALSE))^2),"")</f>
        <v/>
      </c>
      <c r="BX50" s="14" t="str">
        <f>_xlfn.IFNA(SQRT((VLOOKUP(BX$1,DATA!$A$3:$F$301,2,FALSE)-VLOOKUP($A50,DATA!$A$3:$F$301,2,FALSE))^2+(VLOOKUP(BX$1,DATA!$A$3:$F$301,3,FALSE)-VLOOKUP($A50,DATA!$A$3:$F$301,3,FALSE))^2),"")</f>
        <v/>
      </c>
      <c r="BY50" s="14" t="str">
        <f>_xlfn.IFNA(SQRT((VLOOKUP(BY$1,DATA!$A$3:$F$301,2,FALSE)-VLOOKUP($A50,DATA!$A$3:$F$301,2,FALSE))^2+(VLOOKUP(BY$1,DATA!$A$3:$F$301,3,FALSE)-VLOOKUP($A50,DATA!$A$3:$F$301,3,FALSE))^2),"")</f>
        <v/>
      </c>
      <c r="BZ50" s="14" t="str">
        <f>_xlfn.IFNA(SQRT((VLOOKUP(BZ$1,DATA!$A$3:$F$301,2,FALSE)-VLOOKUP($A50,DATA!$A$3:$F$301,2,FALSE))^2+(VLOOKUP(BZ$1,DATA!$A$3:$F$301,3,FALSE)-VLOOKUP($A50,DATA!$A$3:$F$301,3,FALSE))^2),"")</f>
        <v/>
      </c>
      <c r="CA50" s="14" t="str">
        <f>_xlfn.IFNA(SQRT((VLOOKUP(CA$1,DATA!$A$3:$F$301,2,FALSE)-VLOOKUP($A50,DATA!$A$3:$F$301,2,FALSE))^2+(VLOOKUP(CA$1,DATA!$A$3:$F$301,3,FALSE)-VLOOKUP($A50,DATA!$A$3:$F$301,3,FALSE))^2),"")</f>
        <v/>
      </c>
      <c r="CB50" s="14" t="str">
        <f>_xlfn.IFNA(SQRT((VLOOKUP(CB$1,DATA!$A$3:$F$301,2,FALSE)-VLOOKUP($A50,DATA!$A$3:$F$301,2,FALSE))^2+(VLOOKUP(CB$1,DATA!$A$3:$F$301,3,FALSE)-VLOOKUP($A50,DATA!$A$3:$F$301,3,FALSE))^2),"")</f>
        <v/>
      </c>
      <c r="CC50" s="14" t="str">
        <f>_xlfn.IFNA(SQRT((VLOOKUP(CC$1,DATA!$A$3:$F$301,2,FALSE)-VLOOKUP($A50,DATA!$A$3:$F$301,2,FALSE))^2+(VLOOKUP(CC$1,DATA!$A$3:$F$301,3,FALSE)-VLOOKUP($A50,DATA!$A$3:$F$301,3,FALSE))^2),"")</f>
        <v/>
      </c>
      <c r="CD50" s="14" t="str">
        <f>_xlfn.IFNA(SQRT((VLOOKUP(CD$1,DATA!$A$3:$F$301,2,FALSE)-VLOOKUP($A50,DATA!$A$3:$F$301,2,FALSE))^2+(VLOOKUP(CD$1,DATA!$A$3:$F$301,3,FALSE)-VLOOKUP($A50,DATA!$A$3:$F$301,3,FALSE))^2),"")</f>
        <v/>
      </c>
      <c r="CE50" s="14" t="str">
        <f>_xlfn.IFNA(SQRT((VLOOKUP(CE$1,DATA!$A$3:$F$301,2,FALSE)-VLOOKUP($A50,DATA!$A$3:$F$301,2,FALSE))^2+(VLOOKUP(CE$1,DATA!$A$3:$F$301,3,FALSE)-VLOOKUP($A50,DATA!$A$3:$F$301,3,FALSE))^2),"")</f>
        <v/>
      </c>
      <c r="CF50" s="14" t="str">
        <f>_xlfn.IFNA(SQRT((VLOOKUP(CF$1,DATA!$A$3:$F$301,2,FALSE)-VLOOKUP($A50,DATA!$A$3:$F$301,2,FALSE))^2+(VLOOKUP(CF$1,DATA!$A$3:$F$301,3,FALSE)-VLOOKUP($A50,DATA!$A$3:$F$301,3,FALSE))^2),"")</f>
        <v/>
      </c>
      <c r="CG50" s="14" t="str">
        <f>_xlfn.IFNA(SQRT((VLOOKUP(CG$1,DATA!$A$3:$F$301,2,FALSE)-VLOOKUP($A50,DATA!$A$3:$F$301,2,FALSE))^2+(VLOOKUP(CG$1,DATA!$A$3:$F$301,3,FALSE)-VLOOKUP($A50,DATA!$A$3:$F$301,3,FALSE))^2),"")</f>
        <v/>
      </c>
      <c r="CH50" s="14" t="str">
        <f>_xlfn.IFNA(SQRT((VLOOKUP(CH$1,DATA!$A$3:$F$301,2,FALSE)-VLOOKUP($A50,DATA!$A$3:$F$301,2,FALSE))^2+(VLOOKUP(CH$1,DATA!$A$3:$F$301,3,FALSE)-VLOOKUP($A50,DATA!$A$3:$F$301,3,FALSE))^2),"")</f>
        <v/>
      </c>
      <c r="CI50" s="14" t="str">
        <f>_xlfn.IFNA(SQRT((VLOOKUP(CI$1,DATA!$A$3:$F$301,2,FALSE)-VLOOKUP($A50,DATA!$A$3:$F$301,2,FALSE))^2+(VLOOKUP(CI$1,DATA!$A$3:$F$301,3,FALSE)-VLOOKUP($A50,DATA!$A$3:$F$301,3,FALSE))^2),"")</f>
        <v/>
      </c>
      <c r="CJ50" s="14" t="str">
        <f>_xlfn.IFNA(SQRT((VLOOKUP(CJ$1,DATA!$A$3:$F$301,2,FALSE)-VLOOKUP($A50,DATA!$A$3:$F$301,2,FALSE))^2+(VLOOKUP(CJ$1,DATA!$A$3:$F$301,3,FALSE)-VLOOKUP($A50,DATA!$A$3:$F$301,3,FALSE))^2),"")</f>
        <v/>
      </c>
      <c r="CK50" s="14" t="str">
        <f>_xlfn.IFNA(SQRT((VLOOKUP(CK$1,DATA!$A$3:$F$301,2,FALSE)-VLOOKUP($A50,DATA!$A$3:$F$301,2,FALSE))^2+(VLOOKUP(CK$1,DATA!$A$3:$F$301,3,FALSE)-VLOOKUP($A50,DATA!$A$3:$F$301,3,FALSE))^2),"")</f>
        <v/>
      </c>
      <c r="CL50" s="14" t="str">
        <f>_xlfn.IFNA(SQRT((VLOOKUP(CL$1,DATA!$A$3:$F$301,2,FALSE)-VLOOKUP($A50,DATA!$A$3:$F$301,2,FALSE))^2+(VLOOKUP(CL$1,DATA!$A$3:$F$301,3,FALSE)-VLOOKUP($A50,DATA!$A$3:$F$301,3,FALSE))^2),"")</f>
        <v/>
      </c>
      <c r="CM50" s="14" t="str">
        <f>_xlfn.IFNA(SQRT((VLOOKUP(CM$1,DATA!$A$3:$F$301,2,FALSE)-VLOOKUP($A50,DATA!$A$3:$F$301,2,FALSE))^2+(VLOOKUP(CM$1,DATA!$A$3:$F$301,3,FALSE)-VLOOKUP($A50,DATA!$A$3:$F$301,3,FALSE))^2),"")</f>
        <v/>
      </c>
      <c r="CN50" s="14" t="str">
        <f>_xlfn.IFNA(SQRT((VLOOKUP(CN$1,DATA!$A$3:$F$301,2,FALSE)-VLOOKUP($A50,DATA!$A$3:$F$301,2,FALSE))^2+(VLOOKUP(CN$1,DATA!$A$3:$F$301,3,FALSE)-VLOOKUP($A50,DATA!$A$3:$F$301,3,FALSE))^2),"")</f>
        <v/>
      </c>
      <c r="CO50" s="14" t="str">
        <f>_xlfn.IFNA(SQRT((VLOOKUP(CO$1,DATA!$A$3:$F$301,2,FALSE)-VLOOKUP($A50,DATA!$A$3:$F$301,2,FALSE))^2+(VLOOKUP(CO$1,DATA!$A$3:$F$301,3,FALSE)-VLOOKUP($A50,DATA!$A$3:$F$301,3,FALSE))^2),"")</f>
        <v/>
      </c>
      <c r="CP50" s="14" t="str">
        <f>_xlfn.IFNA(SQRT((VLOOKUP(CP$1,DATA!$A$3:$F$301,2,FALSE)-VLOOKUP($A50,DATA!$A$3:$F$301,2,FALSE))^2+(VLOOKUP(CP$1,DATA!$A$3:$F$301,3,FALSE)-VLOOKUP($A50,DATA!$A$3:$F$301,3,FALSE))^2),"")</f>
        <v/>
      </c>
      <c r="CQ50" s="14" t="str">
        <f>_xlfn.IFNA(SQRT((VLOOKUP(CQ$1,DATA!$A$3:$F$301,2,FALSE)-VLOOKUP($A50,DATA!$A$3:$F$301,2,FALSE))^2+(VLOOKUP(CQ$1,DATA!$A$3:$F$301,3,FALSE)-VLOOKUP($A50,DATA!$A$3:$F$301,3,FALSE))^2),"")</f>
        <v/>
      </c>
      <c r="CR50" s="14" t="str">
        <f>_xlfn.IFNA(SQRT((VLOOKUP(CR$1,DATA!$A$3:$F$301,2,FALSE)-VLOOKUP($A50,DATA!$A$3:$F$301,2,FALSE))^2+(VLOOKUP(CR$1,DATA!$A$3:$F$301,3,FALSE)-VLOOKUP($A50,DATA!$A$3:$F$301,3,FALSE))^2),"")</f>
        <v/>
      </c>
      <c r="CS50" s="14" t="str">
        <f>_xlfn.IFNA(SQRT((VLOOKUP(CS$1,DATA!$A$3:$F$301,2,FALSE)-VLOOKUP($A50,DATA!$A$3:$F$301,2,FALSE))^2+(VLOOKUP(CS$1,DATA!$A$3:$F$301,3,FALSE)-VLOOKUP($A50,DATA!$A$3:$F$301,3,FALSE))^2),"")</f>
        <v/>
      </c>
      <c r="CT50" s="14" t="str">
        <f>_xlfn.IFNA(SQRT((VLOOKUP(CT$1,DATA!$A$3:$F$301,2,FALSE)-VLOOKUP($A50,DATA!$A$3:$F$301,2,FALSE))^2+(VLOOKUP(CT$1,DATA!$A$3:$F$301,3,FALSE)-VLOOKUP($A50,DATA!$A$3:$F$301,3,FALSE))^2),"")</f>
        <v/>
      </c>
      <c r="CU50" s="14" t="str">
        <f>_xlfn.IFNA(SQRT((VLOOKUP(CU$1,DATA!$A$3:$F$301,2,FALSE)-VLOOKUP($A50,DATA!$A$3:$F$301,2,FALSE))^2+(VLOOKUP(CU$1,DATA!$A$3:$F$301,3,FALSE)-VLOOKUP($A50,DATA!$A$3:$F$301,3,FALSE))^2),"")</f>
        <v/>
      </c>
      <c r="CV50" s="14" t="str">
        <f>_xlfn.IFNA(SQRT((VLOOKUP(CV$1,DATA!$A$3:$F$301,2,FALSE)-VLOOKUP($A50,DATA!$A$3:$F$301,2,FALSE))^2+(VLOOKUP(CV$1,DATA!$A$3:$F$301,3,FALSE)-VLOOKUP($A50,DATA!$A$3:$F$301,3,FALSE))^2),"")</f>
        <v/>
      </c>
      <c r="CW50" s="14" t="str">
        <f>_xlfn.IFNA(SQRT((VLOOKUP(CW$1,DATA!$A$3:$F$301,2,FALSE)-VLOOKUP($A50,DATA!$A$3:$F$301,2,FALSE))^2+(VLOOKUP(CW$1,DATA!$A$3:$F$301,3,FALSE)-VLOOKUP($A50,DATA!$A$3:$F$301,3,FALSE))^2),"")</f>
        <v/>
      </c>
      <c r="CX50" s="14" t="str">
        <f>_xlfn.IFNA(SQRT((VLOOKUP(CX$1,DATA!$A$3:$F$301,2,FALSE)-VLOOKUP($A50,DATA!$A$3:$F$301,2,FALSE))^2+(VLOOKUP(CX$1,DATA!$A$3:$F$301,3,FALSE)-VLOOKUP($A50,DATA!$A$3:$F$301,3,FALSE))^2),"")</f>
        <v/>
      </c>
    </row>
    <row r="51" spans="1:102">
      <c r="A51" s="13">
        <v>50</v>
      </c>
      <c r="B51" s="14" t="str">
        <f>_xlfn.IFNA(SQRT((VLOOKUP(B$1,DATA!$A$3:$F$301,2,FALSE)-VLOOKUP($A51,DATA!$A$3:$F$301,2,FALSE))^2+(VLOOKUP(B$1,DATA!$A$3:$F$301,3,FALSE)-VLOOKUP($A51,DATA!$A$3:$F$301,3,FALSE))^2),"")</f>
        <v/>
      </c>
      <c r="C51" s="14" t="str">
        <f>_xlfn.IFNA(SQRT((VLOOKUP(C$1,DATA!$A$3:$F$301,2,FALSE)-VLOOKUP($A51,DATA!$A$3:$F$301,2,FALSE))^2+(VLOOKUP(C$1,DATA!$A$3:$F$301,3,FALSE)-VLOOKUP($A51,DATA!$A$3:$F$301,3,FALSE))^2),"")</f>
        <v/>
      </c>
      <c r="D51" s="14" t="str">
        <f>_xlfn.IFNA(SQRT((VLOOKUP(D$1,DATA!$A$3:$F$301,2,FALSE)-VLOOKUP($A51,DATA!$A$3:$F$301,2,FALSE))^2+(VLOOKUP(D$1,DATA!$A$3:$F$301,3,FALSE)-VLOOKUP($A51,DATA!$A$3:$F$301,3,FALSE))^2),"")</f>
        <v/>
      </c>
      <c r="E51" s="14" t="str">
        <f>_xlfn.IFNA(SQRT((VLOOKUP(E$1,DATA!$A$3:$F$301,2,FALSE)-VLOOKUP($A51,DATA!$A$3:$F$301,2,FALSE))^2+(VLOOKUP(E$1,DATA!$A$3:$F$301,3,FALSE)-VLOOKUP($A51,DATA!$A$3:$F$301,3,FALSE))^2),"")</f>
        <v/>
      </c>
      <c r="F51" s="14" t="str">
        <f>_xlfn.IFNA(SQRT((VLOOKUP(F$1,DATA!$A$3:$F$301,2,FALSE)-VLOOKUP($A51,DATA!$A$3:$F$301,2,FALSE))^2+(VLOOKUP(F$1,DATA!$A$3:$F$301,3,FALSE)-VLOOKUP($A51,DATA!$A$3:$F$301,3,FALSE))^2),"")</f>
        <v/>
      </c>
      <c r="G51" s="14" t="str">
        <f>_xlfn.IFNA(SQRT((VLOOKUP(G$1,DATA!$A$3:$F$301,2,FALSE)-VLOOKUP($A51,DATA!$A$3:$F$301,2,FALSE))^2+(VLOOKUP(G$1,DATA!$A$3:$F$301,3,FALSE)-VLOOKUP($A51,DATA!$A$3:$F$301,3,FALSE))^2),"")</f>
        <v/>
      </c>
      <c r="H51" s="14" t="str">
        <f>_xlfn.IFNA(SQRT((VLOOKUP(H$1,DATA!$A$3:$F$301,2,FALSE)-VLOOKUP($A51,DATA!$A$3:$F$301,2,FALSE))^2+(VLOOKUP(H$1,DATA!$A$3:$F$301,3,FALSE)-VLOOKUP($A51,DATA!$A$3:$F$301,3,FALSE))^2),"")</f>
        <v/>
      </c>
      <c r="I51" s="14" t="str">
        <f>_xlfn.IFNA(SQRT((VLOOKUP(I$1,DATA!$A$3:$F$301,2,FALSE)-VLOOKUP($A51,DATA!$A$3:$F$301,2,FALSE))^2+(VLOOKUP(I$1,DATA!$A$3:$F$301,3,FALSE)-VLOOKUP($A51,DATA!$A$3:$F$301,3,FALSE))^2),"")</f>
        <v/>
      </c>
      <c r="J51" s="14" t="str">
        <f>_xlfn.IFNA(SQRT((VLOOKUP(J$1,DATA!$A$3:$F$301,2,FALSE)-VLOOKUP($A51,DATA!$A$3:$F$301,2,FALSE))^2+(VLOOKUP(J$1,DATA!$A$3:$F$301,3,FALSE)-VLOOKUP($A51,DATA!$A$3:$F$301,3,FALSE))^2),"")</f>
        <v/>
      </c>
      <c r="K51" s="14" t="str">
        <f>_xlfn.IFNA(SQRT((VLOOKUP(K$1,DATA!$A$3:$F$301,2,FALSE)-VLOOKUP($A51,DATA!$A$3:$F$301,2,FALSE))^2+(VLOOKUP(K$1,DATA!$A$3:$F$301,3,FALSE)-VLOOKUP($A51,DATA!$A$3:$F$301,3,FALSE))^2),"")</f>
        <v/>
      </c>
      <c r="L51" s="14" t="str">
        <f>_xlfn.IFNA(SQRT((VLOOKUP(L$1,DATA!$A$3:$F$301,2,FALSE)-VLOOKUP($A51,DATA!$A$3:$F$301,2,FALSE))^2+(VLOOKUP(L$1,DATA!$A$3:$F$301,3,FALSE)-VLOOKUP($A51,DATA!$A$3:$F$301,3,FALSE))^2),"")</f>
        <v/>
      </c>
      <c r="M51" s="14" t="str">
        <f>_xlfn.IFNA(SQRT((VLOOKUP(M$1,DATA!$A$3:$F$301,2,FALSE)-VLOOKUP($A51,DATA!$A$3:$F$301,2,FALSE))^2+(VLOOKUP(M$1,DATA!$A$3:$F$301,3,FALSE)-VLOOKUP($A51,DATA!$A$3:$F$301,3,FALSE))^2),"")</f>
        <v/>
      </c>
      <c r="N51" s="14" t="str">
        <f>_xlfn.IFNA(SQRT((VLOOKUP(N$1,DATA!$A$3:$F$301,2,FALSE)-VLOOKUP($A51,DATA!$A$3:$F$301,2,FALSE))^2+(VLOOKUP(N$1,DATA!$A$3:$F$301,3,FALSE)-VLOOKUP($A51,DATA!$A$3:$F$301,3,FALSE))^2),"")</f>
        <v/>
      </c>
      <c r="O51" s="14" t="str">
        <f>_xlfn.IFNA(SQRT((VLOOKUP(O$1,DATA!$A$3:$F$301,2,FALSE)-VLOOKUP($A51,DATA!$A$3:$F$301,2,FALSE))^2+(VLOOKUP(O$1,DATA!$A$3:$F$301,3,FALSE)-VLOOKUP($A51,DATA!$A$3:$F$301,3,FALSE))^2),"")</f>
        <v/>
      </c>
      <c r="P51" s="14" t="str">
        <f>_xlfn.IFNA(SQRT((VLOOKUP(P$1,DATA!$A$3:$F$301,2,FALSE)-VLOOKUP($A51,DATA!$A$3:$F$301,2,FALSE))^2+(VLOOKUP(P$1,DATA!$A$3:$F$301,3,FALSE)-VLOOKUP($A51,DATA!$A$3:$F$301,3,FALSE))^2),"")</f>
        <v/>
      </c>
      <c r="Q51" s="14" t="str">
        <f>_xlfn.IFNA(SQRT((VLOOKUP(Q$1,DATA!$A$3:$F$301,2,FALSE)-VLOOKUP($A51,DATA!$A$3:$F$301,2,FALSE))^2+(VLOOKUP(Q$1,DATA!$A$3:$F$301,3,FALSE)-VLOOKUP($A51,DATA!$A$3:$F$301,3,FALSE))^2),"")</f>
        <v/>
      </c>
      <c r="R51" s="14" t="str">
        <f>_xlfn.IFNA(SQRT((VLOOKUP(R$1,DATA!$A$3:$F$301,2,FALSE)-VLOOKUP($A51,DATA!$A$3:$F$301,2,FALSE))^2+(VLOOKUP(R$1,DATA!$A$3:$F$301,3,FALSE)-VLOOKUP($A51,DATA!$A$3:$F$301,3,FALSE))^2),"")</f>
        <v/>
      </c>
      <c r="S51" s="14" t="str">
        <f>_xlfn.IFNA(SQRT((VLOOKUP(S$1,DATA!$A$3:$F$301,2,FALSE)-VLOOKUP($A51,DATA!$A$3:$F$301,2,FALSE))^2+(VLOOKUP(S$1,DATA!$A$3:$F$301,3,FALSE)-VLOOKUP($A51,DATA!$A$3:$F$301,3,FALSE))^2),"")</f>
        <v/>
      </c>
      <c r="T51" s="14" t="str">
        <f>_xlfn.IFNA(SQRT((VLOOKUP(T$1,DATA!$A$3:$F$301,2,FALSE)-VLOOKUP($A51,DATA!$A$3:$F$301,2,FALSE))^2+(VLOOKUP(T$1,DATA!$A$3:$F$301,3,FALSE)-VLOOKUP($A51,DATA!$A$3:$F$301,3,FALSE))^2),"")</f>
        <v/>
      </c>
      <c r="U51" s="14" t="str">
        <f>_xlfn.IFNA(SQRT((VLOOKUP(U$1,DATA!$A$3:$F$301,2,FALSE)-VLOOKUP($A51,DATA!$A$3:$F$301,2,FALSE))^2+(VLOOKUP(U$1,DATA!$A$3:$F$301,3,FALSE)-VLOOKUP($A51,DATA!$A$3:$F$301,3,FALSE))^2),"")</f>
        <v/>
      </c>
      <c r="V51" s="14" t="str">
        <f>_xlfn.IFNA(SQRT((VLOOKUP(V$1,DATA!$A$3:$F$301,2,FALSE)-VLOOKUP($A51,DATA!$A$3:$F$301,2,FALSE))^2+(VLOOKUP(V$1,DATA!$A$3:$F$301,3,FALSE)-VLOOKUP($A51,DATA!$A$3:$F$301,3,FALSE))^2),"")</f>
        <v/>
      </c>
      <c r="W51" s="14" t="str">
        <f>_xlfn.IFNA(SQRT((VLOOKUP(W$1,DATA!$A$3:$F$301,2,FALSE)-VLOOKUP($A51,DATA!$A$3:$F$301,2,FALSE))^2+(VLOOKUP(W$1,DATA!$A$3:$F$301,3,FALSE)-VLOOKUP($A51,DATA!$A$3:$F$301,3,FALSE))^2),"")</f>
        <v/>
      </c>
      <c r="X51" s="14" t="str">
        <f>_xlfn.IFNA(SQRT((VLOOKUP(X$1,DATA!$A$3:$F$301,2,FALSE)-VLOOKUP($A51,DATA!$A$3:$F$301,2,FALSE))^2+(VLOOKUP(X$1,DATA!$A$3:$F$301,3,FALSE)-VLOOKUP($A51,DATA!$A$3:$F$301,3,FALSE))^2),"")</f>
        <v/>
      </c>
      <c r="Y51" s="14" t="str">
        <f>_xlfn.IFNA(SQRT((VLOOKUP(Y$1,DATA!$A$3:$F$301,2,FALSE)-VLOOKUP($A51,DATA!$A$3:$F$301,2,FALSE))^2+(VLOOKUP(Y$1,DATA!$A$3:$F$301,3,FALSE)-VLOOKUP($A51,DATA!$A$3:$F$301,3,FALSE))^2),"")</f>
        <v/>
      </c>
      <c r="Z51" s="14" t="str">
        <f>_xlfn.IFNA(SQRT((VLOOKUP(Z$1,DATA!$A$3:$F$301,2,FALSE)-VLOOKUP($A51,DATA!$A$3:$F$301,2,FALSE))^2+(VLOOKUP(Z$1,DATA!$A$3:$F$301,3,FALSE)-VLOOKUP($A51,DATA!$A$3:$F$301,3,FALSE))^2),"")</f>
        <v/>
      </c>
      <c r="AA51" s="14" t="str">
        <f>_xlfn.IFNA(SQRT((VLOOKUP(AA$1,DATA!$A$3:$F$301,2,FALSE)-VLOOKUP($A51,DATA!$A$3:$F$301,2,FALSE))^2+(VLOOKUP(AA$1,DATA!$A$3:$F$301,3,FALSE)-VLOOKUP($A51,DATA!$A$3:$F$301,3,FALSE))^2),"")</f>
        <v/>
      </c>
      <c r="AB51" s="14" t="str">
        <f>_xlfn.IFNA(SQRT((VLOOKUP(AB$1,DATA!$A$3:$F$301,2,FALSE)-VLOOKUP($A51,DATA!$A$3:$F$301,2,FALSE))^2+(VLOOKUP(AB$1,DATA!$A$3:$F$301,3,FALSE)-VLOOKUP($A51,DATA!$A$3:$F$301,3,FALSE))^2),"")</f>
        <v/>
      </c>
      <c r="AC51" s="14" t="str">
        <f>_xlfn.IFNA(SQRT((VLOOKUP(AC$1,DATA!$A$3:$F$301,2,FALSE)-VLOOKUP($A51,DATA!$A$3:$F$301,2,FALSE))^2+(VLOOKUP(AC$1,DATA!$A$3:$F$301,3,FALSE)-VLOOKUP($A51,DATA!$A$3:$F$301,3,FALSE))^2),"")</f>
        <v/>
      </c>
      <c r="AD51" s="14" t="str">
        <f>_xlfn.IFNA(SQRT((VLOOKUP(AD$1,DATA!$A$3:$F$301,2,FALSE)-VLOOKUP($A51,DATA!$A$3:$F$301,2,FALSE))^2+(VLOOKUP(AD$1,DATA!$A$3:$F$301,3,FALSE)-VLOOKUP($A51,DATA!$A$3:$F$301,3,FALSE))^2),"")</f>
        <v/>
      </c>
      <c r="AE51" s="14" t="str">
        <f>_xlfn.IFNA(SQRT((VLOOKUP(AE$1,DATA!$A$3:$F$301,2,FALSE)-VLOOKUP($A51,DATA!$A$3:$F$301,2,FALSE))^2+(VLOOKUP(AE$1,DATA!$A$3:$F$301,3,FALSE)-VLOOKUP($A51,DATA!$A$3:$F$301,3,FALSE))^2),"")</f>
        <v/>
      </c>
      <c r="AF51" s="14" t="str">
        <f>_xlfn.IFNA(SQRT((VLOOKUP(AF$1,DATA!$A$3:$F$301,2,FALSE)-VLOOKUP($A51,DATA!$A$3:$F$301,2,FALSE))^2+(VLOOKUP(AF$1,DATA!$A$3:$F$301,3,FALSE)-VLOOKUP($A51,DATA!$A$3:$F$301,3,FALSE))^2),"")</f>
        <v/>
      </c>
      <c r="AG51" s="14" t="str">
        <f>_xlfn.IFNA(SQRT((VLOOKUP(AG$1,DATA!$A$3:$F$301,2,FALSE)-VLOOKUP($A51,DATA!$A$3:$F$301,2,FALSE))^2+(VLOOKUP(AG$1,DATA!$A$3:$F$301,3,FALSE)-VLOOKUP($A51,DATA!$A$3:$F$301,3,FALSE))^2),"")</f>
        <v/>
      </c>
      <c r="AH51" s="14" t="str">
        <f>_xlfn.IFNA(SQRT((VLOOKUP(AH$1,DATA!$A$3:$F$301,2,FALSE)-VLOOKUP($A51,DATA!$A$3:$F$301,2,FALSE))^2+(VLOOKUP(AH$1,DATA!$A$3:$F$301,3,FALSE)-VLOOKUP($A51,DATA!$A$3:$F$301,3,FALSE))^2),"")</f>
        <v/>
      </c>
      <c r="AI51" s="14" t="str">
        <f>_xlfn.IFNA(SQRT((VLOOKUP(AI$1,DATA!$A$3:$F$301,2,FALSE)-VLOOKUP($A51,DATA!$A$3:$F$301,2,FALSE))^2+(VLOOKUP(AI$1,DATA!$A$3:$F$301,3,FALSE)-VLOOKUP($A51,DATA!$A$3:$F$301,3,FALSE))^2),"")</f>
        <v/>
      </c>
      <c r="AJ51" s="14" t="str">
        <f>_xlfn.IFNA(SQRT((VLOOKUP(AJ$1,DATA!$A$3:$F$301,2,FALSE)-VLOOKUP($A51,DATA!$A$3:$F$301,2,FALSE))^2+(VLOOKUP(AJ$1,DATA!$A$3:$F$301,3,FALSE)-VLOOKUP($A51,DATA!$A$3:$F$301,3,FALSE))^2),"")</f>
        <v/>
      </c>
      <c r="AK51" s="14" t="str">
        <f>_xlfn.IFNA(SQRT((VLOOKUP(AK$1,DATA!$A$3:$F$301,2,FALSE)-VLOOKUP($A51,DATA!$A$3:$F$301,2,FALSE))^2+(VLOOKUP(AK$1,DATA!$A$3:$F$301,3,FALSE)-VLOOKUP($A51,DATA!$A$3:$F$301,3,FALSE))^2),"")</f>
        <v/>
      </c>
      <c r="AL51" s="14" t="str">
        <f>_xlfn.IFNA(SQRT((VLOOKUP(AL$1,DATA!$A$3:$F$301,2,FALSE)-VLOOKUP($A51,DATA!$A$3:$F$301,2,FALSE))^2+(VLOOKUP(AL$1,DATA!$A$3:$F$301,3,FALSE)-VLOOKUP($A51,DATA!$A$3:$F$301,3,FALSE))^2),"")</f>
        <v/>
      </c>
      <c r="AM51" s="14" t="str">
        <f>_xlfn.IFNA(SQRT((VLOOKUP(AM$1,DATA!$A$3:$F$301,2,FALSE)-VLOOKUP($A51,DATA!$A$3:$F$301,2,FALSE))^2+(VLOOKUP(AM$1,DATA!$A$3:$F$301,3,FALSE)-VLOOKUP($A51,DATA!$A$3:$F$301,3,FALSE))^2),"")</f>
        <v/>
      </c>
      <c r="AN51" s="14" t="str">
        <f>_xlfn.IFNA(SQRT((VLOOKUP(AN$1,DATA!$A$3:$F$301,2,FALSE)-VLOOKUP($A51,DATA!$A$3:$F$301,2,FALSE))^2+(VLOOKUP(AN$1,DATA!$A$3:$F$301,3,FALSE)-VLOOKUP($A51,DATA!$A$3:$F$301,3,FALSE))^2),"")</f>
        <v/>
      </c>
      <c r="AO51" s="14" t="str">
        <f>_xlfn.IFNA(SQRT((VLOOKUP(AO$1,DATA!$A$3:$F$301,2,FALSE)-VLOOKUP($A51,DATA!$A$3:$F$301,2,FALSE))^2+(VLOOKUP(AO$1,DATA!$A$3:$F$301,3,FALSE)-VLOOKUP($A51,DATA!$A$3:$F$301,3,FALSE))^2),"")</f>
        <v/>
      </c>
      <c r="AP51" s="14" t="str">
        <f>_xlfn.IFNA(SQRT((VLOOKUP(AP$1,DATA!$A$3:$F$301,2,FALSE)-VLOOKUP($A51,DATA!$A$3:$F$301,2,FALSE))^2+(VLOOKUP(AP$1,DATA!$A$3:$F$301,3,FALSE)-VLOOKUP($A51,DATA!$A$3:$F$301,3,FALSE))^2),"")</f>
        <v/>
      </c>
      <c r="AQ51" s="14" t="str">
        <f>_xlfn.IFNA(SQRT((VLOOKUP(AQ$1,DATA!$A$3:$F$301,2,FALSE)-VLOOKUP($A51,DATA!$A$3:$F$301,2,FALSE))^2+(VLOOKUP(AQ$1,DATA!$A$3:$F$301,3,FALSE)-VLOOKUP($A51,DATA!$A$3:$F$301,3,FALSE))^2),"")</f>
        <v/>
      </c>
      <c r="AR51" s="14" t="str">
        <f>_xlfn.IFNA(SQRT((VLOOKUP(AR$1,DATA!$A$3:$F$301,2,FALSE)-VLOOKUP($A51,DATA!$A$3:$F$301,2,FALSE))^2+(VLOOKUP(AR$1,DATA!$A$3:$F$301,3,FALSE)-VLOOKUP($A51,DATA!$A$3:$F$301,3,FALSE))^2),"")</f>
        <v/>
      </c>
      <c r="AS51" s="14" t="str">
        <f>_xlfn.IFNA(SQRT((VLOOKUP(AS$1,DATA!$A$3:$F$301,2,FALSE)-VLOOKUP($A51,DATA!$A$3:$F$301,2,FALSE))^2+(VLOOKUP(AS$1,DATA!$A$3:$F$301,3,FALSE)-VLOOKUP($A51,DATA!$A$3:$F$301,3,FALSE))^2),"")</f>
        <v/>
      </c>
      <c r="AT51" s="14" t="str">
        <f>_xlfn.IFNA(SQRT((VLOOKUP(AT$1,DATA!$A$3:$F$301,2,FALSE)-VLOOKUP($A51,DATA!$A$3:$F$301,2,FALSE))^2+(VLOOKUP(AT$1,DATA!$A$3:$F$301,3,FALSE)-VLOOKUP($A51,DATA!$A$3:$F$301,3,FALSE))^2),"")</f>
        <v/>
      </c>
      <c r="AU51" s="14" t="str">
        <f>_xlfn.IFNA(SQRT((VLOOKUP(AU$1,DATA!$A$3:$F$301,2,FALSE)-VLOOKUP($A51,DATA!$A$3:$F$301,2,FALSE))^2+(VLOOKUP(AU$1,DATA!$A$3:$F$301,3,FALSE)-VLOOKUP($A51,DATA!$A$3:$F$301,3,FALSE))^2),"")</f>
        <v/>
      </c>
      <c r="AV51" s="14" t="str">
        <f>_xlfn.IFNA(SQRT((VLOOKUP(AV$1,DATA!$A$3:$F$301,2,FALSE)-VLOOKUP($A51,DATA!$A$3:$F$301,2,FALSE))^2+(VLOOKUP(AV$1,DATA!$A$3:$F$301,3,FALSE)-VLOOKUP($A51,DATA!$A$3:$F$301,3,FALSE))^2),"")</f>
        <v/>
      </c>
      <c r="AW51" s="14" t="str">
        <f>_xlfn.IFNA(SQRT((VLOOKUP(AW$1,DATA!$A$3:$F$301,2,FALSE)-VLOOKUP($A51,DATA!$A$3:$F$301,2,FALSE))^2+(VLOOKUP(AW$1,DATA!$A$3:$F$301,3,FALSE)-VLOOKUP($A51,DATA!$A$3:$F$301,3,FALSE))^2),"")</f>
        <v/>
      </c>
      <c r="AX51" s="14" t="str">
        <f>_xlfn.IFNA(SQRT((VLOOKUP(AX$1,DATA!$A$3:$F$301,2,FALSE)-VLOOKUP($A51,DATA!$A$3:$F$301,2,FALSE))^2+(VLOOKUP(AX$1,DATA!$A$3:$F$301,3,FALSE)-VLOOKUP($A51,DATA!$A$3:$F$301,3,FALSE))^2),"")</f>
        <v/>
      </c>
      <c r="AY51" s="14" t="str">
        <f>_xlfn.IFNA(SQRT((VLOOKUP(AY$1,DATA!$A$3:$F$301,2,FALSE)-VLOOKUP($A51,DATA!$A$3:$F$301,2,FALSE))^2+(VLOOKUP(AY$1,DATA!$A$3:$F$301,3,FALSE)-VLOOKUP($A51,DATA!$A$3:$F$301,3,FALSE))^2),"")</f>
        <v/>
      </c>
      <c r="AZ51" s="14" t="str">
        <f>_xlfn.IFNA(SQRT((VLOOKUP(AZ$1,DATA!$A$3:$F$301,2,FALSE)-VLOOKUP($A51,DATA!$A$3:$F$301,2,FALSE))^2+(VLOOKUP(AZ$1,DATA!$A$3:$F$301,3,FALSE)-VLOOKUP($A51,DATA!$A$3:$F$301,3,FALSE))^2),"")</f>
        <v/>
      </c>
      <c r="BA51" s="14" t="str">
        <f>_xlfn.IFNA(SQRT((VLOOKUP(BA$1,DATA!$A$3:$F$301,2,FALSE)-VLOOKUP($A51,DATA!$A$3:$F$301,2,FALSE))^2+(VLOOKUP(BA$1,DATA!$A$3:$F$301,3,FALSE)-VLOOKUP($A51,DATA!$A$3:$F$301,3,FALSE))^2),"")</f>
        <v/>
      </c>
      <c r="BB51" s="14" t="str">
        <f>_xlfn.IFNA(SQRT((VLOOKUP(BB$1,DATA!$A$3:$F$301,2,FALSE)-VLOOKUP($A51,DATA!$A$3:$F$301,2,FALSE))^2+(VLOOKUP(BB$1,DATA!$A$3:$F$301,3,FALSE)-VLOOKUP($A51,DATA!$A$3:$F$301,3,FALSE))^2),"")</f>
        <v/>
      </c>
      <c r="BC51" s="14" t="str">
        <f>_xlfn.IFNA(SQRT((VLOOKUP(BC$1,DATA!$A$3:$F$301,2,FALSE)-VLOOKUP($A51,DATA!$A$3:$F$301,2,FALSE))^2+(VLOOKUP(BC$1,DATA!$A$3:$F$301,3,FALSE)-VLOOKUP($A51,DATA!$A$3:$F$301,3,FALSE))^2),"")</f>
        <v/>
      </c>
      <c r="BD51" s="14" t="str">
        <f>_xlfn.IFNA(SQRT((VLOOKUP(BD$1,DATA!$A$3:$F$301,2,FALSE)-VLOOKUP($A51,DATA!$A$3:$F$301,2,FALSE))^2+(VLOOKUP(BD$1,DATA!$A$3:$F$301,3,FALSE)-VLOOKUP($A51,DATA!$A$3:$F$301,3,FALSE))^2),"")</f>
        <v/>
      </c>
      <c r="BE51" s="14" t="str">
        <f>_xlfn.IFNA(SQRT((VLOOKUP(BE$1,DATA!$A$3:$F$301,2,FALSE)-VLOOKUP($A51,DATA!$A$3:$F$301,2,FALSE))^2+(VLOOKUP(BE$1,DATA!$A$3:$F$301,3,FALSE)-VLOOKUP($A51,DATA!$A$3:$F$301,3,FALSE))^2),"")</f>
        <v/>
      </c>
      <c r="BF51" s="14" t="str">
        <f>_xlfn.IFNA(SQRT((VLOOKUP(BF$1,DATA!$A$3:$F$301,2,FALSE)-VLOOKUP($A51,DATA!$A$3:$F$301,2,FALSE))^2+(VLOOKUP(BF$1,DATA!$A$3:$F$301,3,FALSE)-VLOOKUP($A51,DATA!$A$3:$F$301,3,FALSE))^2),"")</f>
        <v/>
      </c>
      <c r="BG51" s="14" t="str">
        <f>_xlfn.IFNA(SQRT((VLOOKUP(BG$1,DATA!$A$3:$F$301,2,FALSE)-VLOOKUP($A51,DATA!$A$3:$F$301,2,FALSE))^2+(VLOOKUP(BG$1,DATA!$A$3:$F$301,3,FALSE)-VLOOKUP($A51,DATA!$A$3:$F$301,3,FALSE))^2),"")</f>
        <v/>
      </c>
      <c r="BH51" s="14" t="str">
        <f>_xlfn.IFNA(SQRT((VLOOKUP(BH$1,DATA!$A$3:$F$301,2,FALSE)-VLOOKUP($A51,DATA!$A$3:$F$301,2,FALSE))^2+(VLOOKUP(BH$1,DATA!$A$3:$F$301,3,FALSE)-VLOOKUP($A51,DATA!$A$3:$F$301,3,FALSE))^2),"")</f>
        <v/>
      </c>
      <c r="BI51" s="14" t="str">
        <f>_xlfn.IFNA(SQRT((VLOOKUP(BI$1,DATA!$A$3:$F$301,2,FALSE)-VLOOKUP($A51,DATA!$A$3:$F$301,2,FALSE))^2+(VLOOKUP(BI$1,DATA!$A$3:$F$301,3,FALSE)-VLOOKUP($A51,DATA!$A$3:$F$301,3,FALSE))^2),"")</f>
        <v/>
      </c>
      <c r="BJ51" s="14" t="str">
        <f>_xlfn.IFNA(SQRT((VLOOKUP(BJ$1,DATA!$A$3:$F$301,2,FALSE)-VLOOKUP($A51,DATA!$A$3:$F$301,2,FALSE))^2+(VLOOKUP(BJ$1,DATA!$A$3:$F$301,3,FALSE)-VLOOKUP($A51,DATA!$A$3:$F$301,3,FALSE))^2),"")</f>
        <v/>
      </c>
      <c r="BK51" s="14" t="str">
        <f>_xlfn.IFNA(SQRT((VLOOKUP(BK$1,DATA!$A$3:$F$301,2,FALSE)-VLOOKUP($A51,DATA!$A$3:$F$301,2,FALSE))^2+(VLOOKUP(BK$1,DATA!$A$3:$F$301,3,FALSE)-VLOOKUP($A51,DATA!$A$3:$F$301,3,FALSE))^2),"")</f>
        <v/>
      </c>
      <c r="BL51" s="14" t="str">
        <f>_xlfn.IFNA(SQRT((VLOOKUP(BL$1,DATA!$A$3:$F$301,2,FALSE)-VLOOKUP($A51,DATA!$A$3:$F$301,2,FALSE))^2+(VLOOKUP(BL$1,DATA!$A$3:$F$301,3,FALSE)-VLOOKUP($A51,DATA!$A$3:$F$301,3,FALSE))^2),"")</f>
        <v/>
      </c>
      <c r="BM51" s="14" t="str">
        <f>_xlfn.IFNA(SQRT((VLOOKUP(BM$1,DATA!$A$3:$F$301,2,FALSE)-VLOOKUP($A51,DATA!$A$3:$F$301,2,FALSE))^2+(VLOOKUP(BM$1,DATA!$A$3:$F$301,3,FALSE)-VLOOKUP($A51,DATA!$A$3:$F$301,3,FALSE))^2),"")</f>
        <v/>
      </c>
      <c r="BN51" s="14" t="str">
        <f>_xlfn.IFNA(SQRT((VLOOKUP(BN$1,DATA!$A$3:$F$301,2,FALSE)-VLOOKUP($A51,DATA!$A$3:$F$301,2,FALSE))^2+(VLOOKUP(BN$1,DATA!$A$3:$F$301,3,FALSE)-VLOOKUP($A51,DATA!$A$3:$F$301,3,FALSE))^2),"")</f>
        <v/>
      </c>
      <c r="BO51" s="14" t="str">
        <f>_xlfn.IFNA(SQRT((VLOOKUP(BO$1,DATA!$A$3:$F$301,2,FALSE)-VLOOKUP($A51,DATA!$A$3:$F$301,2,FALSE))^2+(VLOOKUP(BO$1,DATA!$A$3:$F$301,3,FALSE)-VLOOKUP($A51,DATA!$A$3:$F$301,3,FALSE))^2),"")</f>
        <v/>
      </c>
      <c r="BP51" s="14" t="str">
        <f>_xlfn.IFNA(SQRT((VLOOKUP(BP$1,DATA!$A$3:$F$301,2,FALSE)-VLOOKUP($A51,DATA!$A$3:$F$301,2,FALSE))^2+(VLOOKUP(BP$1,DATA!$A$3:$F$301,3,FALSE)-VLOOKUP($A51,DATA!$A$3:$F$301,3,FALSE))^2),"")</f>
        <v/>
      </c>
      <c r="BQ51" s="14" t="str">
        <f>_xlfn.IFNA(SQRT((VLOOKUP(BQ$1,DATA!$A$3:$F$301,2,FALSE)-VLOOKUP($A51,DATA!$A$3:$F$301,2,FALSE))^2+(VLOOKUP(BQ$1,DATA!$A$3:$F$301,3,FALSE)-VLOOKUP($A51,DATA!$A$3:$F$301,3,FALSE))^2),"")</f>
        <v/>
      </c>
      <c r="BR51" s="14" t="str">
        <f>_xlfn.IFNA(SQRT((VLOOKUP(BR$1,DATA!$A$3:$F$301,2,FALSE)-VLOOKUP($A51,DATA!$A$3:$F$301,2,FALSE))^2+(VLOOKUP(BR$1,DATA!$A$3:$F$301,3,FALSE)-VLOOKUP($A51,DATA!$A$3:$F$301,3,FALSE))^2),"")</f>
        <v/>
      </c>
      <c r="BS51" s="14" t="str">
        <f>_xlfn.IFNA(SQRT((VLOOKUP(BS$1,DATA!$A$3:$F$301,2,FALSE)-VLOOKUP($A51,DATA!$A$3:$F$301,2,FALSE))^2+(VLOOKUP(BS$1,DATA!$A$3:$F$301,3,FALSE)-VLOOKUP($A51,DATA!$A$3:$F$301,3,FALSE))^2),"")</f>
        <v/>
      </c>
      <c r="BT51" s="14" t="str">
        <f>_xlfn.IFNA(SQRT((VLOOKUP(BT$1,DATA!$A$3:$F$301,2,FALSE)-VLOOKUP($A51,DATA!$A$3:$F$301,2,FALSE))^2+(VLOOKUP(BT$1,DATA!$A$3:$F$301,3,FALSE)-VLOOKUP($A51,DATA!$A$3:$F$301,3,FALSE))^2),"")</f>
        <v/>
      </c>
      <c r="BU51" s="14" t="str">
        <f>_xlfn.IFNA(SQRT((VLOOKUP(BU$1,DATA!$A$3:$F$301,2,FALSE)-VLOOKUP($A51,DATA!$A$3:$F$301,2,FALSE))^2+(VLOOKUP(BU$1,DATA!$A$3:$F$301,3,FALSE)-VLOOKUP($A51,DATA!$A$3:$F$301,3,FALSE))^2),"")</f>
        <v/>
      </c>
      <c r="BV51" s="14" t="str">
        <f>_xlfn.IFNA(SQRT((VLOOKUP(BV$1,DATA!$A$3:$F$301,2,FALSE)-VLOOKUP($A51,DATA!$A$3:$F$301,2,FALSE))^2+(VLOOKUP(BV$1,DATA!$A$3:$F$301,3,FALSE)-VLOOKUP($A51,DATA!$A$3:$F$301,3,FALSE))^2),"")</f>
        <v/>
      </c>
      <c r="BW51" s="14" t="str">
        <f>_xlfn.IFNA(SQRT((VLOOKUP(BW$1,DATA!$A$3:$F$301,2,FALSE)-VLOOKUP($A51,DATA!$A$3:$F$301,2,FALSE))^2+(VLOOKUP(BW$1,DATA!$A$3:$F$301,3,FALSE)-VLOOKUP($A51,DATA!$A$3:$F$301,3,FALSE))^2),"")</f>
        <v/>
      </c>
      <c r="BX51" s="14" t="str">
        <f>_xlfn.IFNA(SQRT((VLOOKUP(BX$1,DATA!$A$3:$F$301,2,FALSE)-VLOOKUP($A51,DATA!$A$3:$F$301,2,FALSE))^2+(VLOOKUP(BX$1,DATA!$A$3:$F$301,3,FALSE)-VLOOKUP($A51,DATA!$A$3:$F$301,3,FALSE))^2),"")</f>
        <v/>
      </c>
      <c r="BY51" s="14" t="str">
        <f>_xlfn.IFNA(SQRT((VLOOKUP(BY$1,DATA!$A$3:$F$301,2,FALSE)-VLOOKUP($A51,DATA!$A$3:$F$301,2,FALSE))^2+(VLOOKUP(BY$1,DATA!$A$3:$F$301,3,FALSE)-VLOOKUP($A51,DATA!$A$3:$F$301,3,FALSE))^2),"")</f>
        <v/>
      </c>
      <c r="BZ51" s="14" t="str">
        <f>_xlfn.IFNA(SQRT((VLOOKUP(BZ$1,DATA!$A$3:$F$301,2,FALSE)-VLOOKUP($A51,DATA!$A$3:$F$301,2,FALSE))^2+(VLOOKUP(BZ$1,DATA!$A$3:$F$301,3,FALSE)-VLOOKUP($A51,DATA!$A$3:$F$301,3,FALSE))^2),"")</f>
        <v/>
      </c>
      <c r="CA51" s="14" t="str">
        <f>_xlfn.IFNA(SQRT((VLOOKUP(CA$1,DATA!$A$3:$F$301,2,FALSE)-VLOOKUP($A51,DATA!$A$3:$F$301,2,FALSE))^2+(VLOOKUP(CA$1,DATA!$A$3:$F$301,3,FALSE)-VLOOKUP($A51,DATA!$A$3:$F$301,3,FALSE))^2),"")</f>
        <v/>
      </c>
      <c r="CB51" s="14" t="str">
        <f>_xlfn.IFNA(SQRT((VLOOKUP(CB$1,DATA!$A$3:$F$301,2,FALSE)-VLOOKUP($A51,DATA!$A$3:$F$301,2,FALSE))^2+(VLOOKUP(CB$1,DATA!$A$3:$F$301,3,FALSE)-VLOOKUP($A51,DATA!$A$3:$F$301,3,FALSE))^2),"")</f>
        <v/>
      </c>
      <c r="CC51" s="14" t="str">
        <f>_xlfn.IFNA(SQRT((VLOOKUP(CC$1,DATA!$A$3:$F$301,2,FALSE)-VLOOKUP($A51,DATA!$A$3:$F$301,2,FALSE))^2+(VLOOKUP(CC$1,DATA!$A$3:$F$301,3,FALSE)-VLOOKUP($A51,DATA!$A$3:$F$301,3,FALSE))^2),"")</f>
        <v/>
      </c>
      <c r="CD51" s="14" t="str">
        <f>_xlfn.IFNA(SQRT((VLOOKUP(CD$1,DATA!$A$3:$F$301,2,FALSE)-VLOOKUP($A51,DATA!$A$3:$F$301,2,FALSE))^2+(VLOOKUP(CD$1,DATA!$A$3:$F$301,3,FALSE)-VLOOKUP($A51,DATA!$A$3:$F$301,3,FALSE))^2),"")</f>
        <v/>
      </c>
      <c r="CE51" s="14" t="str">
        <f>_xlfn.IFNA(SQRT((VLOOKUP(CE$1,DATA!$A$3:$F$301,2,FALSE)-VLOOKUP($A51,DATA!$A$3:$F$301,2,FALSE))^2+(VLOOKUP(CE$1,DATA!$A$3:$F$301,3,FALSE)-VLOOKUP($A51,DATA!$A$3:$F$301,3,FALSE))^2),"")</f>
        <v/>
      </c>
      <c r="CF51" s="14" t="str">
        <f>_xlfn.IFNA(SQRT((VLOOKUP(CF$1,DATA!$A$3:$F$301,2,FALSE)-VLOOKUP($A51,DATA!$A$3:$F$301,2,FALSE))^2+(VLOOKUP(CF$1,DATA!$A$3:$F$301,3,FALSE)-VLOOKUP($A51,DATA!$A$3:$F$301,3,FALSE))^2),"")</f>
        <v/>
      </c>
      <c r="CG51" s="14" t="str">
        <f>_xlfn.IFNA(SQRT((VLOOKUP(CG$1,DATA!$A$3:$F$301,2,FALSE)-VLOOKUP($A51,DATA!$A$3:$F$301,2,FALSE))^2+(VLOOKUP(CG$1,DATA!$A$3:$F$301,3,FALSE)-VLOOKUP($A51,DATA!$A$3:$F$301,3,FALSE))^2),"")</f>
        <v/>
      </c>
      <c r="CH51" s="14" t="str">
        <f>_xlfn.IFNA(SQRT((VLOOKUP(CH$1,DATA!$A$3:$F$301,2,FALSE)-VLOOKUP($A51,DATA!$A$3:$F$301,2,FALSE))^2+(VLOOKUP(CH$1,DATA!$A$3:$F$301,3,FALSE)-VLOOKUP($A51,DATA!$A$3:$F$301,3,FALSE))^2),"")</f>
        <v/>
      </c>
      <c r="CI51" s="14" t="str">
        <f>_xlfn.IFNA(SQRT((VLOOKUP(CI$1,DATA!$A$3:$F$301,2,FALSE)-VLOOKUP($A51,DATA!$A$3:$F$301,2,FALSE))^2+(VLOOKUP(CI$1,DATA!$A$3:$F$301,3,FALSE)-VLOOKUP($A51,DATA!$A$3:$F$301,3,FALSE))^2),"")</f>
        <v/>
      </c>
      <c r="CJ51" s="14" t="str">
        <f>_xlfn.IFNA(SQRT((VLOOKUP(CJ$1,DATA!$A$3:$F$301,2,FALSE)-VLOOKUP($A51,DATA!$A$3:$F$301,2,FALSE))^2+(VLOOKUP(CJ$1,DATA!$A$3:$F$301,3,FALSE)-VLOOKUP($A51,DATA!$A$3:$F$301,3,FALSE))^2),"")</f>
        <v/>
      </c>
      <c r="CK51" s="14" t="str">
        <f>_xlfn.IFNA(SQRT((VLOOKUP(CK$1,DATA!$A$3:$F$301,2,FALSE)-VLOOKUP($A51,DATA!$A$3:$F$301,2,FALSE))^2+(VLOOKUP(CK$1,DATA!$A$3:$F$301,3,FALSE)-VLOOKUP($A51,DATA!$A$3:$F$301,3,FALSE))^2),"")</f>
        <v/>
      </c>
      <c r="CL51" s="14" t="str">
        <f>_xlfn.IFNA(SQRT((VLOOKUP(CL$1,DATA!$A$3:$F$301,2,FALSE)-VLOOKUP($A51,DATA!$A$3:$F$301,2,FALSE))^2+(VLOOKUP(CL$1,DATA!$A$3:$F$301,3,FALSE)-VLOOKUP($A51,DATA!$A$3:$F$301,3,FALSE))^2),"")</f>
        <v/>
      </c>
      <c r="CM51" s="14" t="str">
        <f>_xlfn.IFNA(SQRT((VLOOKUP(CM$1,DATA!$A$3:$F$301,2,FALSE)-VLOOKUP($A51,DATA!$A$3:$F$301,2,FALSE))^2+(VLOOKUP(CM$1,DATA!$A$3:$F$301,3,FALSE)-VLOOKUP($A51,DATA!$A$3:$F$301,3,FALSE))^2),"")</f>
        <v/>
      </c>
      <c r="CN51" s="14" t="str">
        <f>_xlfn.IFNA(SQRT((VLOOKUP(CN$1,DATA!$A$3:$F$301,2,FALSE)-VLOOKUP($A51,DATA!$A$3:$F$301,2,FALSE))^2+(VLOOKUP(CN$1,DATA!$A$3:$F$301,3,FALSE)-VLOOKUP($A51,DATA!$A$3:$F$301,3,FALSE))^2),"")</f>
        <v/>
      </c>
      <c r="CO51" s="14" t="str">
        <f>_xlfn.IFNA(SQRT((VLOOKUP(CO$1,DATA!$A$3:$F$301,2,FALSE)-VLOOKUP($A51,DATA!$A$3:$F$301,2,FALSE))^2+(VLOOKUP(CO$1,DATA!$A$3:$F$301,3,FALSE)-VLOOKUP($A51,DATA!$A$3:$F$301,3,FALSE))^2),"")</f>
        <v/>
      </c>
      <c r="CP51" s="14" t="str">
        <f>_xlfn.IFNA(SQRT((VLOOKUP(CP$1,DATA!$A$3:$F$301,2,FALSE)-VLOOKUP($A51,DATA!$A$3:$F$301,2,FALSE))^2+(VLOOKUP(CP$1,DATA!$A$3:$F$301,3,FALSE)-VLOOKUP($A51,DATA!$A$3:$F$301,3,FALSE))^2),"")</f>
        <v/>
      </c>
      <c r="CQ51" s="14" t="str">
        <f>_xlfn.IFNA(SQRT((VLOOKUP(CQ$1,DATA!$A$3:$F$301,2,FALSE)-VLOOKUP($A51,DATA!$A$3:$F$301,2,FALSE))^2+(VLOOKUP(CQ$1,DATA!$A$3:$F$301,3,FALSE)-VLOOKUP($A51,DATA!$A$3:$F$301,3,FALSE))^2),"")</f>
        <v/>
      </c>
      <c r="CR51" s="14" t="str">
        <f>_xlfn.IFNA(SQRT((VLOOKUP(CR$1,DATA!$A$3:$F$301,2,FALSE)-VLOOKUP($A51,DATA!$A$3:$F$301,2,FALSE))^2+(VLOOKUP(CR$1,DATA!$A$3:$F$301,3,FALSE)-VLOOKUP($A51,DATA!$A$3:$F$301,3,FALSE))^2),"")</f>
        <v/>
      </c>
      <c r="CS51" s="14" t="str">
        <f>_xlfn.IFNA(SQRT((VLOOKUP(CS$1,DATA!$A$3:$F$301,2,FALSE)-VLOOKUP($A51,DATA!$A$3:$F$301,2,FALSE))^2+(VLOOKUP(CS$1,DATA!$A$3:$F$301,3,FALSE)-VLOOKUP($A51,DATA!$A$3:$F$301,3,FALSE))^2),"")</f>
        <v/>
      </c>
      <c r="CT51" s="14" t="str">
        <f>_xlfn.IFNA(SQRT((VLOOKUP(CT$1,DATA!$A$3:$F$301,2,FALSE)-VLOOKUP($A51,DATA!$A$3:$F$301,2,FALSE))^2+(VLOOKUP(CT$1,DATA!$A$3:$F$301,3,FALSE)-VLOOKUP($A51,DATA!$A$3:$F$301,3,FALSE))^2),"")</f>
        <v/>
      </c>
      <c r="CU51" s="14" t="str">
        <f>_xlfn.IFNA(SQRT((VLOOKUP(CU$1,DATA!$A$3:$F$301,2,FALSE)-VLOOKUP($A51,DATA!$A$3:$F$301,2,FALSE))^2+(VLOOKUP(CU$1,DATA!$A$3:$F$301,3,FALSE)-VLOOKUP($A51,DATA!$A$3:$F$301,3,FALSE))^2),"")</f>
        <v/>
      </c>
      <c r="CV51" s="14" t="str">
        <f>_xlfn.IFNA(SQRT((VLOOKUP(CV$1,DATA!$A$3:$F$301,2,FALSE)-VLOOKUP($A51,DATA!$A$3:$F$301,2,FALSE))^2+(VLOOKUP(CV$1,DATA!$A$3:$F$301,3,FALSE)-VLOOKUP($A51,DATA!$A$3:$F$301,3,FALSE))^2),"")</f>
        <v/>
      </c>
      <c r="CW51" s="14" t="str">
        <f>_xlfn.IFNA(SQRT((VLOOKUP(CW$1,DATA!$A$3:$F$301,2,FALSE)-VLOOKUP($A51,DATA!$A$3:$F$301,2,FALSE))^2+(VLOOKUP(CW$1,DATA!$A$3:$F$301,3,FALSE)-VLOOKUP($A51,DATA!$A$3:$F$301,3,FALSE))^2),"")</f>
        <v/>
      </c>
      <c r="CX51" s="14" t="str">
        <f>_xlfn.IFNA(SQRT((VLOOKUP(CX$1,DATA!$A$3:$F$301,2,FALSE)-VLOOKUP($A51,DATA!$A$3:$F$301,2,FALSE))^2+(VLOOKUP(CX$1,DATA!$A$3:$F$301,3,FALSE)-VLOOKUP($A51,DATA!$A$3:$F$301,3,FALSE))^2),"")</f>
        <v/>
      </c>
    </row>
    <row r="52" spans="1:102">
      <c r="A52" s="13">
        <v>51</v>
      </c>
      <c r="B52" s="14" t="str">
        <f>_xlfn.IFNA(SQRT((VLOOKUP(B$1,DATA!$A$3:$F$301,2,FALSE)-VLOOKUP($A52,DATA!$A$3:$F$301,2,FALSE))^2+(VLOOKUP(B$1,DATA!$A$3:$F$301,3,FALSE)-VLOOKUP($A52,DATA!$A$3:$F$301,3,FALSE))^2),"")</f>
        <v/>
      </c>
      <c r="C52" s="14" t="str">
        <f>_xlfn.IFNA(SQRT((VLOOKUP(C$1,DATA!$A$3:$F$301,2,FALSE)-VLOOKUP($A52,DATA!$A$3:$F$301,2,FALSE))^2+(VLOOKUP(C$1,DATA!$A$3:$F$301,3,FALSE)-VLOOKUP($A52,DATA!$A$3:$F$301,3,FALSE))^2),"")</f>
        <v/>
      </c>
      <c r="D52" s="14" t="str">
        <f>_xlfn.IFNA(SQRT((VLOOKUP(D$1,DATA!$A$3:$F$301,2,FALSE)-VLOOKUP($A52,DATA!$A$3:$F$301,2,FALSE))^2+(VLOOKUP(D$1,DATA!$A$3:$F$301,3,FALSE)-VLOOKUP($A52,DATA!$A$3:$F$301,3,FALSE))^2),"")</f>
        <v/>
      </c>
      <c r="E52" s="14" t="str">
        <f>_xlfn.IFNA(SQRT((VLOOKUP(E$1,DATA!$A$3:$F$301,2,FALSE)-VLOOKUP($A52,DATA!$A$3:$F$301,2,FALSE))^2+(VLOOKUP(E$1,DATA!$A$3:$F$301,3,FALSE)-VLOOKUP($A52,DATA!$A$3:$F$301,3,FALSE))^2),"")</f>
        <v/>
      </c>
      <c r="F52" s="14" t="str">
        <f>_xlfn.IFNA(SQRT((VLOOKUP(F$1,DATA!$A$3:$F$301,2,FALSE)-VLOOKUP($A52,DATA!$A$3:$F$301,2,FALSE))^2+(VLOOKUP(F$1,DATA!$A$3:$F$301,3,FALSE)-VLOOKUP($A52,DATA!$A$3:$F$301,3,FALSE))^2),"")</f>
        <v/>
      </c>
      <c r="G52" s="14" t="str">
        <f>_xlfn.IFNA(SQRT((VLOOKUP(G$1,DATA!$A$3:$F$301,2,FALSE)-VLOOKUP($A52,DATA!$A$3:$F$301,2,FALSE))^2+(VLOOKUP(G$1,DATA!$A$3:$F$301,3,FALSE)-VLOOKUP($A52,DATA!$A$3:$F$301,3,FALSE))^2),"")</f>
        <v/>
      </c>
      <c r="H52" s="14" t="str">
        <f>_xlfn.IFNA(SQRT((VLOOKUP(H$1,DATA!$A$3:$F$301,2,FALSE)-VLOOKUP($A52,DATA!$A$3:$F$301,2,FALSE))^2+(VLOOKUP(H$1,DATA!$A$3:$F$301,3,FALSE)-VLOOKUP($A52,DATA!$A$3:$F$301,3,FALSE))^2),"")</f>
        <v/>
      </c>
      <c r="I52" s="14" t="str">
        <f>_xlfn.IFNA(SQRT((VLOOKUP(I$1,DATA!$A$3:$F$301,2,FALSE)-VLOOKUP($A52,DATA!$A$3:$F$301,2,FALSE))^2+(VLOOKUP(I$1,DATA!$A$3:$F$301,3,FALSE)-VLOOKUP($A52,DATA!$A$3:$F$301,3,FALSE))^2),"")</f>
        <v/>
      </c>
      <c r="J52" s="14" t="str">
        <f>_xlfn.IFNA(SQRT((VLOOKUP(J$1,DATA!$A$3:$F$301,2,FALSE)-VLOOKUP($A52,DATA!$A$3:$F$301,2,FALSE))^2+(VLOOKUP(J$1,DATA!$A$3:$F$301,3,FALSE)-VLOOKUP($A52,DATA!$A$3:$F$301,3,FALSE))^2),"")</f>
        <v/>
      </c>
      <c r="K52" s="14" t="str">
        <f>_xlfn.IFNA(SQRT((VLOOKUP(K$1,DATA!$A$3:$F$301,2,FALSE)-VLOOKUP($A52,DATA!$A$3:$F$301,2,FALSE))^2+(VLOOKUP(K$1,DATA!$A$3:$F$301,3,FALSE)-VLOOKUP($A52,DATA!$A$3:$F$301,3,FALSE))^2),"")</f>
        <v/>
      </c>
      <c r="L52" s="14" t="str">
        <f>_xlfn.IFNA(SQRT((VLOOKUP(L$1,DATA!$A$3:$F$301,2,FALSE)-VLOOKUP($A52,DATA!$A$3:$F$301,2,FALSE))^2+(VLOOKUP(L$1,DATA!$A$3:$F$301,3,FALSE)-VLOOKUP($A52,DATA!$A$3:$F$301,3,FALSE))^2),"")</f>
        <v/>
      </c>
      <c r="M52" s="14" t="str">
        <f>_xlfn.IFNA(SQRT((VLOOKUP(M$1,DATA!$A$3:$F$301,2,FALSE)-VLOOKUP($A52,DATA!$A$3:$F$301,2,FALSE))^2+(VLOOKUP(M$1,DATA!$A$3:$F$301,3,FALSE)-VLOOKUP($A52,DATA!$A$3:$F$301,3,FALSE))^2),"")</f>
        <v/>
      </c>
      <c r="N52" s="14" t="str">
        <f>_xlfn.IFNA(SQRT((VLOOKUP(N$1,DATA!$A$3:$F$301,2,FALSE)-VLOOKUP($A52,DATA!$A$3:$F$301,2,FALSE))^2+(VLOOKUP(N$1,DATA!$A$3:$F$301,3,FALSE)-VLOOKUP($A52,DATA!$A$3:$F$301,3,FALSE))^2),"")</f>
        <v/>
      </c>
      <c r="O52" s="14" t="str">
        <f>_xlfn.IFNA(SQRT((VLOOKUP(O$1,DATA!$A$3:$F$301,2,FALSE)-VLOOKUP($A52,DATA!$A$3:$F$301,2,FALSE))^2+(VLOOKUP(O$1,DATA!$A$3:$F$301,3,FALSE)-VLOOKUP($A52,DATA!$A$3:$F$301,3,FALSE))^2),"")</f>
        <v/>
      </c>
      <c r="P52" s="14" t="str">
        <f>_xlfn.IFNA(SQRT((VLOOKUP(P$1,DATA!$A$3:$F$301,2,FALSE)-VLOOKUP($A52,DATA!$A$3:$F$301,2,FALSE))^2+(VLOOKUP(P$1,DATA!$A$3:$F$301,3,FALSE)-VLOOKUP($A52,DATA!$A$3:$F$301,3,FALSE))^2),"")</f>
        <v/>
      </c>
      <c r="Q52" s="14" t="str">
        <f>_xlfn.IFNA(SQRT((VLOOKUP(Q$1,DATA!$A$3:$F$301,2,FALSE)-VLOOKUP($A52,DATA!$A$3:$F$301,2,FALSE))^2+(VLOOKUP(Q$1,DATA!$A$3:$F$301,3,FALSE)-VLOOKUP($A52,DATA!$A$3:$F$301,3,FALSE))^2),"")</f>
        <v/>
      </c>
      <c r="R52" s="14" t="str">
        <f>_xlfn.IFNA(SQRT((VLOOKUP(R$1,DATA!$A$3:$F$301,2,FALSE)-VLOOKUP($A52,DATA!$A$3:$F$301,2,FALSE))^2+(VLOOKUP(R$1,DATA!$A$3:$F$301,3,FALSE)-VLOOKUP($A52,DATA!$A$3:$F$301,3,FALSE))^2),"")</f>
        <v/>
      </c>
      <c r="S52" s="14" t="str">
        <f>_xlfn.IFNA(SQRT((VLOOKUP(S$1,DATA!$A$3:$F$301,2,FALSE)-VLOOKUP($A52,DATA!$A$3:$F$301,2,FALSE))^2+(VLOOKUP(S$1,DATA!$A$3:$F$301,3,FALSE)-VLOOKUP($A52,DATA!$A$3:$F$301,3,FALSE))^2),"")</f>
        <v/>
      </c>
      <c r="T52" s="14" t="str">
        <f>_xlfn.IFNA(SQRT((VLOOKUP(T$1,DATA!$A$3:$F$301,2,FALSE)-VLOOKUP($A52,DATA!$A$3:$F$301,2,FALSE))^2+(VLOOKUP(T$1,DATA!$A$3:$F$301,3,FALSE)-VLOOKUP($A52,DATA!$A$3:$F$301,3,FALSE))^2),"")</f>
        <v/>
      </c>
      <c r="U52" s="14" t="str">
        <f>_xlfn.IFNA(SQRT((VLOOKUP(U$1,DATA!$A$3:$F$301,2,FALSE)-VLOOKUP($A52,DATA!$A$3:$F$301,2,FALSE))^2+(VLOOKUP(U$1,DATA!$A$3:$F$301,3,FALSE)-VLOOKUP($A52,DATA!$A$3:$F$301,3,FALSE))^2),"")</f>
        <v/>
      </c>
      <c r="V52" s="14" t="str">
        <f>_xlfn.IFNA(SQRT((VLOOKUP(V$1,DATA!$A$3:$F$301,2,FALSE)-VLOOKUP($A52,DATA!$A$3:$F$301,2,FALSE))^2+(VLOOKUP(V$1,DATA!$A$3:$F$301,3,FALSE)-VLOOKUP($A52,DATA!$A$3:$F$301,3,FALSE))^2),"")</f>
        <v/>
      </c>
      <c r="W52" s="14" t="str">
        <f>_xlfn.IFNA(SQRT((VLOOKUP(W$1,DATA!$A$3:$F$301,2,FALSE)-VLOOKUP($A52,DATA!$A$3:$F$301,2,FALSE))^2+(VLOOKUP(W$1,DATA!$A$3:$F$301,3,FALSE)-VLOOKUP($A52,DATA!$A$3:$F$301,3,FALSE))^2),"")</f>
        <v/>
      </c>
      <c r="X52" s="14" t="str">
        <f>_xlfn.IFNA(SQRT((VLOOKUP(X$1,DATA!$A$3:$F$301,2,FALSE)-VLOOKUP($A52,DATA!$A$3:$F$301,2,FALSE))^2+(VLOOKUP(X$1,DATA!$A$3:$F$301,3,FALSE)-VLOOKUP($A52,DATA!$A$3:$F$301,3,FALSE))^2),"")</f>
        <v/>
      </c>
      <c r="Y52" s="14" t="str">
        <f>_xlfn.IFNA(SQRT((VLOOKUP(Y$1,DATA!$A$3:$F$301,2,FALSE)-VLOOKUP($A52,DATA!$A$3:$F$301,2,FALSE))^2+(VLOOKUP(Y$1,DATA!$A$3:$F$301,3,FALSE)-VLOOKUP($A52,DATA!$A$3:$F$301,3,FALSE))^2),"")</f>
        <v/>
      </c>
      <c r="Z52" s="14" t="str">
        <f>_xlfn.IFNA(SQRT((VLOOKUP(Z$1,DATA!$A$3:$F$301,2,FALSE)-VLOOKUP($A52,DATA!$A$3:$F$301,2,FALSE))^2+(VLOOKUP(Z$1,DATA!$A$3:$F$301,3,FALSE)-VLOOKUP($A52,DATA!$A$3:$F$301,3,FALSE))^2),"")</f>
        <v/>
      </c>
      <c r="AA52" s="14" t="str">
        <f>_xlfn.IFNA(SQRT((VLOOKUP(AA$1,DATA!$A$3:$F$301,2,FALSE)-VLOOKUP($A52,DATA!$A$3:$F$301,2,FALSE))^2+(VLOOKUP(AA$1,DATA!$A$3:$F$301,3,FALSE)-VLOOKUP($A52,DATA!$A$3:$F$301,3,FALSE))^2),"")</f>
        <v/>
      </c>
      <c r="AB52" s="14" t="str">
        <f>_xlfn.IFNA(SQRT((VLOOKUP(AB$1,DATA!$A$3:$F$301,2,FALSE)-VLOOKUP($A52,DATA!$A$3:$F$301,2,FALSE))^2+(VLOOKUP(AB$1,DATA!$A$3:$F$301,3,FALSE)-VLOOKUP($A52,DATA!$A$3:$F$301,3,FALSE))^2),"")</f>
        <v/>
      </c>
      <c r="AC52" s="14" t="str">
        <f>_xlfn.IFNA(SQRT((VLOOKUP(AC$1,DATA!$A$3:$F$301,2,FALSE)-VLOOKUP($A52,DATA!$A$3:$F$301,2,FALSE))^2+(VLOOKUP(AC$1,DATA!$A$3:$F$301,3,FALSE)-VLOOKUP($A52,DATA!$A$3:$F$301,3,FALSE))^2),"")</f>
        <v/>
      </c>
      <c r="AD52" s="14" t="str">
        <f>_xlfn.IFNA(SQRT((VLOOKUP(AD$1,DATA!$A$3:$F$301,2,FALSE)-VLOOKUP($A52,DATA!$A$3:$F$301,2,FALSE))^2+(VLOOKUP(AD$1,DATA!$A$3:$F$301,3,FALSE)-VLOOKUP($A52,DATA!$A$3:$F$301,3,FALSE))^2),"")</f>
        <v/>
      </c>
      <c r="AE52" s="14" t="str">
        <f>_xlfn.IFNA(SQRT((VLOOKUP(AE$1,DATA!$A$3:$F$301,2,FALSE)-VLOOKUP($A52,DATA!$A$3:$F$301,2,FALSE))^2+(VLOOKUP(AE$1,DATA!$A$3:$F$301,3,FALSE)-VLOOKUP($A52,DATA!$A$3:$F$301,3,FALSE))^2),"")</f>
        <v/>
      </c>
      <c r="AF52" s="14" t="str">
        <f>_xlfn.IFNA(SQRT((VLOOKUP(AF$1,DATA!$A$3:$F$301,2,FALSE)-VLOOKUP($A52,DATA!$A$3:$F$301,2,FALSE))^2+(VLOOKUP(AF$1,DATA!$A$3:$F$301,3,FALSE)-VLOOKUP($A52,DATA!$A$3:$F$301,3,FALSE))^2),"")</f>
        <v/>
      </c>
      <c r="AG52" s="14" t="str">
        <f>_xlfn.IFNA(SQRT((VLOOKUP(AG$1,DATA!$A$3:$F$301,2,FALSE)-VLOOKUP($A52,DATA!$A$3:$F$301,2,FALSE))^2+(VLOOKUP(AG$1,DATA!$A$3:$F$301,3,FALSE)-VLOOKUP($A52,DATA!$A$3:$F$301,3,FALSE))^2),"")</f>
        <v/>
      </c>
      <c r="AH52" s="14" t="str">
        <f>_xlfn.IFNA(SQRT((VLOOKUP(AH$1,DATA!$A$3:$F$301,2,FALSE)-VLOOKUP($A52,DATA!$A$3:$F$301,2,FALSE))^2+(VLOOKUP(AH$1,DATA!$A$3:$F$301,3,FALSE)-VLOOKUP($A52,DATA!$A$3:$F$301,3,FALSE))^2),"")</f>
        <v/>
      </c>
      <c r="AI52" s="14" t="str">
        <f>_xlfn.IFNA(SQRT((VLOOKUP(AI$1,DATA!$A$3:$F$301,2,FALSE)-VLOOKUP($A52,DATA!$A$3:$F$301,2,FALSE))^2+(VLOOKUP(AI$1,DATA!$A$3:$F$301,3,FALSE)-VLOOKUP($A52,DATA!$A$3:$F$301,3,FALSE))^2),"")</f>
        <v/>
      </c>
      <c r="AJ52" s="14" t="str">
        <f>_xlfn.IFNA(SQRT((VLOOKUP(AJ$1,DATA!$A$3:$F$301,2,FALSE)-VLOOKUP($A52,DATA!$A$3:$F$301,2,FALSE))^2+(VLOOKUP(AJ$1,DATA!$A$3:$F$301,3,FALSE)-VLOOKUP($A52,DATA!$A$3:$F$301,3,FALSE))^2),"")</f>
        <v/>
      </c>
      <c r="AK52" s="14" t="str">
        <f>_xlfn.IFNA(SQRT((VLOOKUP(AK$1,DATA!$A$3:$F$301,2,FALSE)-VLOOKUP($A52,DATA!$A$3:$F$301,2,FALSE))^2+(VLOOKUP(AK$1,DATA!$A$3:$F$301,3,FALSE)-VLOOKUP($A52,DATA!$A$3:$F$301,3,FALSE))^2),"")</f>
        <v/>
      </c>
      <c r="AL52" s="14" t="str">
        <f>_xlfn.IFNA(SQRT((VLOOKUP(AL$1,DATA!$A$3:$F$301,2,FALSE)-VLOOKUP($A52,DATA!$A$3:$F$301,2,FALSE))^2+(VLOOKUP(AL$1,DATA!$A$3:$F$301,3,FALSE)-VLOOKUP($A52,DATA!$A$3:$F$301,3,FALSE))^2),"")</f>
        <v/>
      </c>
      <c r="AM52" s="14" t="str">
        <f>_xlfn.IFNA(SQRT((VLOOKUP(AM$1,DATA!$A$3:$F$301,2,FALSE)-VLOOKUP($A52,DATA!$A$3:$F$301,2,FALSE))^2+(VLOOKUP(AM$1,DATA!$A$3:$F$301,3,FALSE)-VLOOKUP($A52,DATA!$A$3:$F$301,3,FALSE))^2),"")</f>
        <v/>
      </c>
      <c r="AN52" s="14" t="str">
        <f>_xlfn.IFNA(SQRT((VLOOKUP(AN$1,DATA!$A$3:$F$301,2,FALSE)-VLOOKUP($A52,DATA!$A$3:$F$301,2,FALSE))^2+(VLOOKUP(AN$1,DATA!$A$3:$F$301,3,FALSE)-VLOOKUP($A52,DATA!$A$3:$F$301,3,FALSE))^2),"")</f>
        <v/>
      </c>
      <c r="AO52" s="14" t="str">
        <f>_xlfn.IFNA(SQRT((VLOOKUP(AO$1,DATA!$A$3:$F$301,2,FALSE)-VLOOKUP($A52,DATA!$A$3:$F$301,2,FALSE))^2+(VLOOKUP(AO$1,DATA!$A$3:$F$301,3,FALSE)-VLOOKUP($A52,DATA!$A$3:$F$301,3,FALSE))^2),"")</f>
        <v/>
      </c>
      <c r="AP52" s="14" t="str">
        <f>_xlfn.IFNA(SQRT((VLOOKUP(AP$1,DATA!$A$3:$F$301,2,FALSE)-VLOOKUP($A52,DATA!$A$3:$F$301,2,FALSE))^2+(VLOOKUP(AP$1,DATA!$A$3:$F$301,3,FALSE)-VLOOKUP($A52,DATA!$A$3:$F$301,3,FALSE))^2),"")</f>
        <v/>
      </c>
      <c r="AQ52" s="14" t="str">
        <f>_xlfn.IFNA(SQRT((VLOOKUP(AQ$1,DATA!$A$3:$F$301,2,FALSE)-VLOOKUP($A52,DATA!$A$3:$F$301,2,FALSE))^2+(VLOOKUP(AQ$1,DATA!$A$3:$F$301,3,FALSE)-VLOOKUP($A52,DATA!$A$3:$F$301,3,FALSE))^2),"")</f>
        <v/>
      </c>
      <c r="AR52" s="14" t="str">
        <f>_xlfn.IFNA(SQRT((VLOOKUP(AR$1,DATA!$A$3:$F$301,2,FALSE)-VLOOKUP($A52,DATA!$A$3:$F$301,2,FALSE))^2+(VLOOKUP(AR$1,DATA!$A$3:$F$301,3,FALSE)-VLOOKUP($A52,DATA!$A$3:$F$301,3,FALSE))^2),"")</f>
        <v/>
      </c>
      <c r="AS52" s="14" t="str">
        <f>_xlfn.IFNA(SQRT((VLOOKUP(AS$1,DATA!$A$3:$F$301,2,FALSE)-VLOOKUP($A52,DATA!$A$3:$F$301,2,FALSE))^2+(VLOOKUP(AS$1,DATA!$A$3:$F$301,3,FALSE)-VLOOKUP($A52,DATA!$A$3:$F$301,3,FALSE))^2),"")</f>
        <v/>
      </c>
      <c r="AT52" s="14" t="str">
        <f>_xlfn.IFNA(SQRT((VLOOKUP(AT$1,DATA!$A$3:$F$301,2,FALSE)-VLOOKUP($A52,DATA!$A$3:$F$301,2,FALSE))^2+(VLOOKUP(AT$1,DATA!$A$3:$F$301,3,FALSE)-VLOOKUP($A52,DATA!$A$3:$F$301,3,FALSE))^2),"")</f>
        <v/>
      </c>
      <c r="AU52" s="14" t="str">
        <f>_xlfn.IFNA(SQRT((VLOOKUP(AU$1,DATA!$A$3:$F$301,2,FALSE)-VLOOKUP($A52,DATA!$A$3:$F$301,2,FALSE))^2+(VLOOKUP(AU$1,DATA!$A$3:$F$301,3,FALSE)-VLOOKUP($A52,DATA!$A$3:$F$301,3,FALSE))^2),"")</f>
        <v/>
      </c>
      <c r="AV52" s="14" t="str">
        <f>_xlfn.IFNA(SQRT((VLOOKUP(AV$1,DATA!$A$3:$F$301,2,FALSE)-VLOOKUP($A52,DATA!$A$3:$F$301,2,FALSE))^2+(VLOOKUP(AV$1,DATA!$A$3:$F$301,3,FALSE)-VLOOKUP($A52,DATA!$A$3:$F$301,3,FALSE))^2),"")</f>
        <v/>
      </c>
      <c r="AW52" s="14" t="str">
        <f>_xlfn.IFNA(SQRT((VLOOKUP(AW$1,DATA!$A$3:$F$301,2,FALSE)-VLOOKUP($A52,DATA!$A$3:$F$301,2,FALSE))^2+(VLOOKUP(AW$1,DATA!$A$3:$F$301,3,FALSE)-VLOOKUP($A52,DATA!$A$3:$F$301,3,FALSE))^2),"")</f>
        <v/>
      </c>
      <c r="AX52" s="14" t="str">
        <f>_xlfn.IFNA(SQRT((VLOOKUP(AX$1,DATA!$A$3:$F$301,2,FALSE)-VLOOKUP($A52,DATA!$A$3:$F$301,2,FALSE))^2+(VLOOKUP(AX$1,DATA!$A$3:$F$301,3,FALSE)-VLOOKUP($A52,DATA!$A$3:$F$301,3,FALSE))^2),"")</f>
        <v/>
      </c>
      <c r="AY52" s="14" t="str">
        <f>_xlfn.IFNA(SQRT((VLOOKUP(AY$1,DATA!$A$3:$F$301,2,FALSE)-VLOOKUP($A52,DATA!$A$3:$F$301,2,FALSE))^2+(VLOOKUP(AY$1,DATA!$A$3:$F$301,3,FALSE)-VLOOKUP($A52,DATA!$A$3:$F$301,3,FALSE))^2),"")</f>
        <v/>
      </c>
      <c r="AZ52" s="14" t="str">
        <f>_xlfn.IFNA(SQRT((VLOOKUP(AZ$1,DATA!$A$3:$F$301,2,FALSE)-VLOOKUP($A52,DATA!$A$3:$F$301,2,FALSE))^2+(VLOOKUP(AZ$1,DATA!$A$3:$F$301,3,FALSE)-VLOOKUP($A52,DATA!$A$3:$F$301,3,FALSE))^2),"")</f>
        <v/>
      </c>
      <c r="BA52" s="14" t="str">
        <f>_xlfn.IFNA(SQRT((VLOOKUP(BA$1,DATA!$A$3:$F$301,2,FALSE)-VLOOKUP($A52,DATA!$A$3:$F$301,2,FALSE))^2+(VLOOKUP(BA$1,DATA!$A$3:$F$301,3,FALSE)-VLOOKUP($A52,DATA!$A$3:$F$301,3,FALSE))^2),"")</f>
        <v/>
      </c>
      <c r="BB52" s="14" t="str">
        <f>_xlfn.IFNA(SQRT((VLOOKUP(BB$1,DATA!$A$3:$F$301,2,FALSE)-VLOOKUP($A52,DATA!$A$3:$F$301,2,FALSE))^2+(VLOOKUP(BB$1,DATA!$A$3:$F$301,3,FALSE)-VLOOKUP($A52,DATA!$A$3:$F$301,3,FALSE))^2),"")</f>
        <v/>
      </c>
      <c r="BC52" s="14" t="str">
        <f>_xlfn.IFNA(SQRT((VLOOKUP(BC$1,DATA!$A$3:$F$301,2,FALSE)-VLOOKUP($A52,DATA!$A$3:$F$301,2,FALSE))^2+(VLOOKUP(BC$1,DATA!$A$3:$F$301,3,FALSE)-VLOOKUP($A52,DATA!$A$3:$F$301,3,FALSE))^2),"")</f>
        <v/>
      </c>
      <c r="BD52" s="14" t="str">
        <f>_xlfn.IFNA(SQRT((VLOOKUP(BD$1,DATA!$A$3:$F$301,2,FALSE)-VLOOKUP($A52,DATA!$A$3:$F$301,2,FALSE))^2+(VLOOKUP(BD$1,DATA!$A$3:$F$301,3,FALSE)-VLOOKUP($A52,DATA!$A$3:$F$301,3,FALSE))^2),"")</f>
        <v/>
      </c>
      <c r="BE52" s="14" t="str">
        <f>_xlfn.IFNA(SQRT((VLOOKUP(BE$1,DATA!$A$3:$F$301,2,FALSE)-VLOOKUP($A52,DATA!$A$3:$F$301,2,FALSE))^2+(VLOOKUP(BE$1,DATA!$A$3:$F$301,3,FALSE)-VLOOKUP($A52,DATA!$A$3:$F$301,3,FALSE))^2),"")</f>
        <v/>
      </c>
      <c r="BF52" s="14" t="str">
        <f>_xlfn.IFNA(SQRT((VLOOKUP(BF$1,DATA!$A$3:$F$301,2,FALSE)-VLOOKUP($A52,DATA!$A$3:$F$301,2,FALSE))^2+(VLOOKUP(BF$1,DATA!$A$3:$F$301,3,FALSE)-VLOOKUP($A52,DATA!$A$3:$F$301,3,FALSE))^2),"")</f>
        <v/>
      </c>
      <c r="BG52" s="14" t="str">
        <f>_xlfn.IFNA(SQRT((VLOOKUP(BG$1,DATA!$A$3:$F$301,2,FALSE)-VLOOKUP($A52,DATA!$A$3:$F$301,2,FALSE))^2+(VLOOKUP(BG$1,DATA!$A$3:$F$301,3,FALSE)-VLOOKUP($A52,DATA!$A$3:$F$301,3,FALSE))^2),"")</f>
        <v/>
      </c>
      <c r="BH52" s="14" t="str">
        <f>_xlfn.IFNA(SQRT((VLOOKUP(BH$1,DATA!$A$3:$F$301,2,FALSE)-VLOOKUP($A52,DATA!$A$3:$F$301,2,FALSE))^2+(VLOOKUP(BH$1,DATA!$A$3:$F$301,3,FALSE)-VLOOKUP($A52,DATA!$A$3:$F$301,3,FALSE))^2),"")</f>
        <v/>
      </c>
      <c r="BI52" s="14" t="str">
        <f>_xlfn.IFNA(SQRT((VLOOKUP(BI$1,DATA!$A$3:$F$301,2,FALSE)-VLOOKUP($A52,DATA!$A$3:$F$301,2,FALSE))^2+(VLOOKUP(BI$1,DATA!$A$3:$F$301,3,FALSE)-VLOOKUP($A52,DATA!$A$3:$F$301,3,FALSE))^2),"")</f>
        <v/>
      </c>
      <c r="BJ52" s="14" t="str">
        <f>_xlfn.IFNA(SQRT((VLOOKUP(BJ$1,DATA!$A$3:$F$301,2,FALSE)-VLOOKUP($A52,DATA!$A$3:$F$301,2,FALSE))^2+(VLOOKUP(BJ$1,DATA!$A$3:$F$301,3,FALSE)-VLOOKUP($A52,DATA!$A$3:$F$301,3,FALSE))^2),"")</f>
        <v/>
      </c>
      <c r="BK52" s="14" t="str">
        <f>_xlfn.IFNA(SQRT((VLOOKUP(BK$1,DATA!$A$3:$F$301,2,FALSE)-VLOOKUP($A52,DATA!$A$3:$F$301,2,FALSE))^2+(VLOOKUP(BK$1,DATA!$A$3:$F$301,3,FALSE)-VLOOKUP($A52,DATA!$A$3:$F$301,3,FALSE))^2),"")</f>
        <v/>
      </c>
      <c r="BL52" s="14" t="str">
        <f>_xlfn.IFNA(SQRT((VLOOKUP(BL$1,DATA!$A$3:$F$301,2,FALSE)-VLOOKUP($A52,DATA!$A$3:$F$301,2,FALSE))^2+(VLOOKUP(BL$1,DATA!$A$3:$F$301,3,FALSE)-VLOOKUP($A52,DATA!$A$3:$F$301,3,FALSE))^2),"")</f>
        <v/>
      </c>
      <c r="BM52" s="14" t="str">
        <f>_xlfn.IFNA(SQRT((VLOOKUP(BM$1,DATA!$A$3:$F$301,2,FALSE)-VLOOKUP($A52,DATA!$A$3:$F$301,2,FALSE))^2+(VLOOKUP(BM$1,DATA!$A$3:$F$301,3,FALSE)-VLOOKUP($A52,DATA!$A$3:$F$301,3,FALSE))^2),"")</f>
        <v/>
      </c>
      <c r="BN52" s="14" t="str">
        <f>_xlfn.IFNA(SQRT((VLOOKUP(BN$1,DATA!$A$3:$F$301,2,FALSE)-VLOOKUP($A52,DATA!$A$3:$F$301,2,FALSE))^2+(VLOOKUP(BN$1,DATA!$A$3:$F$301,3,FALSE)-VLOOKUP($A52,DATA!$A$3:$F$301,3,FALSE))^2),"")</f>
        <v/>
      </c>
      <c r="BO52" s="14" t="str">
        <f>_xlfn.IFNA(SQRT((VLOOKUP(BO$1,DATA!$A$3:$F$301,2,FALSE)-VLOOKUP($A52,DATA!$A$3:$F$301,2,FALSE))^2+(VLOOKUP(BO$1,DATA!$A$3:$F$301,3,FALSE)-VLOOKUP($A52,DATA!$A$3:$F$301,3,FALSE))^2),"")</f>
        <v/>
      </c>
      <c r="BP52" s="14" t="str">
        <f>_xlfn.IFNA(SQRT((VLOOKUP(BP$1,DATA!$A$3:$F$301,2,FALSE)-VLOOKUP($A52,DATA!$A$3:$F$301,2,FALSE))^2+(VLOOKUP(BP$1,DATA!$A$3:$F$301,3,FALSE)-VLOOKUP($A52,DATA!$A$3:$F$301,3,FALSE))^2),"")</f>
        <v/>
      </c>
      <c r="BQ52" s="14" t="str">
        <f>_xlfn.IFNA(SQRT((VLOOKUP(BQ$1,DATA!$A$3:$F$301,2,FALSE)-VLOOKUP($A52,DATA!$A$3:$F$301,2,FALSE))^2+(VLOOKUP(BQ$1,DATA!$A$3:$F$301,3,FALSE)-VLOOKUP($A52,DATA!$A$3:$F$301,3,FALSE))^2),"")</f>
        <v/>
      </c>
      <c r="BR52" s="14" t="str">
        <f>_xlfn.IFNA(SQRT((VLOOKUP(BR$1,DATA!$A$3:$F$301,2,FALSE)-VLOOKUP($A52,DATA!$A$3:$F$301,2,FALSE))^2+(VLOOKUP(BR$1,DATA!$A$3:$F$301,3,FALSE)-VLOOKUP($A52,DATA!$A$3:$F$301,3,FALSE))^2),"")</f>
        <v/>
      </c>
      <c r="BS52" s="14" t="str">
        <f>_xlfn.IFNA(SQRT((VLOOKUP(BS$1,DATA!$A$3:$F$301,2,FALSE)-VLOOKUP($A52,DATA!$A$3:$F$301,2,FALSE))^2+(VLOOKUP(BS$1,DATA!$A$3:$F$301,3,FALSE)-VLOOKUP($A52,DATA!$A$3:$F$301,3,FALSE))^2),"")</f>
        <v/>
      </c>
      <c r="BT52" s="14" t="str">
        <f>_xlfn.IFNA(SQRT((VLOOKUP(BT$1,DATA!$A$3:$F$301,2,FALSE)-VLOOKUP($A52,DATA!$A$3:$F$301,2,FALSE))^2+(VLOOKUP(BT$1,DATA!$A$3:$F$301,3,FALSE)-VLOOKUP($A52,DATA!$A$3:$F$301,3,FALSE))^2),"")</f>
        <v/>
      </c>
      <c r="BU52" s="14" t="str">
        <f>_xlfn.IFNA(SQRT((VLOOKUP(BU$1,DATA!$A$3:$F$301,2,FALSE)-VLOOKUP($A52,DATA!$A$3:$F$301,2,FALSE))^2+(VLOOKUP(BU$1,DATA!$A$3:$F$301,3,FALSE)-VLOOKUP($A52,DATA!$A$3:$F$301,3,FALSE))^2),"")</f>
        <v/>
      </c>
      <c r="BV52" s="14" t="str">
        <f>_xlfn.IFNA(SQRT((VLOOKUP(BV$1,DATA!$A$3:$F$301,2,FALSE)-VLOOKUP($A52,DATA!$A$3:$F$301,2,FALSE))^2+(VLOOKUP(BV$1,DATA!$A$3:$F$301,3,FALSE)-VLOOKUP($A52,DATA!$A$3:$F$301,3,FALSE))^2),"")</f>
        <v/>
      </c>
      <c r="BW52" s="14" t="str">
        <f>_xlfn.IFNA(SQRT((VLOOKUP(BW$1,DATA!$A$3:$F$301,2,FALSE)-VLOOKUP($A52,DATA!$A$3:$F$301,2,FALSE))^2+(VLOOKUP(BW$1,DATA!$A$3:$F$301,3,FALSE)-VLOOKUP($A52,DATA!$A$3:$F$301,3,FALSE))^2),"")</f>
        <v/>
      </c>
      <c r="BX52" s="14" t="str">
        <f>_xlfn.IFNA(SQRT((VLOOKUP(BX$1,DATA!$A$3:$F$301,2,FALSE)-VLOOKUP($A52,DATA!$A$3:$F$301,2,FALSE))^2+(VLOOKUP(BX$1,DATA!$A$3:$F$301,3,FALSE)-VLOOKUP($A52,DATA!$A$3:$F$301,3,FALSE))^2),"")</f>
        <v/>
      </c>
      <c r="BY52" s="14" t="str">
        <f>_xlfn.IFNA(SQRT((VLOOKUP(BY$1,DATA!$A$3:$F$301,2,FALSE)-VLOOKUP($A52,DATA!$A$3:$F$301,2,FALSE))^2+(VLOOKUP(BY$1,DATA!$A$3:$F$301,3,FALSE)-VLOOKUP($A52,DATA!$A$3:$F$301,3,FALSE))^2),"")</f>
        <v/>
      </c>
      <c r="BZ52" s="14" t="str">
        <f>_xlfn.IFNA(SQRT((VLOOKUP(BZ$1,DATA!$A$3:$F$301,2,FALSE)-VLOOKUP($A52,DATA!$A$3:$F$301,2,FALSE))^2+(VLOOKUP(BZ$1,DATA!$A$3:$F$301,3,FALSE)-VLOOKUP($A52,DATA!$A$3:$F$301,3,FALSE))^2),"")</f>
        <v/>
      </c>
      <c r="CA52" s="14" t="str">
        <f>_xlfn.IFNA(SQRT((VLOOKUP(CA$1,DATA!$A$3:$F$301,2,FALSE)-VLOOKUP($A52,DATA!$A$3:$F$301,2,FALSE))^2+(VLOOKUP(CA$1,DATA!$A$3:$F$301,3,FALSE)-VLOOKUP($A52,DATA!$A$3:$F$301,3,FALSE))^2),"")</f>
        <v/>
      </c>
      <c r="CB52" s="14" t="str">
        <f>_xlfn.IFNA(SQRT((VLOOKUP(CB$1,DATA!$A$3:$F$301,2,FALSE)-VLOOKUP($A52,DATA!$A$3:$F$301,2,FALSE))^2+(VLOOKUP(CB$1,DATA!$A$3:$F$301,3,FALSE)-VLOOKUP($A52,DATA!$A$3:$F$301,3,FALSE))^2),"")</f>
        <v/>
      </c>
      <c r="CC52" s="14" t="str">
        <f>_xlfn.IFNA(SQRT((VLOOKUP(CC$1,DATA!$A$3:$F$301,2,FALSE)-VLOOKUP($A52,DATA!$A$3:$F$301,2,FALSE))^2+(VLOOKUP(CC$1,DATA!$A$3:$F$301,3,FALSE)-VLOOKUP($A52,DATA!$A$3:$F$301,3,FALSE))^2),"")</f>
        <v/>
      </c>
      <c r="CD52" s="14" t="str">
        <f>_xlfn.IFNA(SQRT((VLOOKUP(CD$1,DATA!$A$3:$F$301,2,FALSE)-VLOOKUP($A52,DATA!$A$3:$F$301,2,FALSE))^2+(VLOOKUP(CD$1,DATA!$A$3:$F$301,3,FALSE)-VLOOKUP($A52,DATA!$A$3:$F$301,3,FALSE))^2),"")</f>
        <v/>
      </c>
      <c r="CE52" s="14" t="str">
        <f>_xlfn.IFNA(SQRT((VLOOKUP(CE$1,DATA!$A$3:$F$301,2,FALSE)-VLOOKUP($A52,DATA!$A$3:$F$301,2,FALSE))^2+(VLOOKUP(CE$1,DATA!$A$3:$F$301,3,FALSE)-VLOOKUP($A52,DATA!$A$3:$F$301,3,FALSE))^2),"")</f>
        <v/>
      </c>
      <c r="CF52" s="14" t="str">
        <f>_xlfn.IFNA(SQRT((VLOOKUP(CF$1,DATA!$A$3:$F$301,2,FALSE)-VLOOKUP($A52,DATA!$A$3:$F$301,2,FALSE))^2+(VLOOKUP(CF$1,DATA!$A$3:$F$301,3,FALSE)-VLOOKUP($A52,DATA!$A$3:$F$301,3,FALSE))^2),"")</f>
        <v/>
      </c>
      <c r="CG52" s="14" t="str">
        <f>_xlfn.IFNA(SQRT((VLOOKUP(CG$1,DATA!$A$3:$F$301,2,FALSE)-VLOOKUP($A52,DATA!$A$3:$F$301,2,FALSE))^2+(VLOOKUP(CG$1,DATA!$A$3:$F$301,3,FALSE)-VLOOKUP($A52,DATA!$A$3:$F$301,3,FALSE))^2),"")</f>
        <v/>
      </c>
      <c r="CH52" s="14" t="str">
        <f>_xlfn.IFNA(SQRT((VLOOKUP(CH$1,DATA!$A$3:$F$301,2,FALSE)-VLOOKUP($A52,DATA!$A$3:$F$301,2,FALSE))^2+(VLOOKUP(CH$1,DATA!$A$3:$F$301,3,FALSE)-VLOOKUP($A52,DATA!$A$3:$F$301,3,FALSE))^2),"")</f>
        <v/>
      </c>
      <c r="CI52" s="14" t="str">
        <f>_xlfn.IFNA(SQRT((VLOOKUP(CI$1,DATA!$A$3:$F$301,2,FALSE)-VLOOKUP($A52,DATA!$A$3:$F$301,2,FALSE))^2+(VLOOKUP(CI$1,DATA!$A$3:$F$301,3,FALSE)-VLOOKUP($A52,DATA!$A$3:$F$301,3,FALSE))^2),"")</f>
        <v/>
      </c>
      <c r="CJ52" s="14" t="str">
        <f>_xlfn.IFNA(SQRT((VLOOKUP(CJ$1,DATA!$A$3:$F$301,2,FALSE)-VLOOKUP($A52,DATA!$A$3:$F$301,2,FALSE))^2+(VLOOKUP(CJ$1,DATA!$A$3:$F$301,3,FALSE)-VLOOKUP($A52,DATA!$A$3:$F$301,3,FALSE))^2),"")</f>
        <v/>
      </c>
      <c r="CK52" s="14" t="str">
        <f>_xlfn.IFNA(SQRT((VLOOKUP(CK$1,DATA!$A$3:$F$301,2,FALSE)-VLOOKUP($A52,DATA!$A$3:$F$301,2,FALSE))^2+(VLOOKUP(CK$1,DATA!$A$3:$F$301,3,FALSE)-VLOOKUP($A52,DATA!$A$3:$F$301,3,FALSE))^2),"")</f>
        <v/>
      </c>
      <c r="CL52" s="14" t="str">
        <f>_xlfn.IFNA(SQRT((VLOOKUP(CL$1,DATA!$A$3:$F$301,2,FALSE)-VLOOKUP($A52,DATA!$A$3:$F$301,2,FALSE))^2+(VLOOKUP(CL$1,DATA!$A$3:$F$301,3,FALSE)-VLOOKUP($A52,DATA!$A$3:$F$301,3,FALSE))^2),"")</f>
        <v/>
      </c>
      <c r="CM52" s="14" t="str">
        <f>_xlfn.IFNA(SQRT((VLOOKUP(CM$1,DATA!$A$3:$F$301,2,FALSE)-VLOOKUP($A52,DATA!$A$3:$F$301,2,FALSE))^2+(VLOOKUP(CM$1,DATA!$A$3:$F$301,3,FALSE)-VLOOKUP($A52,DATA!$A$3:$F$301,3,FALSE))^2),"")</f>
        <v/>
      </c>
      <c r="CN52" s="14" t="str">
        <f>_xlfn.IFNA(SQRT((VLOOKUP(CN$1,DATA!$A$3:$F$301,2,FALSE)-VLOOKUP($A52,DATA!$A$3:$F$301,2,FALSE))^2+(VLOOKUP(CN$1,DATA!$A$3:$F$301,3,FALSE)-VLOOKUP($A52,DATA!$A$3:$F$301,3,FALSE))^2),"")</f>
        <v/>
      </c>
      <c r="CO52" s="14" t="str">
        <f>_xlfn.IFNA(SQRT((VLOOKUP(CO$1,DATA!$A$3:$F$301,2,FALSE)-VLOOKUP($A52,DATA!$A$3:$F$301,2,FALSE))^2+(VLOOKUP(CO$1,DATA!$A$3:$F$301,3,FALSE)-VLOOKUP($A52,DATA!$A$3:$F$301,3,FALSE))^2),"")</f>
        <v/>
      </c>
      <c r="CP52" s="14" t="str">
        <f>_xlfn.IFNA(SQRT((VLOOKUP(CP$1,DATA!$A$3:$F$301,2,FALSE)-VLOOKUP($A52,DATA!$A$3:$F$301,2,FALSE))^2+(VLOOKUP(CP$1,DATA!$A$3:$F$301,3,FALSE)-VLOOKUP($A52,DATA!$A$3:$F$301,3,FALSE))^2),"")</f>
        <v/>
      </c>
      <c r="CQ52" s="14" t="str">
        <f>_xlfn.IFNA(SQRT((VLOOKUP(CQ$1,DATA!$A$3:$F$301,2,FALSE)-VLOOKUP($A52,DATA!$A$3:$F$301,2,FALSE))^2+(VLOOKUP(CQ$1,DATA!$A$3:$F$301,3,FALSE)-VLOOKUP($A52,DATA!$A$3:$F$301,3,FALSE))^2),"")</f>
        <v/>
      </c>
      <c r="CR52" s="14" t="str">
        <f>_xlfn.IFNA(SQRT((VLOOKUP(CR$1,DATA!$A$3:$F$301,2,FALSE)-VLOOKUP($A52,DATA!$A$3:$F$301,2,FALSE))^2+(VLOOKUP(CR$1,DATA!$A$3:$F$301,3,FALSE)-VLOOKUP($A52,DATA!$A$3:$F$301,3,FALSE))^2),"")</f>
        <v/>
      </c>
      <c r="CS52" s="14" t="str">
        <f>_xlfn.IFNA(SQRT((VLOOKUP(CS$1,DATA!$A$3:$F$301,2,FALSE)-VLOOKUP($A52,DATA!$A$3:$F$301,2,FALSE))^2+(VLOOKUP(CS$1,DATA!$A$3:$F$301,3,FALSE)-VLOOKUP($A52,DATA!$A$3:$F$301,3,FALSE))^2),"")</f>
        <v/>
      </c>
      <c r="CT52" s="14" t="str">
        <f>_xlfn.IFNA(SQRT((VLOOKUP(CT$1,DATA!$A$3:$F$301,2,FALSE)-VLOOKUP($A52,DATA!$A$3:$F$301,2,FALSE))^2+(VLOOKUP(CT$1,DATA!$A$3:$F$301,3,FALSE)-VLOOKUP($A52,DATA!$A$3:$F$301,3,FALSE))^2),"")</f>
        <v/>
      </c>
      <c r="CU52" s="14" t="str">
        <f>_xlfn.IFNA(SQRT((VLOOKUP(CU$1,DATA!$A$3:$F$301,2,FALSE)-VLOOKUP($A52,DATA!$A$3:$F$301,2,FALSE))^2+(VLOOKUP(CU$1,DATA!$A$3:$F$301,3,FALSE)-VLOOKUP($A52,DATA!$A$3:$F$301,3,FALSE))^2),"")</f>
        <v/>
      </c>
      <c r="CV52" s="14" t="str">
        <f>_xlfn.IFNA(SQRT((VLOOKUP(CV$1,DATA!$A$3:$F$301,2,FALSE)-VLOOKUP($A52,DATA!$A$3:$F$301,2,FALSE))^2+(VLOOKUP(CV$1,DATA!$A$3:$F$301,3,FALSE)-VLOOKUP($A52,DATA!$A$3:$F$301,3,FALSE))^2),"")</f>
        <v/>
      </c>
      <c r="CW52" s="14" t="str">
        <f>_xlfn.IFNA(SQRT((VLOOKUP(CW$1,DATA!$A$3:$F$301,2,FALSE)-VLOOKUP($A52,DATA!$A$3:$F$301,2,FALSE))^2+(VLOOKUP(CW$1,DATA!$A$3:$F$301,3,FALSE)-VLOOKUP($A52,DATA!$A$3:$F$301,3,FALSE))^2),"")</f>
        <v/>
      </c>
      <c r="CX52" s="14" t="str">
        <f>_xlfn.IFNA(SQRT((VLOOKUP(CX$1,DATA!$A$3:$F$301,2,FALSE)-VLOOKUP($A52,DATA!$A$3:$F$301,2,FALSE))^2+(VLOOKUP(CX$1,DATA!$A$3:$F$301,3,FALSE)-VLOOKUP($A52,DATA!$A$3:$F$301,3,FALSE))^2),"")</f>
        <v/>
      </c>
    </row>
    <row r="53" spans="1:102">
      <c r="A53" s="13">
        <v>52</v>
      </c>
      <c r="B53" s="14" t="str">
        <f>_xlfn.IFNA(SQRT((VLOOKUP(B$1,DATA!$A$3:$F$301,2,FALSE)-VLOOKUP($A53,DATA!$A$3:$F$301,2,FALSE))^2+(VLOOKUP(B$1,DATA!$A$3:$F$301,3,FALSE)-VLOOKUP($A53,DATA!$A$3:$F$301,3,FALSE))^2),"")</f>
        <v/>
      </c>
      <c r="C53" s="14" t="str">
        <f>_xlfn.IFNA(SQRT((VLOOKUP(C$1,DATA!$A$3:$F$301,2,FALSE)-VLOOKUP($A53,DATA!$A$3:$F$301,2,FALSE))^2+(VLOOKUP(C$1,DATA!$A$3:$F$301,3,FALSE)-VLOOKUP($A53,DATA!$A$3:$F$301,3,FALSE))^2),"")</f>
        <v/>
      </c>
      <c r="D53" s="14" t="str">
        <f>_xlfn.IFNA(SQRT((VLOOKUP(D$1,DATA!$A$3:$F$301,2,FALSE)-VLOOKUP($A53,DATA!$A$3:$F$301,2,FALSE))^2+(VLOOKUP(D$1,DATA!$A$3:$F$301,3,FALSE)-VLOOKUP($A53,DATA!$A$3:$F$301,3,FALSE))^2),"")</f>
        <v/>
      </c>
      <c r="E53" s="14" t="str">
        <f>_xlfn.IFNA(SQRT((VLOOKUP(E$1,DATA!$A$3:$F$301,2,FALSE)-VLOOKUP($A53,DATA!$A$3:$F$301,2,FALSE))^2+(VLOOKUP(E$1,DATA!$A$3:$F$301,3,FALSE)-VLOOKUP($A53,DATA!$A$3:$F$301,3,FALSE))^2),"")</f>
        <v/>
      </c>
      <c r="F53" s="14" t="str">
        <f>_xlfn.IFNA(SQRT((VLOOKUP(F$1,DATA!$A$3:$F$301,2,FALSE)-VLOOKUP($A53,DATA!$A$3:$F$301,2,FALSE))^2+(VLOOKUP(F$1,DATA!$A$3:$F$301,3,FALSE)-VLOOKUP($A53,DATA!$A$3:$F$301,3,FALSE))^2),"")</f>
        <v/>
      </c>
      <c r="G53" s="14" t="str">
        <f>_xlfn.IFNA(SQRT((VLOOKUP(G$1,DATA!$A$3:$F$301,2,FALSE)-VLOOKUP($A53,DATA!$A$3:$F$301,2,FALSE))^2+(VLOOKUP(G$1,DATA!$A$3:$F$301,3,FALSE)-VLOOKUP($A53,DATA!$A$3:$F$301,3,FALSE))^2),"")</f>
        <v/>
      </c>
      <c r="H53" s="14" t="str">
        <f>_xlfn.IFNA(SQRT((VLOOKUP(H$1,DATA!$A$3:$F$301,2,FALSE)-VLOOKUP($A53,DATA!$A$3:$F$301,2,FALSE))^2+(VLOOKUP(H$1,DATA!$A$3:$F$301,3,FALSE)-VLOOKUP($A53,DATA!$A$3:$F$301,3,FALSE))^2),"")</f>
        <v/>
      </c>
      <c r="I53" s="14" t="str">
        <f>_xlfn.IFNA(SQRT((VLOOKUP(I$1,DATA!$A$3:$F$301,2,FALSE)-VLOOKUP($A53,DATA!$A$3:$F$301,2,FALSE))^2+(VLOOKUP(I$1,DATA!$A$3:$F$301,3,FALSE)-VLOOKUP($A53,DATA!$A$3:$F$301,3,FALSE))^2),"")</f>
        <v/>
      </c>
      <c r="J53" s="14" t="str">
        <f>_xlfn.IFNA(SQRT((VLOOKUP(J$1,DATA!$A$3:$F$301,2,FALSE)-VLOOKUP($A53,DATA!$A$3:$F$301,2,FALSE))^2+(VLOOKUP(J$1,DATA!$A$3:$F$301,3,FALSE)-VLOOKUP($A53,DATA!$A$3:$F$301,3,FALSE))^2),"")</f>
        <v/>
      </c>
      <c r="K53" s="14" t="str">
        <f>_xlfn.IFNA(SQRT((VLOOKUP(K$1,DATA!$A$3:$F$301,2,FALSE)-VLOOKUP($A53,DATA!$A$3:$F$301,2,FALSE))^2+(VLOOKUP(K$1,DATA!$A$3:$F$301,3,FALSE)-VLOOKUP($A53,DATA!$A$3:$F$301,3,FALSE))^2),"")</f>
        <v/>
      </c>
      <c r="L53" s="14" t="str">
        <f>_xlfn.IFNA(SQRT((VLOOKUP(L$1,DATA!$A$3:$F$301,2,FALSE)-VLOOKUP($A53,DATA!$A$3:$F$301,2,FALSE))^2+(VLOOKUP(L$1,DATA!$A$3:$F$301,3,FALSE)-VLOOKUP($A53,DATA!$A$3:$F$301,3,FALSE))^2),"")</f>
        <v/>
      </c>
      <c r="M53" s="14" t="str">
        <f>_xlfn.IFNA(SQRT((VLOOKUP(M$1,DATA!$A$3:$F$301,2,FALSE)-VLOOKUP($A53,DATA!$A$3:$F$301,2,FALSE))^2+(VLOOKUP(M$1,DATA!$A$3:$F$301,3,FALSE)-VLOOKUP($A53,DATA!$A$3:$F$301,3,FALSE))^2),"")</f>
        <v/>
      </c>
      <c r="N53" s="14" t="str">
        <f>_xlfn.IFNA(SQRT((VLOOKUP(N$1,DATA!$A$3:$F$301,2,FALSE)-VLOOKUP($A53,DATA!$A$3:$F$301,2,FALSE))^2+(VLOOKUP(N$1,DATA!$A$3:$F$301,3,FALSE)-VLOOKUP($A53,DATA!$A$3:$F$301,3,FALSE))^2),"")</f>
        <v/>
      </c>
      <c r="O53" s="14" t="str">
        <f>_xlfn.IFNA(SQRT((VLOOKUP(O$1,DATA!$A$3:$F$301,2,FALSE)-VLOOKUP($A53,DATA!$A$3:$F$301,2,FALSE))^2+(VLOOKUP(O$1,DATA!$A$3:$F$301,3,FALSE)-VLOOKUP($A53,DATA!$A$3:$F$301,3,FALSE))^2),"")</f>
        <v/>
      </c>
      <c r="P53" s="14" t="str">
        <f>_xlfn.IFNA(SQRT((VLOOKUP(P$1,DATA!$A$3:$F$301,2,FALSE)-VLOOKUP($A53,DATA!$A$3:$F$301,2,FALSE))^2+(VLOOKUP(P$1,DATA!$A$3:$F$301,3,FALSE)-VLOOKUP($A53,DATA!$A$3:$F$301,3,FALSE))^2),"")</f>
        <v/>
      </c>
      <c r="Q53" s="14" t="str">
        <f>_xlfn.IFNA(SQRT((VLOOKUP(Q$1,DATA!$A$3:$F$301,2,FALSE)-VLOOKUP($A53,DATA!$A$3:$F$301,2,FALSE))^2+(VLOOKUP(Q$1,DATA!$A$3:$F$301,3,FALSE)-VLOOKUP($A53,DATA!$A$3:$F$301,3,FALSE))^2),"")</f>
        <v/>
      </c>
      <c r="R53" s="14" t="str">
        <f>_xlfn.IFNA(SQRT((VLOOKUP(R$1,DATA!$A$3:$F$301,2,FALSE)-VLOOKUP($A53,DATA!$A$3:$F$301,2,FALSE))^2+(VLOOKUP(R$1,DATA!$A$3:$F$301,3,FALSE)-VLOOKUP($A53,DATA!$A$3:$F$301,3,FALSE))^2),"")</f>
        <v/>
      </c>
      <c r="S53" s="14" t="str">
        <f>_xlfn.IFNA(SQRT((VLOOKUP(S$1,DATA!$A$3:$F$301,2,FALSE)-VLOOKUP($A53,DATA!$A$3:$F$301,2,FALSE))^2+(VLOOKUP(S$1,DATA!$A$3:$F$301,3,FALSE)-VLOOKUP($A53,DATA!$A$3:$F$301,3,FALSE))^2),"")</f>
        <v/>
      </c>
      <c r="T53" s="14" t="str">
        <f>_xlfn.IFNA(SQRT((VLOOKUP(T$1,DATA!$A$3:$F$301,2,FALSE)-VLOOKUP($A53,DATA!$A$3:$F$301,2,FALSE))^2+(VLOOKUP(T$1,DATA!$A$3:$F$301,3,FALSE)-VLOOKUP($A53,DATA!$A$3:$F$301,3,FALSE))^2),"")</f>
        <v/>
      </c>
      <c r="U53" s="14" t="str">
        <f>_xlfn.IFNA(SQRT((VLOOKUP(U$1,DATA!$A$3:$F$301,2,FALSE)-VLOOKUP($A53,DATA!$A$3:$F$301,2,FALSE))^2+(VLOOKUP(U$1,DATA!$A$3:$F$301,3,FALSE)-VLOOKUP($A53,DATA!$A$3:$F$301,3,FALSE))^2),"")</f>
        <v/>
      </c>
      <c r="V53" s="14" t="str">
        <f>_xlfn.IFNA(SQRT((VLOOKUP(V$1,DATA!$A$3:$F$301,2,FALSE)-VLOOKUP($A53,DATA!$A$3:$F$301,2,FALSE))^2+(VLOOKUP(V$1,DATA!$A$3:$F$301,3,FALSE)-VLOOKUP($A53,DATA!$A$3:$F$301,3,FALSE))^2),"")</f>
        <v/>
      </c>
      <c r="W53" s="14" t="str">
        <f>_xlfn.IFNA(SQRT((VLOOKUP(W$1,DATA!$A$3:$F$301,2,FALSE)-VLOOKUP($A53,DATA!$A$3:$F$301,2,FALSE))^2+(VLOOKUP(W$1,DATA!$A$3:$F$301,3,FALSE)-VLOOKUP($A53,DATA!$A$3:$F$301,3,FALSE))^2),"")</f>
        <v/>
      </c>
      <c r="X53" s="14" t="str">
        <f>_xlfn.IFNA(SQRT((VLOOKUP(X$1,DATA!$A$3:$F$301,2,FALSE)-VLOOKUP($A53,DATA!$A$3:$F$301,2,FALSE))^2+(VLOOKUP(X$1,DATA!$A$3:$F$301,3,FALSE)-VLOOKUP($A53,DATA!$A$3:$F$301,3,FALSE))^2),"")</f>
        <v/>
      </c>
      <c r="Y53" s="14" t="str">
        <f>_xlfn.IFNA(SQRT((VLOOKUP(Y$1,DATA!$A$3:$F$301,2,FALSE)-VLOOKUP($A53,DATA!$A$3:$F$301,2,FALSE))^2+(VLOOKUP(Y$1,DATA!$A$3:$F$301,3,FALSE)-VLOOKUP($A53,DATA!$A$3:$F$301,3,FALSE))^2),"")</f>
        <v/>
      </c>
      <c r="Z53" s="14" t="str">
        <f>_xlfn.IFNA(SQRT((VLOOKUP(Z$1,DATA!$A$3:$F$301,2,FALSE)-VLOOKUP($A53,DATA!$A$3:$F$301,2,FALSE))^2+(VLOOKUP(Z$1,DATA!$A$3:$F$301,3,FALSE)-VLOOKUP($A53,DATA!$A$3:$F$301,3,FALSE))^2),"")</f>
        <v/>
      </c>
      <c r="AA53" s="14" t="str">
        <f>_xlfn.IFNA(SQRT((VLOOKUP(AA$1,DATA!$A$3:$F$301,2,FALSE)-VLOOKUP($A53,DATA!$A$3:$F$301,2,FALSE))^2+(VLOOKUP(AA$1,DATA!$A$3:$F$301,3,FALSE)-VLOOKUP($A53,DATA!$A$3:$F$301,3,FALSE))^2),"")</f>
        <v/>
      </c>
      <c r="AB53" s="14" t="str">
        <f>_xlfn.IFNA(SQRT((VLOOKUP(AB$1,DATA!$A$3:$F$301,2,FALSE)-VLOOKUP($A53,DATA!$A$3:$F$301,2,FALSE))^2+(VLOOKUP(AB$1,DATA!$A$3:$F$301,3,FALSE)-VLOOKUP($A53,DATA!$A$3:$F$301,3,FALSE))^2),"")</f>
        <v/>
      </c>
      <c r="AC53" s="14" t="str">
        <f>_xlfn.IFNA(SQRT((VLOOKUP(AC$1,DATA!$A$3:$F$301,2,FALSE)-VLOOKUP($A53,DATA!$A$3:$F$301,2,FALSE))^2+(VLOOKUP(AC$1,DATA!$A$3:$F$301,3,FALSE)-VLOOKUP($A53,DATA!$A$3:$F$301,3,FALSE))^2),"")</f>
        <v/>
      </c>
      <c r="AD53" s="14" t="str">
        <f>_xlfn.IFNA(SQRT((VLOOKUP(AD$1,DATA!$A$3:$F$301,2,FALSE)-VLOOKUP($A53,DATA!$A$3:$F$301,2,FALSE))^2+(VLOOKUP(AD$1,DATA!$A$3:$F$301,3,FALSE)-VLOOKUP($A53,DATA!$A$3:$F$301,3,FALSE))^2),"")</f>
        <v/>
      </c>
      <c r="AE53" s="14" t="str">
        <f>_xlfn.IFNA(SQRT((VLOOKUP(AE$1,DATA!$A$3:$F$301,2,FALSE)-VLOOKUP($A53,DATA!$A$3:$F$301,2,FALSE))^2+(VLOOKUP(AE$1,DATA!$A$3:$F$301,3,FALSE)-VLOOKUP($A53,DATA!$A$3:$F$301,3,FALSE))^2),"")</f>
        <v/>
      </c>
      <c r="AF53" s="14" t="str">
        <f>_xlfn.IFNA(SQRT((VLOOKUP(AF$1,DATA!$A$3:$F$301,2,FALSE)-VLOOKUP($A53,DATA!$A$3:$F$301,2,FALSE))^2+(VLOOKUP(AF$1,DATA!$A$3:$F$301,3,FALSE)-VLOOKUP($A53,DATA!$A$3:$F$301,3,FALSE))^2),"")</f>
        <v/>
      </c>
      <c r="AG53" s="14" t="str">
        <f>_xlfn.IFNA(SQRT((VLOOKUP(AG$1,DATA!$A$3:$F$301,2,FALSE)-VLOOKUP($A53,DATA!$A$3:$F$301,2,FALSE))^2+(VLOOKUP(AG$1,DATA!$A$3:$F$301,3,FALSE)-VLOOKUP($A53,DATA!$A$3:$F$301,3,FALSE))^2),"")</f>
        <v/>
      </c>
      <c r="AH53" s="14" t="str">
        <f>_xlfn.IFNA(SQRT((VLOOKUP(AH$1,DATA!$A$3:$F$301,2,FALSE)-VLOOKUP($A53,DATA!$A$3:$F$301,2,FALSE))^2+(VLOOKUP(AH$1,DATA!$A$3:$F$301,3,FALSE)-VLOOKUP($A53,DATA!$A$3:$F$301,3,FALSE))^2),"")</f>
        <v/>
      </c>
      <c r="AI53" s="14" t="str">
        <f>_xlfn.IFNA(SQRT((VLOOKUP(AI$1,DATA!$A$3:$F$301,2,FALSE)-VLOOKUP($A53,DATA!$A$3:$F$301,2,FALSE))^2+(VLOOKUP(AI$1,DATA!$A$3:$F$301,3,FALSE)-VLOOKUP($A53,DATA!$A$3:$F$301,3,FALSE))^2),"")</f>
        <v/>
      </c>
      <c r="AJ53" s="14" t="str">
        <f>_xlfn.IFNA(SQRT((VLOOKUP(AJ$1,DATA!$A$3:$F$301,2,FALSE)-VLOOKUP($A53,DATA!$A$3:$F$301,2,FALSE))^2+(VLOOKUP(AJ$1,DATA!$A$3:$F$301,3,FALSE)-VLOOKUP($A53,DATA!$A$3:$F$301,3,FALSE))^2),"")</f>
        <v/>
      </c>
      <c r="AK53" s="14" t="str">
        <f>_xlfn.IFNA(SQRT((VLOOKUP(AK$1,DATA!$A$3:$F$301,2,FALSE)-VLOOKUP($A53,DATA!$A$3:$F$301,2,FALSE))^2+(VLOOKUP(AK$1,DATA!$A$3:$F$301,3,FALSE)-VLOOKUP($A53,DATA!$A$3:$F$301,3,FALSE))^2),"")</f>
        <v/>
      </c>
      <c r="AL53" s="14" t="str">
        <f>_xlfn.IFNA(SQRT((VLOOKUP(AL$1,DATA!$A$3:$F$301,2,FALSE)-VLOOKUP($A53,DATA!$A$3:$F$301,2,FALSE))^2+(VLOOKUP(AL$1,DATA!$A$3:$F$301,3,FALSE)-VLOOKUP($A53,DATA!$A$3:$F$301,3,FALSE))^2),"")</f>
        <v/>
      </c>
      <c r="AM53" s="14" t="str">
        <f>_xlfn.IFNA(SQRT((VLOOKUP(AM$1,DATA!$A$3:$F$301,2,FALSE)-VLOOKUP($A53,DATA!$A$3:$F$301,2,FALSE))^2+(VLOOKUP(AM$1,DATA!$A$3:$F$301,3,FALSE)-VLOOKUP($A53,DATA!$A$3:$F$301,3,FALSE))^2),"")</f>
        <v/>
      </c>
      <c r="AN53" s="14" t="str">
        <f>_xlfn.IFNA(SQRT((VLOOKUP(AN$1,DATA!$A$3:$F$301,2,FALSE)-VLOOKUP($A53,DATA!$A$3:$F$301,2,FALSE))^2+(VLOOKUP(AN$1,DATA!$A$3:$F$301,3,FALSE)-VLOOKUP($A53,DATA!$A$3:$F$301,3,FALSE))^2),"")</f>
        <v/>
      </c>
      <c r="AO53" s="14" t="str">
        <f>_xlfn.IFNA(SQRT((VLOOKUP(AO$1,DATA!$A$3:$F$301,2,FALSE)-VLOOKUP($A53,DATA!$A$3:$F$301,2,FALSE))^2+(VLOOKUP(AO$1,DATA!$A$3:$F$301,3,FALSE)-VLOOKUP($A53,DATA!$A$3:$F$301,3,FALSE))^2),"")</f>
        <v/>
      </c>
      <c r="AP53" s="14" t="str">
        <f>_xlfn.IFNA(SQRT((VLOOKUP(AP$1,DATA!$A$3:$F$301,2,FALSE)-VLOOKUP($A53,DATA!$A$3:$F$301,2,FALSE))^2+(VLOOKUP(AP$1,DATA!$A$3:$F$301,3,FALSE)-VLOOKUP($A53,DATA!$A$3:$F$301,3,FALSE))^2),"")</f>
        <v/>
      </c>
      <c r="AQ53" s="14" t="str">
        <f>_xlfn.IFNA(SQRT((VLOOKUP(AQ$1,DATA!$A$3:$F$301,2,FALSE)-VLOOKUP($A53,DATA!$A$3:$F$301,2,FALSE))^2+(VLOOKUP(AQ$1,DATA!$A$3:$F$301,3,FALSE)-VLOOKUP($A53,DATA!$A$3:$F$301,3,FALSE))^2),"")</f>
        <v/>
      </c>
      <c r="AR53" s="14" t="str">
        <f>_xlfn.IFNA(SQRT((VLOOKUP(AR$1,DATA!$A$3:$F$301,2,FALSE)-VLOOKUP($A53,DATA!$A$3:$F$301,2,FALSE))^2+(VLOOKUP(AR$1,DATA!$A$3:$F$301,3,FALSE)-VLOOKUP($A53,DATA!$A$3:$F$301,3,FALSE))^2),"")</f>
        <v/>
      </c>
      <c r="AS53" s="14" t="str">
        <f>_xlfn.IFNA(SQRT((VLOOKUP(AS$1,DATA!$A$3:$F$301,2,FALSE)-VLOOKUP($A53,DATA!$A$3:$F$301,2,FALSE))^2+(VLOOKUP(AS$1,DATA!$A$3:$F$301,3,FALSE)-VLOOKUP($A53,DATA!$A$3:$F$301,3,FALSE))^2),"")</f>
        <v/>
      </c>
      <c r="AT53" s="14" t="str">
        <f>_xlfn.IFNA(SQRT((VLOOKUP(AT$1,DATA!$A$3:$F$301,2,FALSE)-VLOOKUP($A53,DATA!$A$3:$F$301,2,FALSE))^2+(VLOOKUP(AT$1,DATA!$A$3:$F$301,3,FALSE)-VLOOKUP($A53,DATA!$A$3:$F$301,3,FALSE))^2),"")</f>
        <v/>
      </c>
      <c r="AU53" s="14" t="str">
        <f>_xlfn.IFNA(SQRT((VLOOKUP(AU$1,DATA!$A$3:$F$301,2,FALSE)-VLOOKUP($A53,DATA!$A$3:$F$301,2,FALSE))^2+(VLOOKUP(AU$1,DATA!$A$3:$F$301,3,FALSE)-VLOOKUP($A53,DATA!$A$3:$F$301,3,FALSE))^2),"")</f>
        <v/>
      </c>
      <c r="AV53" s="14" t="str">
        <f>_xlfn.IFNA(SQRT((VLOOKUP(AV$1,DATA!$A$3:$F$301,2,FALSE)-VLOOKUP($A53,DATA!$A$3:$F$301,2,FALSE))^2+(VLOOKUP(AV$1,DATA!$A$3:$F$301,3,FALSE)-VLOOKUP($A53,DATA!$A$3:$F$301,3,FALSE))^2),"")</f>
        <v/>
      </c>
      <c r="AW53" s="14" t="str">
        <f>_xlfn.IFNA(SQRT((VLOOKUP(AW$1,DATA!$A$3:$F$301,2,FALSE)-VLOOKUP($A53,DATA!$A$3:$F$301,2,FALSE))^2+(VLOOKUP(AW$1,DATA!$A$3:$F$301,3,FALSE)-VLOOKUP($A53,DATA!$A$3:$F$301,3,FALSE))^2),"")</f>
        <v/>
      </c>
      <c r="AX53" s="14" t="str">
        <f>_xlfn.IFNA(SQRT((VLOOKUP(AX$1,DATA!$A$3:$F$301,2,FALSE)-VLOOKUP($A53,DATA!$A$3:$F$301,2,FALSE))^2+(VLOOKUP(AX$1,DATA!$A$3:$F$301,3,FALSE)-VLOOKUP($A53,DATA!$A$3:$F$301,3,FALSE))^2),"")</f>
        <v/>
      </c>
      <c r="AY53" s="14" t="str">
        <f>_xlfn.IFNA(SQRT((VLOOKUP(AY$1,DATA!$A$3:$F$301,2,FALSE)-VLOOKUP($A53,DATA!$A$3:$F$301,2,FALSE))^2+(VLOOKUP(AY$1,DATA!$A$3:$F$301,3,FALSE)-VLOOKUP($A53,DATA!$A$3:$F$301,3,FALSE))^2),"")</f>
        <v/>
      </c>
      <c r="AZ53" s="14" t="str">
        <f>_xlfn.IFNA(SQRT((VLOOKUP(AZ$1,DATA!$A$3:$F$301,2,FALSE)-VLOOKUP($A53,DATA!$A$3:$F$301,2,FALSE))^2+(VLOOKUP(AZ$1,DATA!$A$3:$F$301,3,FALSE)-VLOOKUP($A53,DATA!$A$3:$F$301,3,FALSE))^2),"")</f>
        <v/>
      </c>
      <c r="BA53" s="14" t="str">
        <f>_xlfn.IFNA(SQRT((VLOOKUP(BA$1,DATA!$A$3:$F$301,2,FALSE)-VLOOKUP($A53,DATA!$A$3:$F$301,2,FALSE))^2+(VLOOKUP(BA$1,DATA!$A$3:$F$301,3,FALSE)-VLOOKUP($A53,DATA!$A$3:$F$301,3,FALSE))^2),"")</f>
        <v/>
      </c>
      <c r="BB53" s="14" t="str">
        <f>_xlfn.IFNA(SQRT((VLOOKUP(BB$1,DATA!$A$3:$F$301,2,FALSE)-VLOOKUP($A53,DATA!$A$3:$F$301,2,FALSE))^2+(VLOOKUP(BB$1,DATA!$A$3:$F$301,3,FALSE)-VLOOKUP($A53,DATA!$A$3:$F$301,3,FALSE))^2),"")</f>
        <v/>
      </c>
      <c r="BC53" s="14" t="str">
        <f>_xlfn.IFNA(SQRT((VLOOKUP(BC$1,DATA!$A$3:$F$301,2,FALSE)-VLOOKUP($A53,DATA!$A$3:$F$301,2,FALSE))^2+(VLOOKUP(BC$1,DATA!$A$3:$F$301,3,FALSE)-VLOOKUP($A53,DATA!$A$3:$F$301,3,FALSE))^2),"")</f>
        <v/>
      </c>
      <c r="BD53" s="14" t="str">
        <f>_xlfn.IFNA(SQRT((VLOOKUP(BD$1,DATA!$A$3:$F$301,2,FALSE)-VLOOKUP($A53,DATA!$A$3:$F$301,2,FALSE))^2+(VLOOKUP(BD$1,DATA!$A$3:$F$301,3,FALSE)-VLOOKUP($A53,DATA!$A$3:$F$301,3,FALSE))^2),"")</f>
        <v/>
      </c>
      <c r="BE53" s="14" t="str">
        <f>_xlfn.IFNA(SQRT((VLOOKUP(BE$1,DATA!$A$3:$F$301,2,FALSE)-VLOOKUP($A53,DATA!$A$3:$F$301,2,FALSE))^2+(VLOOKUP(BE$1,DATA!$A$3:$F$301,3,FALSE)-VLOOKUP($A53,DATA!$A$3:$F$301,3,FALSE))^2),"")</f>
        <v/>
      </c>
      <c r="BF53" s="14" t="str">
        <f>_xlfn.IFNA(SQRT((VLOOKUP(BF$1,DATA!$A$3:$F$301,2,FALSE)-VLOOKUP($A53,DATA!$A$3:$F$301,2,FALSE))^2+(VLOOKUP(BF$1,DATA!$A$3:$F$301,3,FALSE)-VLOOKUP($A53,DATA!$A$3:$F$301,3,FALSE))^2),"")</f>
        <v/>
      </c>
      <c r="BG53" s="14" t="str">
        <f>_xlfn.IFNA(SQRT((VLOOKUP(BG$1,DATA!$A$3:$F$301,2,FALSE)-VLOOKUP($A53,DATA!$A$3:$F$301,2,FALSE))^2+(VLOOKUP(BG$1,DATA!$A$3:$F$301,3,FALSE)-VLOOKUP($A53,DATA!$A$3:$F$301,3,FALSE))^2),"")</f>
        <v/>
      </c>
      <c r="BH53" s="14" t="str">
        <f>_xlfn.IFNA(SQRT((VLOOKUP(BH$1,DATA!$A$3:$F$301,2,FALSE)-VLOOKUP($A53,DATA!$A$3:$F$301,2,FALSE))^2+(VLOOKUP(BH$1,DATA!$A$3:$F$301,3,FALSE)-VLOOKUP($A53,DATA!$A$3:$F$301,3,FALSE))^2),"")</f>
        <v/>
      </c>
      <c r="BI53" s="14" t="str">
        <f>_xlfn.IFNA(SQRT((VLOOKUP(BI$1,DATA!$A$3:$F$301,2,FALSE)-VLOOKUP($A53,DATA!$A$3:$F$301,2,FALSE))^2+(VLOOKUP(BI$1,DATA!$A$3:$F$301,3,FALSE)-VLOOKUP($A53,DATA!$A$3:$F$301,3,FALSE))^2),"")</f>
        <v/>
      </c>
      <c r="BJ53" s="14" t="str">
        <f>_xlfn.IFNA(SQRT((VLOOKUP(BJ$1,DATA!$A$3:$F$301,2,FALSE)-VLOOKUP($A53,DATA!$A$3:$F$301,2,FALSE))^2+(VLOOKUP(BJ$1,DATA!$A$3:$F$301,3,FALSE)-VLOOKUP($A53,DATA!$A$3:$F$301,3,FALSE))^2),"")</f>
        <v/>
      </c>
      <c r="BK53" s="14" t="str">
        <f>_xlfn.IFNA(SQRT((VLOOKUP(BK$1,DATA!$A$3:$F$301,2,FALSE)-VLOOKUP($A53,DATA!$A$3:$F$301,2,FALSE))^2+(VLOOKUP(BK$1,DATA!$A$3:$F$301,3,FALSE)-VLOOKUP($A53,DATA!$A$3:$F$301,3,FALSE))^2),"")</f>
        <v/>
      </c>
      <c r="BL53" s="14" t="str">
        <f>_xlfn.IFNA(SQRT((VLOOKUP(BL$1,DATA!$A$3:$F$301,2,FALSE)-VLOOKUP($A53,DATA!$A$3:$F$301,2,FALSE))^2+(VLOOKUP(BL$1,DATA!$A$3:$F$301,3,FALSE)-VLOOKUP($A53,DATA!$A$3:$F$301,3,FALSE))^2),"")</f>
        <v/>
      </c>
      <c r="BM53" s="14" t="str">
        <f>_xlfn.IFNA(SQRT((VLOOKUP(BM$1,DATA!$A$3:$F$301,2,FALSE)-VLOOKUP($A53,DATA!$A$3:$F$301,2,FALSE))^2+(VLOOKUP(BM$1,DATA!$A$3:$F$301,3,FALSE)-VLOOKUP($A53,DATA!$A$3:$F$301,3,FALSE))^2),"")</f>
        <v/>
      </c>
      <c r="BN53" s="14" t="str">
        <f>_xlfn.IFNA(SQRT((VLOOKUP(BN$1,DATA!$A$3:$F$301,2,FALSE)-VLOOKUP($A53,DATA!$A$3:$F$301,2,FALSE))^2+(VLOOKUP(BN$1,DATA!$A$3:$F$301,3,FALSE)-VLOOKUP($A53,DATA!$A$3:$F$301,3,FALSE))^2),"")</f>
        <v/>
      </c>
      <c r="BO53" s="14" t="str">
        <f>_xlfn.IFNA(SQRT((VLOOKUP(BO$1,DATA!$A$3:$F$301,2,FALSE)-VLOOKUP($A53,DATA!$A$3:$F$301,2,FALSE))^2+(VLOOKUP(BO$1,DATA!$A$3:$F$301,3,FALSE)-VLOOKUP($A53,DATA!$A$3:$F$301,3,FALSE))^2),"")</f>
        <v/>
      </c>
      <c r="BP53" s="14" t="str">
        <f>_xlfn.IFNA(SQRT((VLOOKUP(BP$1,DATA!$A$3:$F$301,2,FALSE)-VLOOKUP($A53,DATA!$A$3:$F$301,2,FALSE))^2+(VLOOKUP(BP$1,DATA!$A$3:$F$301,3,FALSE)-VLOOKUP($A53,DATA!$A$3:$F$301,3,FALSE))^2),"")</f>
        <v/>
      </c>
      <c r="BQ53" s="14" t="str">
        <f>_xlfn.IFNA(SQRT((VLOOKUP(BQ$1,DATA!$A$3:$F$301,2,FALSE)-VLOOKUP($A53,DATA!$A$3:$F$301,2,FALSE))^2+(VLOOKUP(BQ$1,DATA!$A$3:$F$301,3,FALSE)-VLOOKUP($A53,DATA!$A$3:$F$301,3,FALSE))^2),"")</f>
        <v/>
      </c>
      <c r="BR53" s="14" t="str">
        <f>_xlfn.IFNA(SQRT((VLOOKUP(BR$1,DATA!$A$3:$F$301,2,FALSE)-VLOOKUP($A53,DATA!$A$3:$F$301,2,FALSE))^2+(VLOOKUP(BR$1,DATA!$A$3:$F$301,3,FALSE)-VLOOKUP($A53,DATA!$A$3:$F$301,3,FALSE))^2),"")</f>
        <v/>
      </c>
      <c r="BS53" s="14" t="str">
        <f>_xlfn.IFNA(SQRT((VLOOKUP(BS$1,DATA!$A$3:$F$301,2,FALSE)-VLOOKUP($A53,DATA!$A$3:$F$301,2,FALSE))^2+(VLOOKUP(BS$1,DATA!$A$3:$F$301,3,FALSE)-VLOOKUP($A53,DATA!$A$3:$F$301,3,FALSE))^2),"")</f>
        <v/>
      </c>
      <c r="BT53" s="14" t="str">
        <f>_xlfn.IFNA(SQRT((VLOOKUP(BT$1,DATA!$A$3:$F$301,2,FALSE)-VLOOKUP($A53,DATA!$A$3:$F$301,2,FALSE))^2+(VLOOKUP(BT$1,DATA!$A$3:$F$301,3,FALSE)-VLOOKUP($A53,DATA!$A$3:$F$301,3,FALSE))^2),"")</f>
        <v/>
      </c>
      <c r="BU53" s="14" t="str">
        <f>_xlfn.IFNA(SQRT((VLOOKUP(BU$1,DATA!$A$3:$F$301,2,FALSE)-VLOOKUP($A53,DATA!$A$3:$F$301,2,FALSE))^2+(VLOOKUP(BU$1,DATA!$A$3:$F$301,3,FALSE)-VLOOKUP($A53,DATA!$A$3:$F$301,3,FALSE))^2),"")</f>
        <v/>
      </c>
      <c r="BV53" s="14" t="str">
        <f>_xlfn.IFNA(SQRT((VLOOKUP(BV$1,DATA!$A$3:$F$301,2,FALSE)-VLOOKUP($A53,DATA!$A$3:$F$301,2,FALSE))^2+(VLOOKUP(BV$1,DATA!$A$3:$F$301,3,FALSE)-VLOOKUP($A53,DATA!$A$3:$F$301,3,FALSE))^2),"")</f>
        <v/>
      </c>
      <c r="BW53" s="14" t="str">
        <f>_xlfn.IFNA(SQRT((VLOOKUP(BW$1,DATA!$A$3:$F$301,2,FALSE)-VLOOKUP($A53,DATA!$A$3:$F$301,2,FALSE))^2+(VLOOKUP(BW$1,DATA!$A$3:$F$301,3,FALSE)-VLOOKUP($A53,DATA!$A$3:$F$301,3,FALSE))^2),"")</f>
        <v/>
      </c>
      <c r="BX53" s="14" t="str">
        <f>_xlfn.IFNA(SQRT((VLOOKUP(BX$1,DATA!$A$3:$F$301,2,FALSE)-VLOOKUP($A53,DATA!$A$3:$F$301,2,FALSE))^2+(VLOOKUP(BX$1,DATA!$A$3:$F$301,3,FALSE)-VLOOKUP($A53,DATA!$A$3:$F$301,3,FALSE))^2),"")</f>
        <v/>
      </c>
      <c r="BY53" s="14" t="str">
        <f>_xlfn.IFNA(SQRT((VLOOKUP(BY$1,DATA!$A$3:$F$301,2,FALSE)-VLOOKUP($A53,DATA!$A$3:$F$301,2,FALSE))^2+(VLOOKUP(BY$1,DATA!$A$3:$F$301,3,FALSE)-VLOOKUP($A53,DATA!$A$3:$F$301,3,FALSE))^2),"")</f>
        <v/>
      </c>
      <c r="BZ53" s="14" t="str">
        <f>_xlfn.IFNA(SQRT((VLOOKUP(BZ$1,DATA!$A$3:$F$301,2,FALSE)-VLOOKUP($A53,DATA!$A$3:$F$301,2,FALSE))^2+(VLOOKUP(BZ$1,DATA!$A$3:$F$301,3,FALSE)-VLOOKUP($A53,DATA!$A$3:$F$301,3,FALSE))^2),"")</f>
        <v/>
      </c>
      <c r="CA53" s="14" t="str">
        <f>_xlfn.IFNA(SQRT((VLOOKUP(CA$1,DATA!$A$3:$F$301,2,FALSE)-VLOOKUP($A53,DATA!$A$3:$F$301,2,FALSE))^2+(VLOOKUP(CA$1,DATA!$A$3:$F$301,3,FALSE)-VLOOKUP($A53,DATA!$A$3:$F$301,3,FALSE))^2),"")</f>
        <v/>
      </c>
      <c r="CB53" s="14" t="str">
        <f>_xlfn.IFNA(SQRT((VLOOKUP(CB$1,DATA!$A$3:$F$301,2,FALSE)-VLOOKUP($A53,DATA!$A$3:$F$301,2,FALSE))^2+(VLOOKUP(CB$1,DATA!$A$3:$F$301,3,FALSE)-VLOOKUP($A53,DATA!$A$3:$F$301,3,FALSE))^2),"")</f>
        <v/>
      </c>
      <c r="CC53" s="14" t="str">
        <f>_xlfn.IFNA(SQRT((VLOOKUP(CC$1,DATA!$A$3:$F$301,2,FALSE)-VLOOKUP($A53,DATA!$A$3:$F$301,2,FALSE))^2+(VLOOKUP(CC$1,DATA!$A$3:$F$301,3,FALSE)-VLOOKUP($A53,DATA!$A$3:$F$301,3,FALSE))^2),"")</f>
        <v/>
      </c>
      <c r="CD53" s="14" t="str">
        <f>_xlfn.IFNA(SQRT((VLOOKUP(CD$1,DATA!$A$3:$F$301,2,FALSE)-VLOOKUP($A53,DATA!$A$3:$F$301,2,FALSE))^2+(VLOOKUP(CD$1,DATA!$A$3:$F$301,3,FALSE)-VLOOKUP($A53,DATA!$A$3:$F$301,3,FALSE))^2),"")</f>
        <v/>
      </c>
      <c r="CE53" s="14" t="str">
        <f>_xlfn.IFNA(SQRT((VLOOKUP(CE$1,DATA!$A$3:$F$301,2,FALSE)-VLOOKUP($A53,DATA!$A$3:$F$301,2,FALSE))^2+(VLOOKUP(CE$1,DATA!$A$3:$F$301,3,FALSE)-VLOOKUP($A53,DATA!$A$3:$F$301,3,FALSE))^2),"")</f>
        <v/>
      </c>
      <c r="CF53" s="14" t="str">
        <f>_xlfn.IFNA(SQRT((VLOOKUP(CF$1,DATA!$A$3:$F$301,2,FALSE)-VLOOKUP($A53,DATA!$A$3:$F$301,2,FALSE))^2+(VLOOKUP(CF$1,DATA!$A$3:$F$301,3,FALSE)-VLOOKUP($A53,DATA!$A$3:$F$301,3,FALSE))^2),"")</f>
        <v/>
      </c>
      <c r="CG53" s="14" t="str">
        <f>_xlfn.IFNA(SQRT((VLOOKUP(CG$1,DATA!$A$3:$F$301,2,FALSE)-VLOOKUP($A53,DATA!$A$3:$F$301,2,FALSE))^2+(VLOOKUP(CG$1,DATA!$A$3:$F$301,3,FALSE)-VLOOKUP($A53,DATA!$A$3:$F$301,3,FALSE))^2),"")</f>
        <v/>
      </c>
      <c r="CH53" s="14" t="str">
        <f>_xlfn.IFNA(SQRT((VLOOKUP(CH$1,DATA!$A$3:$F$301,2,FALSE)-VLOOKUP($A53,DATA!$A$3:$F$301,2,FALSE))^2+(VLOOKUP(CH$1,DATA!$A$3:$F$301,3,FALSE)-VLOOKUP($A53,DATA!$A$3:$F$301,3,FALSE))^2),"")</f>
        <v/>
      </c>
      <c r="CI53" s="14" t="str">
        <f>_xlfn.IFNA(SQRT((VLOOKUP(CI$1,DATA!$A$3:$F$301,2,FALSE)-VLOOKUP($A53,DATA!$A$3:$F$301,2,FALSE))^2+(VLOOKUP(CI$1,DATA!$A$3:$F$301,3,FALSE)-VLOOKUP($A53,DATA!$A$3:$F$301,3,FALSE))^2),"")</f>
        <v/>
      </c>
      <c r="CJ53" s="14" t="str">
        <f>_xlfn.IFNA(SQRT((VLOOKUP(CJ$1,DATA!$A$3:$F$301,2,FALSE)-VLOOKUP($A53,DATA!$A$3:$F$301,2,FALSE))^2+(VLOOKUP(CJ$1,DATA!$A$3:$F$301,3,FALSE)-VLOOKUP($A53,DATA!$A$3:$F$301,3,FALSE))^2),"")</f>
        <v/>
      </c>
      <c r="CK53" s="14" t="str">
        <f>_xlfn.IFNA(SQRT((VLOOKUP(CK$1,DATA!$A$3:$F$301,2,FALSE)-VLOOKUP($A53,DATA!$A$3:$F$301,2,FALSE))^2+(VLOOKUP(CK$1,DATA!$A$3:$F$301,3,FALSE)-VLOOKUP($A53,DATA!$A$3:$F$301,3,FALSE))^2),"")</f>
        <v/>
      </c>
      <c r="CL53" s="14" t="str">
        <f>_xlfn.IFNA(SQRT((VLOOKUP(CL$1,DATA!$A$3:$F$301,2,FALSE)-VLOOKUP($A53,DATA!$A$3:$F$301,2,FALSE))^2+(VLOOKUP(CL$1,DATA!$A$3:$F$301,3,FALSE)-VLOOKUP($A53,DATA!$A$3:$F$301,3,FALSE))^2),"")</f>
        <v/>
      </c>
      <c r="CM53" s="14" t="str">
        <f>_xlfn.IFNA(SQRT((VLOOKUP(CM$1,DATA!$A$3:$F$301,2,FALSE)-VLOOKUP($A53,DATA!$A$3:$F$301,2,FALSE))^2+(VLOOKUP(CM$1,DATA!$A$3:$F$301,3,FALSE)-VLOOKUP($A53,DATA!$A$3:$F$301,3,FALSE))^2),"")</f>
        <v/>
      </c>
      <c r="CN53" s="14" t="str">
        <f>_xlfn.IFNA(SQRT((VLOOKUP(CN$1,DATA!$A$3:$F$301,2,FALSE)-VLOOKUP($A53,DATA!$A$3:$F$301,2,FALSE))^2+(VLOOKUP(CN$1,DATA!$A$3:$F$301,3,FALSE)-VLOOKUP($A53,DATA!$A$3:$F$301,3,FALSE))^2),"")</f>
        <v/>
      </c>
      <c r="CO53" s="14" t="str">
        <f>_xlfn.IFNA(SQRT((VLOOKUP(CO$1,DATA!$A$3:$F$301,2,FALSE)-VLOOKUP($A53,DATA!$A$3:$F$301,2,FALSE))^2+(VLOOKUP(CO$1,DATA!$A$3:$F$301,3,FALSE)-VLOOKUP($A53,DATA!$A$3:$F$301,3,FALSE))^2),"")</f>
        <v/>
      </c>
      <c r="CP53" s="14" t="str">
        <f>_xlfn.IFNA(SQRT((VLOOKUP(CP$1,DATA!$A$3:$F$301,2,FALSE)-VLOOKUP($A53,DATA!$A$3:$F$301,2,FALSE))^2+(VLOOKUP(CP$1,DATA!$A$3:$F$301,3,FALSE)-VLOOKUP($A53,DATA!$A$3:$F$301,3,FALSE))^2),"")</f>
        <v/>
      </c>
      <c r="CQ53" s="14" t="str">
        <f>_xlfn.IFNA(SQRT((VLOOKUP(CQ$1,DATA!$A$3:$F$301,2,FALSE)-VLOOKUP($A53,DATA!$A$3:$F$301,2,FALSE))^2+(VLOOKUP(CQ$1,DATA!$A$3:$F$301,3,FALSE)-VLOOKUP($A53,DATA!$A$3:$F$301,3,FALSE))^2),"")</f>
        <v/>
      </c>
      <c r="CR53" s="14" t="str">
        <f>_xlfn.IFNA(SQRT((VLOOKUP(CR$1,DATA!$A$3:$F$301,2,FALSE)-VLOOKUP($A53,DATA!$A$3:$F$301,2,FALSE))^2+(VLOOKUP(CR$1,DATA!$A$3:$F$301,3,FALSE)-VLOOKUP($A53,DATA!$A$3:$F$301,3,FALSE))^2),"")</f>
        <v/>
      </c>
      <c r="CS53" s="14" t="str">
        <f>_xlfn.IFNA(SQRT((VLOOKUP(CS$1,DATA!$A$3:$F$301,2,FALSE)-VLOOKUP($A53,DATA!$A$3:$F$301,2,FALSE))^2+(VLOOKUP(CS$1,DATA!$A$3:$F$301,3,FALSE)-VLOOKUP($A53,DATA!$A$3:$F$301,3,FALSE))^2),"")</f>
        <v/>
      </c>
      <c r="CT53" s="14" t="str">
        <f>_xlfn.IFNA(SQRT((VLOOKUP(CT$1,DATA!$A$3:$F$301,2,FALSE)-VLOOKUP($A53,DATA!$A$3:$F$301,2,FALSE))^2+(VLOOKUP(CT$1,DATA!$A$3:$F$301,3,FALSE)-VLOOKUP($A53,DATA!$A$3:$F$301,3,FALSE))^2),"")</f>
        <v/>
      </c>
      <c r="CU53" s="14" t="str">
        <f>_xlfn.IFNA(SQRT((VLOOKUP(CU$1,DATA!$A$3:$F$301,2,FALSE)-VLOOKUP($A53,DATA!$A$3:$F$301,2,FALSE))^2+(VLOOKUP(CU$1,DATA!$A$3:$F$301,3,FALSE)-VLOOKUP($A53,DATA!$A$3:$F$301,3,FALSE))^2),"")</f>
        <v/>
      </c>
      <c r="CV53" s="14" t="str">
        <f>_xlfn.IFNA(SQRT((VLOOKUP(CV$1,DATA!$A$3:$F$301,2,FALSE)-VLOOKUP($A53,DATA!$A$3:$F$301,2,FALSE))^2+(VLOOKUP(CV$1,DATA!$A$3:$F$301,3,FALSE)-VLOOKUP($A53,DATA!$A$3:$F$301,3,FALSE))^2),"")</f>
        <v/>
      </c>
      <c r="CW53" s="14" t="str">
        <f>_xlfn.IFNA(SQRT((VLOOKUP(CW$1,DATA!$A$3:$F$301,2,FALSE)-VLOOKUP($A53,DATA!$A$3:$F$301,2,FALSE))^2+(VLOOKUP(CW$1,DATA!$A$3:$F$301,3,FALSE)-VLOOKUP($A53,DATA!$A$3:$F$301,3,FALSE))^2),"")</f>
        <v/>
      </c>
      <c r="CX53" s="14" t="str">
        <f>_xlfn.IFNA(SQRT((VLOOKUP(CX$1,DATA!$A$3:$F$301,2,FALSE)-VLOOKUP($A53,DATA!$A$3:$F$301,2,FALSE))^2+(VLOOKUP(CX$1,DATA!$A$3:$F$301,3,FALSE)-VLOOKUP($A53,DATA!$A$3:$F$301,3,FALSE))^2),"")</f>
        <v/>
      </c>
    </row>
    <row r="54" spans="1:102">
      <c r="A54" s="13">
        <v>53</v>
      </c>
      <c r="B54" s="14" t="str">
        <f>_xlfn.IFNA(SQRT((VLOOKUP(B$1,DATA!$A$3:$F$301,2,FALSE)-VLOOKUP($A54,DATA!$A$3:$F$301,2,FALSE))^2+(VLOOKUP(B$1,DATA!$A$3:$F$301,3,FALSE)-VLOOKUP($A54,DATA!$A$3:$F$301,3,FALSE))^2),"")</f>
        <v/>
      </c>
      <c r="C54" s="14" t="str">
        <f>_xlfn.IFNA(SQRT((VLOOKUP(C$1,DATA!$A$3:$F$301,2,FALSE)-VLOOKUP($A54,DATA!$A$3:$F$301,2,FALSE))^2+(VLOOKUP(C$1,DATA!$A$3:$F$301,3,FALSE)-VLOOKUP($A54,DATA!$A$3:$F$301,3,FALSE))^2),"")</f>
        <v/>
      </c>
      <c r="D54" s="14" t="str">
        <f>_xlfn.IFNA(SQRT((VLOOKUP(D$1,DATA!$A$3:$F$301,2,FALSE)-VLOOKUP($A54,DATA!$A$3:$F$301,2,FALSE))^2+(VLOOKUP(D$1,DATA!$A$3:$F$301,3,FALSE)-VLOOKUP($A54,DATA!$A$3:$F$301,3,FALSE))^2),"")</f>
        <v/>
      </c>
      <c r="E54" s="14" t="str">
        <f>_xlfn.IFNA(SQRT((VLOOKUP(E$1,DATA!$A$3:$F$301,2,FALSE)-VLOOKUP($A54,DATA!$A$3:$F$301,2,FALSE))^2+(VLOOKUP(E$1,DATA!$A$3:$F$301,3,FALSE)-VLOOKUP($A54,DATA!$A$3:$F$301,3,FALSE))^2),"")</f>
        <v/>
      </c>
      <c r="F54" s="14" t="str">
        <f>_xlfn.IFNA(SQRT((VLOOKUP(F$1,DATA!$A$3:$F$301,2,FALSE)-VLOOKUP($A54,DATA!$A$3:$F$301,2,FALSE))^2+(VLOOKUP(F$1,DATA!$A$3:$F$301,3,FALSE)-VLOOKUP($A54,DATA!$A$3:$F$301,3,FALSE))^2),"")</f>
        <v/>
      </c>
      <c r="G54" s="14" t="str">
        <f>_xlfn.IFNA(SQRT((VLOOKUP(G$1,DATA!$A$3:$F$301,2,FALSE)-VLOOKUP($A54,DATA!$A$3:$F$301,2,FALSE))^2+(VLOOKUP(G$1,DATA!$A$3:$F$301,3,FALSE)-VLOOKUP($A54,DATA!$A$3:$F$301,3,FALSE))^2),"")</f>
        <v/>
      </c>
      <c r="H54" s="14" t="str">
        <f>_xlfn.IFNA(SQRT((VLOOKUP(H$1,DATA!$A$3:$F$301,2,FALSE)-VLOOKUP($A54,DATA!$A$3:$F$301,2,FALSE))^2+(VLOOKUP(H$1,DATA!$A$3:$F$301,3,FALSE)-VLOOKUP($A54,DATA!$A$3:$F$301,3,FALSE))^2),"")</f>
        <v/>
      </c>
      <c r="I54" s="14" t="str">
        <f>_xlfn.IFNA(SQRT((VLOOKUP(I$1,DATA!$A$3:$F$301,2,FALSE)-VLOOKUP($A54,DATA!$A$3:$F$301,2,FALSE))^2+(VLOOKUP(I$1,DATA!$A$3:$F$301,3,FALSE)-VLOOKUP($A54,DATA!$A$3:$F$301,3,FALSE))^2),"")</f>
        <v/>
      </c>
      <c r="J54" s="14" t="str">
        <f>_xlfn.IFNA(SQRT((VLOOKUP(J$1,DATA!$A$3:$F$301,2,FALSE)-VLOOKUP($A54,DATA!$A$3:$F$301,2,FALSE))^2+(VLOOKUP(J$1,DATA!$A$3:$F$301,3,FALSE)-VLOOKUP($A54,DATA!$A$3:$F$301,3,FALSE))^2),"")</f>
        <v/>
      </c>
      <c r="K54" s="14" t="str">
        <f>_xlfn.IFNA(SQRT((VLOOKUP(K$1,DATA!$A$3:$F$301,2,FALSE)-VLOOKUP($A54,DATA!$A$3:$F$301,2,FALSE))^2+(VLOOKUP(K$1,DATA!$A$3:$F$301,3,FALSE)-VLOOKUP($A54,DATA!$A$3:$F$301,3,FALSE))^2),"")</f>
        <v/>
      </c>
      <c r="L54" s="14" t="str">
        <f>_xlfn.IFNA(SQRT((VLOOKUP(L$1,DATA!$A$3:$F$301,2,FALSE)-VLOOKUP($A54,DATA!$A$3:$F$301,2,FALSE))^2+(VLOOKUP(L$1,DATA!$A$3:$F$301,3,FALSE)-VLOOKUP($A54,DATA!$A$3:$F$301,3,FALSE))^2),"")</f>
        <v/>
      </c>
      <c r="M54" s="14" t="str">
        <f>_xlfn.IFNA(SQRT((VLOOKUP(M$1,DATA!$A$3:$F$301,2,FALSE)-VLOOKUP($A54,DATA!$A$3:$F$301,2,FALSE))^2+(VLOOKUP(M$1,DATA!$A$3:$F$301,3,FALSE)-VLOOKUP($A54,DATA!$A$3:$F$301,3,FALSE))^2),"")</f>
        <v/>
      </c>
      <c r="N54" s="14" t="str">
        <f>_xlfn.IFNA(SQRT((VLOOKUP(N$1,DATA!$A$3:$F$301,2,FALSE)-VLOOKUP($A54,DATA!$A$3:$F$301,2,FALSE))^2+(VLOOKUP(N$1,DATA!$A$3:$F$301,3,FALSE)-VLOOKUP($A54,DATA!$A$3:$F$301,3,FALSE))^2),"")</f>
        <v/>
      </c>
      <c r="O54" s="14" t="str">
        <f>_xlfn.IFNA(SQRT((VLOOKUP(O$1,DATA!$A$3:$F$301,2,FALSE)-VLOOKUP($A54,DATA!$A$3:$F$301,2,FALSE))^2+(VLOOKUP(O$1,DATA!$A$3:$F$301,3,FALSE)-VLOOKUP($A54,DATA!$A$3:$F$301,3,FALSE))^2),"")</f>
        <v/>
      </c>
      <c r="P54" s="14" t="str">
        <f>_xlfn.IFNA(SQRT((VLOOKUP(P$1,DATA!$A$3:$F$301,2,FALSE)-VLOOKUP($A54,DATA!$A$3:$F$301,2,FALSE))^2+(VLOOKUP(P$1,DATA!$A$3:$F$301,3,FALSE)-VLOOKUP($A54,DATA!$A$3:$F$301,3,FALSE))^2),"")</f>
        <v/>
      </c>
      <c r="Q54" s="14" t="str">
        <f>_xlfn.IFNA(SQRT((VLOOKUP(Q$1,DATA!$A$3:$F$301,2,FALSE)-VLOOKUP($A54,DATA!$A$3:$F$301,2,FALSE))^2+(VLOOKUP(Q$1,DATA!$A$3:$F$301,3,FALSE)-VLOOKUP($A54,DATA!$A$3:$F$301,3,FALSE))^2),"")</f>
        <v/>
      </c>
      <c r="R54" s="14" t="str">
        <f>_xlfn.IFNA(SQRT((VLOOKUP(R$1,DATA!$A$3:$F$301,2,FALSE)-VLOOKUP($A54,DATA!$A$3:$F$301,2,FALSE))^2+(VLOOKUP(R$1,DATA!$A$3:$F$301,3,FALSE)-VLOOKUP($A54,DATA!$A$3:$F$301,3,FALSE))^2),"")</f>
        <v/>
      </c>
      <c r="S54" s="14" t="str">
        <f>_xlfn.IFNA(SQRT((VLOOKUP(S$1,DATA!$A$3:$F$301,2,FALSE)-VLOOKUP($A54,DATA!$A$3:$F$301,2,FALSE))^2+(VLOOKUP(S$1,DATA!$A$3:$F$301,3,FALSE)-VLOOKUP($A54,DATA!$A$3:$F$301,3,FALSE))^2),"")</f>
        <v/>
      </c>
      <c r="T54" s="14" t="str">
        <f>_xlfn.IFNA(SQRT((VLOOKUP(T$1,DATA!$A$3:$F$301,2,FALSE)-VLOOKUP($A54,DATA!$A$3:$F$301,2,FALSE))^2+(VLOOKUP(T$1,DATA!$A$3:$F$301,3,FALSE)-VLOOKUP($A54,DATA!$A$3:$F$301,3,FALSE))^2),"")</f>
        <v/>
      </c>
      <c r="U54" s="14" t="str">
        <f>_xlfn.IFNA(SQRT((VLOOKUP(U$1,DATA!$A$3:$F$301,2,FALSE)-VLOOKUP($A54,DATA!$A$3:$F$301,2,FALSE))^2+(VLOOKUP(U$1,DATA!$A$3:$F$301,3,FALSE)-VLOOKUP($A54,DATA!$A$3:$F$301,3,FALSE))^2),"")</f>
        <v/>
      </c>
      <c r="V54" s="14" t="str">
        <f>_xlfn.IFNA(SQRT((VLOOKUP(V$1,DATA!$A$3:$F$301,2,FALSE)-VLOOKUP($A54,DATA!$A$3:$F$301,2,FALSE))^2+(VLOOKUP(V$1,DATA!$A$3:$F$301,3,FALSE)-VLOOKUP($A54,DATA!$A$3:$F$301,3,FALSE))^2),"")</f>
        <v/>
      </c>
      <c r="W54" s="14" t="str">
        <f>_xlfn.IFNA(SQRT((VLOOKUP(W$1,DATA!$A$3:$F$301,2,FALSE)-VLOOKUP($A54,DATA!$A$3:$F$301,2,FALSE))^2+(VLOOKUP(W$1,DATA!$A$3:$F$301,3,FALSE)-VLOOKUP($A54,DATA!$A$3:$F$301,3,FALSE))^2),"")</f>
        <v/>
      </c>
      <c r="X54" s="14" t="str">
        <f>_xlfn.IFNA(SQRT((VLOOKUP(X$1,DATA!$A$3:$F$301,2,FALSE)-VLOOKUP($A54,DATA!$A$3:$F$301,2,FALSE))^2+(VLOOKUP(X$1,DATA!$A$3:$F$301,3,FALSE)-VLOOKUP($A54,DATA!$A$3:$F$301,3,FALSE))^2),"")</f>
        <v/>
      </c>
      <c r="Y54" s="14" t="str">
        <f>_xlfn.IFNA(SQRT((VLOOKUP(Y$1,DATA!$A$3:$F$301,2,FALSE)-VLOOKUP($A54,DATA!$A$3:$F$301,2,FALSE))^2+(VLOOKUP(Y$1,DATA!$A$3:$F$301,3,FALSE)-VLOOKUP($A54,DATA!$A$3:$F$301,3,FALSE))^2),"")</f>
        <v/>
      </c>
      <c r="Z54" s="14" t="str">
        <f>_xlfn.IFNA(SQRT((VLOOKUP(Z$1,DATA!$A$3:$F$301,2,FALSE)-VLOOKUP($A54,DATA!$A$3:$F$301,2,FALSE))^2+(VLOOKUP(Z$1,DATA!$A$3:$F$301,3,FALSE)-VLOOKUP($A54,DATA!$A$3:$F$301,3,FALSE))^2),"")</f>
        <v/>
      </c>
      <c r="AA54" s="14" t="str">
        <f>_xlfn.IFNA(SQRT((VLOOKUP(AA$1,DATA!$A$3:$F$301,2,FALSE)-VLOOKUP($A54,DATA!$A$3:$F$301,2,FALSE))^2+(VLOOKUP(AA$1,DATA!$A$3:$F$301,3,FALSE)-VLOOKUP($A54,DATA!$A$3:$F$301,3,FALSE))^2),"")</f>
        <v/>
      </c>
      <c r="AB54" s="14" t="str">
        <f>_xlfn.IFNA(SQRT((VLOOKUP(AB$1,DATA!$A$3:$F$301,2,FALSE)-VLOOKUP($A54,DATA!$A$3:$F$301,2,FALSE))^2+(VLOOKUP(AB$1,DATA!$A$3:$F$301,3,FALSE)-VLOOKUP($A54,DATA!$A$3:$F$301,3,FALSE))^2),"")</f>
        <v/>
      </c>
      <c r="AC54" s="14" t="str">
        <f>_xlfn.IFNA(SQRT((VLOOKUP(AC$1,DATA!$A$3:$F$301,2,FALSE)-VLOOKUP($A54,DATA!$A$3:$F$301,2,FALSE))^2+(VLOOKUP(AC$1,DATA!$A$3:$F$301,3,FALSE)-VLOOKUP($A54,DATA!$A$3:$F$301,3,FALSE))^2),"")</f>
        <v/>
      </c>
      <c r="AD54" s="14" t="str">
        <f>_xlfn.IFNA(SQRT((VLOOKUP(AD$1,DATA!$A$3:$F$301,2,FALSE)-VLOOKUP($A54,DATA!$A$3:$F$301,2,FALSE))^2+(VLOOKUP(AD$1,DATA!$A$3:$F$301,3,FALSE)-VLOOKUP($A54,DATA!$A$3:$F$301,3,FALSE))^2),"")</f>
        <v/>
      </c>
      <c r="AE54" s="14" t="str">
        <f>_xlfn.IFNA(SQRT((VLOOKUP(AE$1,DATA!$A$3:$F$301,2,FALSE)-VLOOKUP($A54,DATA!$A$3:$F$301,2,FALSE))^2+(VLOOKUP(AE$1,DATA!$A$3:$F$301,3,FALSE)-VLOOKUP($A54,DATA!$A$3:$F$301,3,FALSE))^2),"")</f>
        <v/>
      </c>
      <c r="AF54" s="14" t="str">
        <f>_xlfn.IFNA(SQRT((VLOOKUP(AF$1,DATA!$A$3:$F$301,2,FALSE)-VLOOKUP($A54,DATA!$A$3:$F$301,2,FALSE))^2+(VLOOKUP(AF$1,DATA!$A$3:$F$301,3,FALSE)-VLOOKUP($A54,DATA!$A$3:$F$301,3,FALSE))^2),"")</f>
        <v/>
      </c>
      <c r="AG54" s="14" t="str">
        <f>_xlfn.IFNA(SQRT((VLOOKUP(AG$1,DATA!$A$3:$F$301,2,FALSE)-VLOOKUP($A54,DATA!$A$3:$F$301,2,FALSE))^2+(VLOOKUP(AG$1,DATA!$A$3:$F$301,3,FALSE)-VLOOKUP($A54,DATA!$A$3:$F$301,3,FALSE))^2),"")</f>
        <v/>
      </c>
      <c r="AH54" s="14" t="str">
        <f>_xlfn.IFNA(SQRT((VLOOKUP(AH$1,DATA!$A$3:$F$301,2,FALSE)-VLOOKUP($A54,DATA!$A$3:$F$301,2,FALSE))^2+(VLOOKUP(AH$1,DATA!$A$3:$F$301,3,FALSE)-VLOOKUP($A54,DATA!$A$3:$F$301,3,FALSE))^2),"")</f>
        <v/>
      </c>
      <c r="AI54" s="14" t="str">
        <f>_xlfn.IFNA(SQRT((VLOOKUP(AI$1,DATA!$A$3:$F$301,2,FALSE)-VLOOKUP($A54,DATA!$A$3:$F$301,2,FALSE))^2+(VLOOKUP(AI$1,DATA!$A$3:$F$301,3,FALSE)-VLOOKUP($A54,DATA!$A$3:$F$301,3,FALSE))^2),"")</f>
        <v/>
      </c>
      <c r="AJ54" s="14" t="str">
        <f>_xlfn.IFNA(SQRT((VLOOKUP(AJ$1,DATA!$A$3:$F$301,2,FALSE)-VLOOKUP($A54,DATA!$A$3:$F$301,2,FALSE))^2+(VLOOKUP(AJ$1,DATA!$A$3:$F$301,3,FALSE)-VLOOKUP($A54,DATA!$A$3:$F$301,3,FALSE))^2),"")</f>
        <v/>
      </c>
      <c r="AK54" s="14" t="str">
        <f>_xlfn.IFNA(SQRT((VLOOKUP(AK$1,DATA!$A$3:$F$301,2,FALSE)-VLOOKUP($A54,DATA!$A$3:$F$301,2,FALSE))^2+(VLOOKUP(AK$1,DATA!$A$3:$F$301,3,FALSE)-VLOOKUP($A54,DATA!$A$3:$F$301,3,FALSE))^2),"")</f>
        <v/>
      </c>
      <c r="AL54" s="14" t="str">
        <f>_xlfn.IFNA(SQRT((VLOOKUP(AL$1,DATA!$A$3:$F$301,2,FALSE)-VLOOKUP($A54,DATA!$A$3:$F$301,2,FALSE))^2+(VLOOKUP(AL$1,DATA!$A$3:$F$301,3,FALSE)-VLOOKUP($A54,DATA!$A$3:$F$301,3,FALSE))^2),"")</f>
        <v/>
      </c>
      <c r="AM54" s="14" t="str">
        <f>_xlfn.IFNA(SQRT((VLOOKUP(AM$1,DATA!$A$3:$F$301,2,FALSE)-VLOOKUP($A54,DATA!$A$3:$F$301,2,FALSE))^2+(VLOOKUP(AM$1,DATA!$A$3:$F$301,3,FALSE)-VLOOKUP($A54,DATA!$A$3:$F$301,3,FALSE))^2),"")</f>
        <v/>
      </c>
      <c r="AN54" s="14" t="str">
        <f>_xlfn.IFNA(SQRT((VLOOKUP(AN$1,DATA!$A$3:$F$301,2,FALSE)-VLOOKUP($A54,DATA!$A$3:$F$301,2,FALSE))^2+(VLOOKUP(AN$1,DATA!$A$3:$F$301,3,FALSE)-VLOOKUP($A54,DATA!$A$3:$F$301,3,FALSE))^2),"")</f>
        <v/>
      </c>
      <c r="AO54" s="14" t="str">
        <f>_xlfn.IFNA(SQRT((VLOOKUP(AO$1,DATA!$A$3:$F$301,2,FALSE)-VLOOKUP($A54,DATA!$A$3:$F$301,2,FALSE))^2+(VLOOKUP(AO$1,DATA!$A$3:$F$301,3,FALSE)-VLOOKUP($A54,DATA!$A$3:$F$301,3,FALSE))^2),"")</f>
        <v/>
      </c>
      <c r="AP54" s="14" t="str">
        <f>_xlfn.IFNA(SQRT((VLOOKUP(AP$1,DATA!$A$3:$F$301,2,FALSE)-VLOOKUP($A54,DATA!$A$3:$F$301,2,FALSE))^2+(VLOOKUP(AP$1,DATA!$A$3:$F$301,3,FALSE)-VLOOKUP($A54,DATA!$A$3:$F$301,3,FALSE))^2),"")</f>
        <v/>
      </c>
      <c r="AQ54" s="14" t="str">
        <f>_xlfn.IFNA(SQRT((VLOOKUP(AQ$1,DATA!$A$3:$F$301,2,FALSE)-VLOOKUP($A54,DATA!$A$3:$F$301,2,FALSE))^2+(VLOOKUP(AQ$1,DATA!$A$3:$F$301,3,FALSE)-VLOOKUP($A54,DATA!$A$3:$F$301,3,FALSE))^2),"")</f>
        <v/>
      </c>
      <c r="AR54" s="14" t="str">
        <f>_xlfn.IFNA(SQRT((VLOOKUP(AR$1,DATA!$A$3:$F$301,2,FALSE)-VLOOKUP($A54,DATA!$A$3:$F$301,2,FALSE))^2+(VLOOKUP(AR$1,DATA!$A$3:$F$301,3,FALSE)-VLOOKUP($A54,DATA!$A$3:$F$301,3,FALSE))^2),"")</f>
        <v/>
      </c>
      <c r="AS54" s="14" t="str">
        <f>_xlfn.IFNA(SQRT((VLOOKUP(AS$1,DATA!$A$3:$F$301,2,FALSE)-VLOOKUP($A54,DATA!$A$3:$F$301,2,FALSE))^2+(VLOOKUP(AS$1,DATA!$A$3:$F$301,3,FALSE)-VLOOKUP($A54,DATA!$A$3:$F$301,3,FALSE))^2),"")</f>
        <v/>
      </c>
      <c r="AT54" s="14" t="str">
        <f>_xlfn.IFNA(SQRT((VLOOKUP(AT$1,DATA!$A$3:$F$301,2,FALSE)-VLOOKUP($A54,DATA!$A$3:$F$301,2,FALSE))^2+(VLOOKUP(AT$1,DATA!$A$3:$F$301,3,FALSE)-VLOOKUP($A54,DATA!$A$3:$F$301,3,FALSE))^2),"")</f>
        <v/>
      </c>
      <c r="AU54" s="14" t="str">
        <f>_xlfn.IFNA(SQRT((VLOOKUP(AU$1,DATA!$A$3:$F$301,2,FALSE)-VLOOKUP($A54,DATA!$A$3:$F$301,2,FALSE))^2+(VLOOKUP(AU$1,DATA!$A$3:$F$301,3,FALSE)-VLOOKUP($A54,DATA!$A$3:$F$301,3,FALSE))^2),"")</f>
        <v/>
      </c>
      <c r="AV54" s="14" t="str">
        <f>_xlfn.IFNA(SQRT((VLOOKUP(AV$1,DATA!$A$3:$F$301,2,FALSE)-VLOOKUP($A54,DATA!$A$3:$F$301,2,FALSE))^2+(VLOOKUP(AV$1,DATA!$A$3:$F$301,3,FALSE)-VLOOKUP($A54,DATA!$A$3:$F$301,3,FALSE))^2),"")</f>
        <v/>
      </c>
      <c r="AW54" s="14" t="str">
        <f>_xlfn.IFNA(SQRT((VLOOKUP(AW$1,DATA!$A$3:$F$301,2,FALSE)-VLOOKUP($A54,DATA!$A$3:$F$301,2,FALSE))^2+(VLOOKUP(AW$1,DATA!$A$3:$F$301,3,FALSE)-VLOOKUP($A54,DATA!$A$3:$F$301,3,FALSE))^2),"")</f>
        <v/>
      </c>
      <c r="AX54" s="14" t="str">
        <f>_xlfn.IFNA(SQRT((VLOOKUP(AX$1,DATA!$A$3:$F$301,2,FALSE)-VLOOKUP($A54,DATA!$A$3:$F$301,2,FALSE))^2+(VLOOKUP(AX$1,DATA!$A$3:$F$301,3,FALSE)-VLOOKUP($A54,DATA!$A$3:$F$301,3,FALSE))^2),"")</f>
        <v/>
      </c>
      <c r="AY54" s="14" t="str">
        <f>_xlfn.IFNA(SQRT((VLOOKUP(AY$1,DATA!$A$3:$F$301,2,FALSE)-VLOOKUP($A54,DATA!$A$3:$F$301,2,FALSE))^2+(VLOOKUP(AY$1,DATA!$A$3:$F$301,3,FALSE)-VLOOKUP($A54,DATA!$A$3:$F$301,3,FALSE))^2),"")</f>
        <v/>
      </c>
      <c r="AZ54" s="14" t="str">
        <f>_xlfn.IFNA(SQRT((VLOOKUP(AZ$1,DATA!$A$3:$F$301,2,FALSE)-VLOOKUP($A54,DATA!$A$3:$F$301,2,FALSE))^2+(VLOOKUP(AZ$1,DATA!$A$3:$F$301,3,FALSE)-VLOOKUP($A54,DATA!$A$3:$F$301,3,FALSE))^2),"")</f>
        <v/>
      </c>
      <c r="BA54" s="14" t="str">
        <f>_xlfn.IFNA(SQRT((VLOOKUP(BA$1,DATA!$A$3:$F$301,2,FALSE)-VLOOKUP($A54,DATA!$A$3:$F$301,2,FALSE))^2+(VLOOKUP(BA$1,DATA!$A$3:$F$301,3,FALSE)-VLOOKUP($A54,DATA!$A$3:$F$301,3,FALSE))^2),"")</f>
        <v/>
      </c>
      <c r="BB54" s="14" t="str">
        <f>_xlfn.IFNA(SQRT((VLOOKUP(BB$1,DATA!$A$3:$F$301,2,FALSE)-VLOOKUP($A54,DATA!$A$3:$F$301,2,FALSE))^2+(VLOOKUP(BB$1,DATA!$A$3:$F$301,3,FALSE)-VLOOKUP($A54,DATA!$A$3:$F$301,3,FALSE))^2),"")</f>
        <v/>
      </c>
      <c r="BC54" s="14" t="str">
        <f>_xlfn.IFNA(SQRT((VLOOKUP(BC$1,DATA!$A$3:$F$301,2,FALSE)-VLOOKUP($A54,DATA!$A$3:$F$301,2,FALSE))^2+(VLOOKUP(BC$1,DATA!$A$3:$F$301,3,FALSE)-VLOOKUP($A54,DATA!$A$3:$F$301,3,FALSE))^2),"")</f>
        <v/>
      </c>
      <c r="BD54" s="14" t="str">
        <f>_xlfn.IFNA(SQRT((VLOOKUP(BD$1,DATA!$A$3:$F$301,2,FALSE)-VLOOKUP($A54,DATA!$A$3:$F$301,2,FALSE))^2+(VLOOKUP(BD$1,DATA!$A$3:$F$301,3,FALSE)-VLOOKUP($A54,DATA!$A$3:$F$301,3,FALSE))^2),"")</f>
        <v/>
      </c>
      <c r="BE54" s="14" t="str">
        <f>_xlfn.IFNA(SQRT((VLOOKUP(BE$1,DATA!$A$3:$F$301,2,FALSE)-VLOOKUP($A54,DATA!$A$3:$F$301,2,FALSE))^2+(VLOOKUP(BE$1,DATA!$A$3:$F$301,3,FALSE)-VLOOKUP($A54,DATA!$A$3:$F$301,3,FALSE))^2),"")</f>
        <v/>
      </c>
      <c r="BF54" s="14" t="str">
        <f>_xlfn.IFNA(SQRT((VLOOKUP(BF$1,DATA!$A$3:$F$301,2,FALSE)-VLOOKUP($A54,DATA!$A$3:$F$301,2,FALSE))^2+(VLOOKUP(BF$1,DATA!$A$3:$F$301,3,FALSE)-VLOOKUP($A54,DATA!$A$3:$F$301,3,FALSE))^2),"")</f>
        <v/>
      </c>
      <c r="BG54" s="14" t="str">
        <f>_xlfn.IFNA(SQRT((VLOOKUP(BG$1,DATA!$A$3:$F$301,2,FALSE)-VLOOKUP($A54,DATA!$A$3:$F$301,2,FALSE))^2+(VLOOKUP(BG$1,DATA!$A$3:$F$301,3,FALSE)-VLOOKUP($A54,DATA!$A$3:$F$301,3,FALSE))^2),"")</f>
        <v/>
      </c>
      <c r="BH54" s="14" t="str">
        <f>_xlfn.IFNA(SQRT((VLOOKUP(BH$1,DATA!$A$3:$F$301,2,FALSE)-VLOOKUP($A54,DATA!$A$3:$F$301,2,FALSE))^2+(VLOOKUP(BH$1,DATA!$A$3:$F$301,3,FALSE)-VLOOKUP($A54,DATA!$A$3:$F$301,3,FALSE))^2),"")</f>
        <v/>
      </c>
      <c r="BI54" s="14" t="str">
        <f>_xlfn.IFNA(SQRT((VLOOKUP(BI$1,DATA!$A$3:$F$301,2,FALSE)-VLOOKUP($A54,DATA!$A$3:$F$301,2,FALSE))^2+(VLOOKUP(BI$1,DATA!$A$3:$F$301,3,FALSE)-VLOOKUP($A54,DATA!$A$3:$F$301,3,FALSE))^2),"")</f>
        <v/>
      </c>
      <c r="BJ54" s="14" t="str">
        <f>_xlfn.IFNA(SQRT((VLOOKUP(BJ$1,DATA!$A$3:$F$301,2,FALSE)-VLOOKUP($A54,DATA!$A$3:$F$301,2,FALSE))^2+(VLOOKUP(BJ$1,DATA!$A$3:$F$301,3,FALSE)-VLOOKUP($A54,DATA!$A$3:$F$301,3,FALSE))^2),"")</f>
        <v/>
      </c>
      <c r="BK54" s="14" t="str">
        <f>_xlfn.IFNA(SQRT((VLOOKUP(BK$1,DATA!$A$3:$F$301,2,FALSE)-VLOOKUP($A54,DATA!$A$3:$F$301,2,FALSE))^2+(VLOOKUP(BK$1,DATA!$A$3:$F$301,3,FALSE)-VLOOKUP($A54,DATA!$A$3:$F$301,3,FALSE))^2),"")</f>
        <v/>
      </c>
      <c r="BL54" s="14" t="str">
        <f>_xlfn.IFNA(SQRT((VLOOKUP(BL$1,DATA!$A$3:$F$301,2,FALSE)-VLOOKUP($A54,DATA!$A$3:$F$301,2,FALSE))^2+(VLOOKUP(BL$1,DATA!$A$3:$F$301,3,FALSE)-VLOOKUP($A54,DATA!$A$3:$F$301,3,FALSE))^2),"")</f>
        <v/>
      </c>
      <c r="BM54" s="14" t="str">
        <f>_xlfn.IFNA(SQRT((VLOOKUP(BM$1,DATA!$A$3:$F$301,2,FALSE)-VLOOKUP($A54,DATA!$A$3:$F$301,2,FALSE))^2+(VLOOKUP(BM$1,DATA!$A$3:$F$301,3,FALSE)-VLOOKUP($A54,DATA!$A$3:$F$301,3,FALSE))^2),"")</f>
        <v/>
      </c>
      <c r="BN54" s="14" t="str">
        <f>_xlfn.IFNA(SQRT((VLOOKUP(BN$1,DATA!$A$3:$F$301,2,FALSE)-VLOOKUP($A54,DATA!$A$3:$F$301,2,FALSE))^2+(VLOOKUP(BN$1,DATA!$A$3:$F$301,3,FALSE)-VLOOKUP($A54,DATA!$A$3:$F$301,3,FALSE))^2),"")</f>
        <v/>
      </c>
      <c r="BO54" s="14" t="str">
        <f>_xlfn.IFNA(SQRT((VLOOKUP(BO$1,DATA!$A$3:$F$301,2,FALSE)-VLOOKUP($A54,DATA!$A$3:$F$301,2,FALSE))^2+(VLOOKUP(BO$1,DATA!$A$3:$F$301,3,FALSE)-VLOOKUP($A54,DATA!$A$3:$F$301,3,FALSE))^2),"")</f>
        <v/>
      </c>
      <c r="BP54" s="14" t="str">
        <f>_xlfn.IFNA(SQRT((VLOOKUP(BP$1,DATA!$A$3:$F$301,2,FALSE)-VLOOKUP($A54,DATA!$A$3:$F$301,2,FALSE))^2+(VLOOKUP(BP$1,DATA!$A$3:$F$301,3,FALSE)-VLOOKUP($A54,DATA!$A$3:$F$301,3,FALSE))^2),"")</f>
        <v/>
      </c>
      <c r="BQ54" s="14" t="str">
        <f>_xlfn.IFNA(SQRT((VLOOKUP(BQ$1,DATA!$A$3:$F$301,2,FALSE)-VLOOKUP($A54,DATA!$A$3:$F$301,2,FALSE))^2+(VLOOKUP(BQ$1,DATA!$A$3:$F$301,3,FALSE)-VLOOKUP($A54,DATA!$A$3:$F$301,3,FALSE))^2),"")</f>
        <v/>
      </c>
      <c r="BR54" s="14" t="str">
        <f>_xlfn.IFNA(SQRT((VLOOKUP(BR$1,DATA!$A$3:$F$301,2,FALSE)-VLOOKUP($A54,DATA!$A$3:$F$301,2,FALSE))^2+(VLOOKUP(BR$1,DATA!$A$3:$F$301,3,FALSE)-VLOOKUP($A54,DATA!$A$3:$F$301,3,FALSE))^2),"")</f>
        <v/>
      </c>
      <c r="BS54" s="14" t="str">
        <f>_xlfn.IFNA(SQRT((VLOOKUP(BS$1,DATA!$A$3:$F$301,2,FALSE)-VLOOKUP($A54,DATA!$A$3:$F$301,2,FALSE))^2+(VLOOKUP(BS$1,DATA!$A$3:$F$301,3,FALSE)-VLOOKUP($A54,DATA!$A$3:$F$301,3,FALSE))^2),"")</f>
        <v/>
      </c>
      <c r="BT54" s="14" t="str">
        <f>_xlfn.IFNA(SQRT((VLOOKUP(BT$1,DATA!$A$3:$F$301,2,FALSE)-VLOOKUP($A54,DATA!$A$3:$F$301,2,FALSE))^2+(VLOOKUP(BT$1,DATA!$A$3:$F$301,3,FALSE)-VLOOKUP($A54,DATA!$A$3:$F$301,3,FALSE))^2),"")</f>
        <v/>
      </c>
      <c r="BU54" s="14" t="str">
        <f>_xlfn.IFNA(SQRT((VLOOKUP(BU$1,DATA!$A$3:$F$301,2,FALSE)-VLOOKUP($A54,DATA!$A$3:$F$301,2,FALSE))^2+(VLOOKUP(BU$1,DATA!$A$3:$F$301,3,FALSE)-VLOOKUP($A54,DATA!$A$3:$F$301,3,FALSE))^2),"")</f>
        <v/>
      </c>
      <c r="BV54" s="14" t="str">
        <f>_xlfn.IFNA(SQRT((VLOOKUP(BV$1,DATA!$A$3:$F$301,2,FALSE)-VLOOKUP($A54,DATA!$A$3:$F$301,2,FALSE))^2+(VLOOKUP(BV$1,DATA!$A$3:$F$301,3,FALSE)-VLOOKUP($A54,DATA!$A$3:$F$301,3,FALSE))^2),"")</f>
        <v/>
      </c>
      <c r="BW54" s="14" t="str">
        <f>_xlfn.IFNA(SQRT((VLOOKUP(BW$1,DATA!$A$3:$F$301,2,FALSE)-VLOOKUP($A54,DATA!$A$3:$F$301,2,FALSE))^2+(VLOOKUP(BW$1,DATA!$A$3:$F$301,3,FALSE)-VLOOKUP($A54,DATA!$A$3:$F$301,3,FALSE))^2),"")</f>
        <v/>
      </c>
      <c r="BX54" s="14" t="str">
        <f>_xlfn.IFNA(SQRT((VLOOKUP(BX$1,DATA!$A$3:$F$301,2,FALSE)-VLOOKUP($A54,DATA!$A$3:$F$301,2,FALSE))^2+(VLOOKUP(BX$1,DATA!$A$3:$F$301,3,FALSE)-VLOOKUP($A54,DATA!$A$3:$F$301,3,FALSE))^2),"")</f>
        <v/>
      </c>
      <c r="BY54" s="14" t="str">
        <f>_xlfn.IFNA(SQRT((VLOOKUP(BY$1,DATA!$A$3:$F$301,2,FALSE)-VLOOKUP($A54,DATA!$A$3:$F$301,2,FALSE))^2+(VLOOKUP(BY$1,DATA!$A$3:$F$301,3,FALSE)-VLOOKUP($A54,DATA!$A$3:$F$301,3,FALSE))^2),"")</f>
        <v/>
      </c>
      <c r="BZ54" s="14" t="str">
        <f>_xlfn.IFNA(SQRT((VLOOKUP(BZ$1,DATA!$A$3:$F$301,2,FALSE)-VLOOKUP($A54,DATA!$A$3:$F$301,2,FALSE))^2+(VLOOKUP(BZ$1,DATA!$A$3:$F$301,3,FALSE)-VLOOKUP($A54,DATA!$A$3:$F$301,3,FALSE))^2),"")</f>
        <v/>
      </c>
      <c r="CA54" s="14" t="str">
        <f>_xlfn.IFNA(SQRT((VLOOKUP(CA$1,DATA!$A$3:$F$301,2,FALSE)-VLOOKUP($A54,DATA!$A$3:$F$301,2,FALSE))^2+(VLOOKUP(CA$1,DATA!$A$3:$F$301,3,FALSE)-VLOOKUP($A54,DATA!$A$3:$F$301,3,FALSE))^2),"")</f>
        <v/>
      </c>
      <c r="CB54" s="14" t="str">
        <f>_xlfn.IFNA(SQRT((VLOOKUP(CB$1,DATA!$A$3:$F$301,2,FALSE)-VLOOKUP($A54,DATA!$A$3:$F$301,2,FALSE))^2+(VLOOKUP(CB$1,DATA!$A$3:$F$301,3,FALSE)-VLOOKUP($A54,DATA!$A$3:$F$301,3,FALSE))^2),"")</f>
        <v/>
      </c>
      <c r="CC54" s="14" t="str">
        <f>_xlfn.IFNA(SQRT((VLOOKUP(CC$1,DATA!$A$3:$F$301,2,FALSE)-VLOOKUP($A54,DATA!$A$3:$F$301,2,FALSE))^2+(VLOOKUP(CC$1,DATA!$A$3:$F$301,3,FALSE)-VLOOKUP($A54,DATA!$A$3:$F$301,3,FALSE))^2),"")</f>
        <v/>
      </c>
      <c r="CD54" s="14" t="str">
        <f>_xlfn.IFNA(SQRT((VLOOKUP(CD$1,DATA!$A$3:$F$301,2,FALSE)-VLOOKUP($A54,DATA!$A$3:$F$301,2,FALSE))^2+(VLOOKUP(CD$1,DATA!$A$3:$F$301,3,FALSE)-VLOOKUP($A54,DATA!$A$3:$F$301,3,FALSE))^2),"")</f>
        <v/>
      </c>
      <c r="CE54" s="14" t="str">
        <f>_xlfn.IFNA(SQRT((VLOOKUP(CE$1,DATA!$A$3:$F$301,2,FALSE)-VLOOKUP($A54,DATA!$A$3:$F$301,2,FALSE))^2+(VLOOKUP(CE$1,DATA!$A$3:$F$301,3,FALSE)-VLOOKUP($A54,DATA!$A$3:$F$301,3,FALSE))^2),"")</f>
        <v/>
      </c>
      <c r="CF54" s="14" t="str">
        <f>_xlfn.IFNA(SQRT((VLOOKUP(CF$1,DATA!$A$3:$F$301,2,FALSE)-VLOOKUP($A54,DATA!$A$3:$F$301,2,FALSE))^2+(VLOOKUP(CF$1,DATA!$A$3:$F$301,3,FALSE)-VLOOKUP($A54,DATA!$A$3:$F$301,3,FALSE))^2),"")</f>
        <v/>
      </c>
      <c r="CG54" s="14" t="str">
        <f>_xlfn.IFNA(SQRT((VLOOKUP(CG$1,DATA!$A$3:$F$301,2,FALSE)-VLOOKUP($A54,DATA!$A$3:$F$301,2,FALSE))^2+(VLOOKUP(CG$1,DATA!$A$3:$F$301,3,FALSE)-VLOOKUP($A54,DATA!$A$3:$F$301,3,FALSE))^2),"")</f>
        <v/>
      </c>
      <c r="CH54" s="14" t="str">
        <f>_xlfn.IFNA(SQRT((VLOOKUP(CH$1,DATA!$A$3:$F$301,2,FALSE)-VLOOKUP($A54,DATA!$A$3:$F$301,2,FALSE))^2+(VLOOKUP(CH$1,DATA!$A$3:$F$301,3,FALSE)-VLOOKUP($A54,DATA!$A$3:$F$301,3,FALSE))^2),"")</f>
        <v/>
      </c>
      <c r="CI54" s="14" t="str">
        <f>_xlfn.IFNA(SQRT((VLOOKUP(CI$1,DATA!$A$3:$F$301,2,FALSE)-VLOOKUP($A54,DATA!$A$3:$F$301,2,FALSE))^2+(VLOOKUP(CI$1,DATA!$A$3:$F$301,3,FALSE)-VLOOKUP($A54,DATA!$A$3:$F$301,3,FALSE))^2),"")</f>
        <v/>
      </c>
      <c r="CJ54" s="14" t="str">
        <f>_xlfn.IFNA(SQRT((VLOOKUP(CJ$1,DATA!$A$3:$F$301,2,FALSE)-VLOOKUP($A54,DATA!$A$3:$F$301,2,FALSE))^2+(VLOOKUP(CJ$1,DATA!$A$3:$F$301,3,FALSE)-VLOOKUP($A54,DATA!$A$3:$F$301,3,FALSE))^2),"")</f>
        <v/>
      </c>
      <c r="CK54" s="14" t="str">
        <f>_xlfn.IFNA(SQRT((VLOOKUP(CK$1,DATA!$A$3:$F$301,2,FALSE)-VLOOKUP($A54,DATA!$A$3:$F$301,2,FALSE))^2+(VLOOKUP(CK$1,DATA!$A$3:$F$301,3,FALSE)-VLOOKUP($A54,DATA!$A$3:$F$301,3,FALSE))^2),"")</f>
        <v/>
      </c>
      <c r="CL54" s="14" t="str">
        <f>_xlfn.IFNA(SQRT((VLOOKUP(CL$1,DATA!$A$3:$F$301,2,FALSE)-VLOOKUP($A54,DATA!$A$3:$F$301,2,FALSE))^2+(VLOOKUP(CL$1,DATA!$A$3:$F$301,3,FALSE)-VLOOKUP($A54,DATA!$A$3:$F$301,3,FALSE))^2),"")</f>
        <v/>
      </c>
      <c r="CM54" s="14" t="str">
        <f>_xlfn.IFNA(SQRT((VLOOKUP(CM$1,DATA!$A$3:$F$301,2,FALSE)-VLOOKUP($A54,DATA!$A$3:$F$301,2,FALSE))^2+(VLOOKUP(CM$1,DATA!$A$3:$F$301,3,FALSE)-VLOOKUP($A54,DATA!$A$3:$F$301,3,FALSE))^2),"")</f>
        <v/>
      </c>
      <c r="CN54" s="14" t="str">
        <f>_xlfn.IFNA(SQRT((VLOOKUP(CN$1,DATA!$A$3:$F$301,2,FALSE)-VLOOKUP($A54,DATA!$A$3:$F$301,2,FALSE))^2+(VLOOKUP(CN$1,DATA!$A$3:$F$301,3,FALSE)-VLOOKUP($A54,DATA!$A$3:$F$301,3,FALSE))^2),"")</f>
        <v/>
      </c>
      <c r="CO54" s="14" t="str">
        <f>_xlfn.IFNA(SQRT((VLOOKUP(CO$1,DATA!$A$3:$F$301,2,FALSE)-VLOOKUP($A54,DATA!$A$3:$F$301,2,FALSE))^2+(VLOOKUP(CO$1,DATA!$A$3:$F$301,3,FALSE)-VLOOKUP($A54,DATA!$A$3:$F$301,3,FALSE))^2),"")</f>
        <v/>
      </c>
      <c r="CP54" s="14" t="str">
        <f>_xlfn.IFNA(SQRT((VLOOKUP(CP$1,DATA!$A$3:$F$301,2,FALSE)-VLOOKUP($A54,DATA!$A$3:$F$301,2,FALSE))^2+(VLOOKUP(CP$1,DATA!$A$3:$F$301,3,FALSE)-VLOOKUP($A54,DATA!$A$3:$F$301,3,FALSE))^2),"")</f>
        <v/>
      </c>
      <c r="CQ54" s="14" t="str">
        <f>_xlfn.IFNA(SQRT((VLOOKUP(CQ$1,DATA!$A$3:$F$301,2,FALSE)-VLOOKUP($A54,DATA!$A$3:$F$301,2,FALSE))^2+(VLOOKUP(CQ$1,DATA!$A$3:$F$301,3,FALSE)-VLOOKUP($A54,DATA!$A$3:$F$301,3,FALSE))^2),"")</f>
        <v/>
      </c>
      <c r="CR54" s="14" t="str">
        <f>_xlfn.IFNA(SQRT((VLOOKUP(CR$1,DATA!$A$3:$F$301,2,FALSE)-VLOOKUP($A54,DATA!$A$3:$F$301,2,FALSE))^2+(VLOOKUP(CR$1,DATA!$A$3:$F$301,3,FALSE)-VLOOKUP($A54,DATA!$A$3:$F$301,3,FALSE))^2),"")</f>
        <v/>
      </c>
      <c r="CS54" s="14" t="str">
        <f>_xlfn.IFNA(SQRT((VLOOKUP(CS$1,DATA!$A$3:$F$301,2,FALSE)-VLOOKUP($A54,DATA!$A$3:$F$301,2,FALSE))^2+(VLOOKUP(CS$1,DATA!$A$3:$F$301,3,FALSE)-VLOOKUP($A54,DATA!$A$3:$F$301,3,FALSE))^2),"")</f>
        <v/>
      </c>
      <c r="CT54" s="14" t="str">
        <f>_xlfn.IFNA(SQRT((VLOOKUP(CT$1,DATA!$A$3:$F$301,2,FALSE)-VLOOKUP($A54,DATA!$A$3:$F$301,2,FALSE))^2+(VLOOKUP(CT$1,DATA!$A$3:$F$301,3,FALSE)-VLOOKUP($A54,DATA!$A$3:$F$301,3,FALSE))^2),"")</f>
        <v/>
      </c>
      <c r="CU54" s="14" t="str">
        <f>_xlfn.IFNA(SQRT((VLOOKUP(CU$1,DATA!$A$3:$F$301,2,FALSE)-VLOOKUP($A54,DATA!$A$3:$F$301,2,FALSE))^2+(VLOOKUP(CU$1,DATA!$A$3:$F$301,3,FALSE)-VLOOKUP($A54,DATA!$A$3:$F$301,3,FALSE))^2),"")</f>
        <v/>
      </c>
      <c r="CV54" s="14" t="str">
        <f>_xlfn.IFNA(SQRT((VLOOKUP(CV$1,DATA!$A$3:$F$301,2,FALSE)-VLOOKUP($A54,DATA!$A$3:$F$301,2,FALSE))^2+(VLOOKUP(CV$1,DATA!$A$3:$F$301,3,FALSE)-VLOOKUP($A54,DATA!$A$3:$F$301,3,FALSE))^2),"")</f>
        <v/>
      </c>
      <c r="CW54" s="14" t="str">
        <f>_xlfn.IFNA(SQRT((VLOOKUP(CW$1,DATA!$A$3:$F$301,2,FALSE)-VLOOKUP($A54,DATA!$A$3:$F$301,2,FALSE))^2+(VLOOKUP(CW$1,DATA!$A$3:$F$301,3,FALSE)-VLOOKUP($A54,DATA!$A$3:$F$301,3,FALSE))^2),"")</f>
        <v/>
      </c>
      <c r="CX54" s="14" t="str">
        <f>_xlfn.IFNA(SQRT((VLOOKUP(CX$1,DATA!$A$3:$F$301,2,FALSE)-VLOOKUP($A54,DATA!$A$3:$F$301,2,FALSE))^2+(VLOOKUP(CX$1,DATA!$A$3:$F$301,3,FALSE)-VLOOKUP($A54,DATA!$A$3:$F$301,3,FALSE))^2),"")</f>
        <v/>
      </c>
    </row>
    <row r="55" spans="1:102">
      <c r="A55" s="13">
        <v>54</v>
      </c>
      <c r="B55" s="14" t="str">
        <f>_xlfn.IFNA(SQRT((VLOOKUP(B$1,DATA!$A$3:$F$301,2,FALSE)-VLOOKUP($A55,DATA!$A$3:$F$301,2,FALSE))^2+(VLOOKUP(B$1,DATA!$A$3:$F$301,3,FALSE)-VLOOKUP($A55,DATA!$A$3:$F$301,3,FALSE))^2),"")</f>
        <v/>
      </c>
      <c r="C55" s="14" t="str">
        <f>_xlfn.IFNA(SQRT((VLOOKUP(C$1,DATA!$A$3:$F$301,2,FALSE)-VLOOKUP($A55,DATA!$A$3:$F$301,2,FALSE))^2+(VLOOKUP(C$1,DATA!$A$3:$F$301,3,FALSE)-VLOOKUP($A55,DATA!$A$3:$F$301,3,FALSE))^2),"")</f>
        <v/>
      </c>
      <c r="D55" s="14" t="str">
        <f>_xlfn.IFNA(SQRT((VLOOKUP(D$1,DATA!$A$3:$F$301,2,FALSE)-VLOOKUP($A55,DATA!$A$3:$F$301,2,FALSE))^2+(VLOOKUP(D$1,DATA!$A$3:$F$301,3,FALSE)-VLOOKUP($A55,DATA!$A$3:$F$301,3,FALSE))^2),"")</f>
        <v/>
      </c>
      <c r="E55" s="14" t="str">
        <f>_xlfn.IFNA(SQRT((VLOOKUP(E$1,DATA!$A$3:$F$301,2,FALSE)-VLOOKUP($A55,DATA!$A$3:$F$301,2,FALSE))^2+(VLOOKUP(E$1,DATA!$A$3:$F$301,3,FALSE)-VLOOKUP($A55,DATA!$A$3:$F$301,3,FALSE))^2),"")</f>
        <v/>
      </c>
      <c r="F55" s="14" t="str">
        <f>_xlfn.IFNA(SQRT((VLOOKUP(F$1,DATA!$A$3:$F$301,2,FALSE)-VLOOKUP($A55,DATA!$A$3:$F$301,2,FALSE))^2+(VLOOKUP(F$1,DATA!$A$3:$F$301,3,FALSE)-VLOOKUP($A55,DATA!$A$3:$F$301,3,FALSE))^2),"")</f>
        <v/>
      </c>
      <c r="G55" s="14" t="str">
        <f>_xlfn.IFNA(SQRT((VLOOKUP(G$1,DATA!$A$3:$F$301,2,FALSE)-VLOOKUP($A55,DATA!$A$3:$F$301,2,FALSE))^2+(VLOOKUP(G$1,DATA!$A$3:$F$301,3,FALSE)-VLOOKUP($A55,DATA!$A$3:$F$301,3,FALSE))^2),"")</f>
        <v/>
      </c>
      <c r="H55" s="14" t="str">
        <f>_xlfn.IFNA(SQRT((VLOOKUP(H$1,DATA!$A$3:$F$301,2,FALSE)-VLOOKUP($A55,DATA!$A$3:$F$301,2,FALSE))^2+(VLOOKUP(H$1,DATA!$A$3:$F$301,3,FALSE)-VLOOKUP($A55,DATA!$A$3:$F$301,3,FALSE))^2),"")</f>
        <v/>
      </c>
      <c r="I55" s="14" t="str">
        <f>_xlfn.IFNA(SQRT((VLOOKUP(I$1,DATA!$A$3:$F$301,2,FALSE)-VLOOKUP($A55,DATA!$A$3:$F$301,2,FALSE))^2+(VLOOKUP(I$1,DATA!$A$3:$F$301,3,FALSE)-VLOOKUP($A55,DATA!$A$3:$F$301,3,FALSE))^2),"")</f>
        <v/>
      </c>
      <c r="J55" s="14" t="str">
        <f>_xlfn.IFNA(SQRT((VLOOKUP(J$1,DATA!$A$3:$F$301,2,FALSE)-VLOOKUP($A55,DATA!$A$3:$F$301,2,FALSE))^2+(VLOOKUP(J$1,DATA!$A$3:$F$301,3,FALSE)-VLOOKUP($A55,DATA!$A$3:$F$301,3,FALSE))^2),"")</f>
        <v/>
      </c>
      <c r="K55" s="14" t="str">
        <f>_xlfn.IFNA(SQRT((VLOOKUP(K$1,DATA!$A$3:$F$301,2,FALSE)-VLOOKUP($A55,DATA!$A$3:$F$301,2,FALSE))^2+(VLOOKUP(K$1,DATA!$A$3:$F$301,3,FALSE)-VLOOKUP($A55,DATA!$A$3:$F$301,3,FALSE))^2),"")</f>
        <v/>
      </c>
      <c r="L55" s="14" t="str">
        <f>_xlfn.IFNA(SQRT((VLOOKUP(L$1,DATA!$A$3:$F$301,2,FALSE)-VLOOKUP($A55,DATA!$A$3:$F$301,2,FALSE))^2+(VLOOKUP(L$1,DATA!$A$3:$F$301,3,FALSE)-VLOOKUP($A55,DATA!$A$3:$F$301,3,FALSE))^2),"")</f>
        <v/>
      </c>
      <c r="M55" s="14" t="str">
        <f>_xlfn.IFNA(SQRT((VLOOKUP(M$1,DATA!$A$3:$F$301,2,FALSE)-VLOOKUP($A55,DATA!$A$3:$F$301,2,FALSE))^2+(VLOOKUP(M$1,DATA!$A$3:$F$301,3,FALSE)-VLOOKUP($A55,DATA!$A$3:$F$301,3,FALSE))^2),"")</f>
        <v/>
      </c>
      <c r="N55" s="14" t="str">
        <f>_xlfn.IFNA(SQRT((VLOOKUP(N$1,DATA!$A$3:$F$301,2,FALSE)-VLOOKUP($A55,DATA!$A$3:$F$301,2,FALSE))^2+(VLOOKUP(N$1,DATA!$A$3:$F$301,3,FALSE)-VLOOKUP($A55,DATA!$A$3:$F$301,3,FALSE))^2),"")</f>
        <v/>
      </c>
      <c r="O55" s="14" t="str">
        <f>_xlfn.IFNA(SQRT((VLOOKUP(O$1,DATA!$A$3:$F$301,2,FALSE)-VLOOKUP($A55,DATA!$A$3:$F$301,2,FALSE))^2+(VLOOKUP(O$1,DATA!$A$3:$F$301,3,FALSE)-VLOOKUP($A55,DATA!$A$3:$F$301,3,FALSE))^2),"")</f>
        <v/>
      </c>
      <c r="P55" s="14" t="str">
        <f>_xlfn.IFNA(SQRT((VLOOKUP(P$1,DATA!$A$3:$F$301,2,FALSE)-VLOOKUP($A55,DATA!$A$3:$F$301,2,FALSE))^2+(VLOOKUP(P$1,DATA!$A$3:$F$301,3,FALSE)-VLOOKUP($A55,DATA!$A$3:$F$301,3,FALSE))^2),"")</f>
        <v/>
      </c>
      <c r="Q55" s="14" t="str">
        <f>_xlfn.IFNA(SQRT((VLOOKUP(Q$1,DATA!$A$3:$F$301,2,FALSE)-VLOOKUP($A55,DATA!$A$3:$F$301,2,FALSE))^2+(VLOOKUP(Q$1,DATA!$A$3:$F$301,3,FALSE)-VLOOKUP($A55,DATA!$A$3:$F$301,3,FALSE))^2),"")</f>
        <v/>
      </c>
      <c r="R55" s="14" t="str">
        <f>_xlfn.IFNA(SQRT((VLOOKUP(R$1,DATA!$A$3:$F$301,2,FALSE)-VLOOKUP($A55,DATA!$A$3:$F$301,2,FALSE))^2+(VLOOKUP(R$1,DATA!$A$3:$F$301,3,FALSE)-VLOOKUP($A55,DATA!$A$3:$F$301,3,FALSE))^2),"")</f>
        <v/>
      </c>
      <c r="S55" s="14" t="str">
        <f>_xlfn.IFNA(SQRT((VLOOKUP(S$1,DATA!$A$3:$F$301,2,FALSE)-VLOOKUP($A55,DATA!$A$3:$F$301,2,FALSE))^2+(VLOOKUP(S$1,DATA!$A$3:$F$301,3,FALSE)-VLOOKUP($A55,DATA!$A$3:$F$301,3,FALSE))^2),"")</f>
        <v/>
      </c>
      <c r="T55" s="14" t="str">
        <f>_xlfn.IFNA(SQRT((VLOOKUP(T$1,DATA!$A$3:$F$301,2,FALSE)-VLOOKUP($A55,DATA!$A$3:$F$301,2,FALSE))^2+(VLOOKUP(T$1,DATA!$A$3:$F$301,3,FALSE)-VLOOKUP($A55,DATA!$A$3:$F$301,3,FALSE))^2),"")</f>
        <v/>
      </c>
      <c r="U55" s="14" t="str">
        <f>_xlfn.IFNA(SQRT((VLOOKUP(U$1,DATA!$A$3:$F$301,2,FALSE)-VLOOKUP($A55,DATA!$A$3:$F$301,2,FALSE))^2+(VLOOKUP(U$1,DATA!$A$3:$F$301,3,FALSE)-VLOOKUP($A55,DATA!$A$3:$F$301,3,FALSE))^2),"")</f>
        <v/>
      </c>
      <c r="V55" s="14" t="str">
        <f>_xlfn.IFNA(SQRT((VLOOKUP(V$1,DATA!$A$3:$F$301,2,FALSE)-VLOOKUP($A55,DATA!$A$3:$F$301,2,FALSE))^2+(VLOOKUP(V$1,DATA!$A$3:$F$301,3,FALSE)-VLOOKUP($A55,DATA!$A$3:$F$301,3,FALSE))^2),"")</f>
        <v/>
      </c>
      <c r="W55" s="14" t="str">
        <f>_xlfn.IFNA(SQRT((VLOOKUP(W$1,DATA!$A$3:$F$301,2,FALSE)-VLOOKUP($A55,DATA!$A$3:$F$301,2,FALSE))^2+(VLOOKUP(W$1,DATA!$A$3:$F$301,3,FALSE)-VLOOKUP($A55,DATA!$A$3:$F$301,3,FALSE))^2),"")</f>
        <v/>
      </c>
      <c r="X55" s="14" t="str">
        <f>_xlfn.IFNA(SQRT((VLOOKUP(X$1,DATA!$A$3:$F$301,2,FALSE)-VLOOKUP($A55,DATA!$A$3:$F$301,2,FALSE))^2+(VLOOKUP(X$1,DATA!$A$3:$F$301,3,FALSE)-VLOOKUP($A55,DATA!$A$3:$F$301,3,FALSE))^2),"")</f>
        <v/>
      </c>
      <c r="Y55" s="14" t="str">
        <f>_xlfn.IFNA(SQRT((VLOOKUP(Y$1,DATA!$A$3:$F$301,2,FALSE)-VLOOKUP($A55,DATA!$A$3:$F$301,2,FALSE))^2+(VLOOKUP(Y$1,DATA!$A$3:$F$301,3,FALSE)-VLOOKUP($A55,DATA!$A$3:$F$301,3,FALSE))^2),"")</f>
        <v/>
      </c>
      <c r="Z55" s="14" t="str">
        <f>_xlfn.IFNA(SQRT((VLOOKUP(Z$1,DATA!$A$3:$F$301,2,FALSE)-VLOOKUP($A55,DATA!$A$3:$F$301,2,FALSE))^2+(VLOOKUP(Z$1,DATA!$A$3:$F$301,3,FALSE)-VLOOKUP($A55,DATA!$A$3:$F$301,3,FALSE))^2),"")</f>
        <v/>
      </c>
      <c r="AA55" s="14" t="str">
        <f>_xlfn.IFNA(SQRT((VLOOKUP(AA$1,DATA!$A$3:$F$301,2,FALSE)-VLOOKUP($A55,DATA!$A$3:$F$301,2,FALSE))^2+(VLOOKUP(AA$1,DATA!$A$3:$F$301,3,FALSE)-VLOOKUP($A55,DATA!$A$3:$F$301,3,FALSE))^2),"")</f>
        <v/>
      </c>
      <c r="AB55" s="14" t="str">
        <f>_xlfn.IFNA(SQRT((VLOOKUP(AB$1,DATA!$A$3:$F$301,2,FALSE)-VLOOKUP($A55,DATA!$A$3:$F$301,2,FALSE))^2+(VLOOKUP(AB$1,DATA!$A$3:$F$301,3,FALSE)-VLOOKUP($A55,DATA!$A$3:$F$301,3,FALSE))^2),"")</f>
        <v/>
      </c>
      <c r="AC55" s="14" t="str">
        <f>_xlfn.IFNA(SQRT((VLOOKUP(AC$1,DATA!$A$3:$F$301,2,FALSE)-VLOOKUP($A55,DATA!$A$3:$F$301,2,FALSE))^2+(VLOOKUP(AC$1,DATA!$A$3:$F$301,3,FALSE)-VLOOKUP($A55,DATA!$A$3:$F$301,3,FALSE))^2),"")</f>
        <v/>
      </c>
      <c r="AD55" s="14" t="str">
        <f>_xlfn.IFNA(SQRT((VLOOKUP(AD$1,DATA!$A$3:$F$301,2,FALSE)-VLOOKUP($A55,DATA!$A$3:$F$301,2,FALSE))^2+(VLOOKUP(AD$1,DATA!$A$3:$F$301,3,FALSE)-VLOOKUP($A55,DATA!$A$3:$F$301,3,FALSE))^2),"")</f>
        <v/>
      </c>
      <c r="AE55" s="14" t="str">
        <f>_xlfn.IFNA(SQRT((VLOOKUP(AE$1,DATA!$A$3:$F$301,2,FALSE)-VLOOKUP($A55,DATA!$A$3:$F$301,2,FALSE))^2+(VLOOKUP(AE$1,DATA!$A$3:$F$301,3,FALSE)-VLOOKUP($A55,DATA!$A$3:$F$301,3,FALSE))^2),"")</f>
        <v/>
      </c>
      <c r="AF55" s="14" t="str">
        <f>_xlfn.IFNA(SQRT((VLOOKUP(AF$1,DATA!$A$3:$F$301,2,FALSE)-VLOOKUP($A55,DATA!$A$3:$F$301,2,FALSE))^2+(VLOOKUP(AF$1,DATA!$A$3:$F$301,3,FALSE)-VLOOKUP($A55,DATA!$A$3:$F$301,3,FALSE))^2),"")</f>
        <v/>
      </c>
      <c r="AG55" s="14" t="str">
        <f>_xlfn.IFNA(SQRT((VLOOKUP(AG$1,DATA!$A$3:$F$301,2,FALSE)-VLOOKUP($A55,DATA!$A$3:$F$301,2,FALSE))^2+(VLOOKUP(AG$1,DATA!$A$3:$F$301,3,FALSE)-VLOOKUP($A55,DATA!$A$3:$F$301,3,FALSE))^2),"")</f>
        <v/>
      </c>
      <c r="AH55" s="14" t="str">
        <f>_xlfn.IFNA(SQRT((VLOOKUP(AH$1,DATA!$A$3:$F$301,2,FALSE)-VLOOKUP($A55,DATA!$A$3:$F$301,2,FALSE))^2+(VLOOKUP(AH$1,DATA!$A$3:$F$301,3,FALSE)-VLOOKUP($A55,DATA!$A$3:$F$301,3,FALSE))^2),"")</f>
        <v/>
      </c>
      <c r="AI55" s="14" t="str">
        <f>_xlfn.IFNA(SQRT((VLOOKUP(AI$1,DATA!$A$3:$F$301,2,FALSE)-VLOOKUP($A55,DATA!$A$3:$F$301,2,FALSE))^2+(VLOOKUP(AI$1,DATA!$A$3:$F$301,3,FALSE)-VLOOKUP($A55,DATA!$A$3:$F$301,3,FALSE))^2),"")</f>
        <v/>
      </c>
      <c r="AJ55" s="14" t="str">
        <f>_xlfn.IFNA(SQRT((VLOOKUP(AJ$1,DATA!$A$3:$F$301,2,FALSE)-VLOOKUP($A55,DATA!$A$3:$F$301,2,FALSE))^2+(VLOOKUP(AJ$1,DATA!$A$3:$F$301,3,FALSE)-VLOOKUP($A55,DATA!$A$3:$F$301,3,FALSE))^2),"")</f>
        <v/>
      </c>
      <c r="AK55" s="14" t="str">
        <f>_xlfn.IFNA(SQRT((VLOOKUP(AK$1,DATA!$A$3:$F$301,2,FALSE)-VLOOKUP($A55,DATA!$A$3:$F$301,2,FALSE))^2+(VLOOKUP(AK$1,DATA!$A$3:$F$301,3,FALSE)-VLOOKUP($A55,DATA!$A$3:$F$301,3,FALSE))^2),"")</f>
        <v/>
      </c>
      <c r="AL55" s="14" t="str">
        <f>_xlfn.IFNA(SQRT((VLOOKUP(AL$1,DATA!$A$3:$F$301,2,FALSE)-VLOOKUP($A55,DATA!$A$3:$F$301,2,FALSE))^2+(VLOOKUP(AL$1,DATA!$A$3:$F$301,3,FALSE)-VLOOKUP($A55,DATA!$A$3:$F$301,3,FALSE))^2),"")</f>
        <v/>
      </c>
      <c r="AM55" s="14" t="str">
        <f>_xlfn.IFNA(SQRT((VLOOKUP(AM$1,DATA!$A$3:$F$301,2,FALSE)-VLOOKUP($A55,DATA!$A$3:$F$301,2,FALSE))^2+(VLOOKUP(AM$1,DATA!$A$3:$F$301,3,FALSE)-VLOOKUP($A55,DATA!$A$3:$F$301,3,FALSE))^2),"")</f>
        <v/>
      </c>
      <c r="AN55" s="14" t="str">
        <f>_xlfn.IFNA(SQRT((VLOOKUP(AN$1,DATA!$A$3:$F$301,2,FALSE)-VLOOKUP($A55,DATA!$A$3:$F$301,2,FALSE))^2+(VLOOKUP(AN$1,DATA!$A$3:$F$301,3,FALSE)-VLOOKUP($A55,DATA!$A$3:$F$301,3,FALSE))^2),"")</f>
        <v/>
      </c>
      <c r="AO55" s="14" t="str">
        <f>_xlfn.IFNA(SQRT((VLOOKUP(AO$1,DATA!$A$3:$F$301,2,FALSE)-VLOOKUP($A55,DATA!$A$3:$F$301,2,FALSE))^2+(VLOOKUP(AO$1,DATA!$A$3:$F$301,3,FALSE)-VLOOKUP($A55,DATA!$A$3:$F$301,3,FALSE))^2),"")</f>
        <v/>
      </c>
      <c r="AP55" s="14" t="str">
        <f>_xlfn.IFNA(SQRT((VLOOKUP(AP$1,DATA!$A$3:$F$301,2,FALSE)-VLOOKUP($A55,DATA!$A$3:$F$301,2,FALSE))^2+(VLOOKUP(AP$1,DATA!$A$3:$F$301,3,FALSE)-VLOOKUP($A55,DATA!$A$3:$F$301,3,FALSE))^2),"")</f>
        <v/>
      </c>
      <c r="AQ55" s="14" t="str">
        <f>_xlfn.IFNA(SQRT((VLOOKUP(AQ$1,DATA!$A$3:$F$301,2,FALSE)-VLOOKUP($A55,DATA!$A$3:$F$301,2,FALSE))^2+(VLOOKUP(AQ$1,DATA!$A$3:$F$301,3,FALSE)-VLOOKUP($A55,DATA!$A$3:$F$301,3,FALSE))^2),"")</f>
        <v/>
      </c>
      <c r="AR55" s="14" t="str">
        <f>_xlfn.IFNA(SQRT((VLOOKUP(AR$1,DATA!$A$3:$F$301,2,FALSE)-VLOOKUP($A55,DATA!$A$3:$F$301,2,FALSE))^2+(VLOOKUP(AR$1,DATA!$A$3:$F$301,3,FALSE)-VLOOKUP($A55,DATA!$A$3:$F$301,3,FALSE))^2),"")</f>
        <v/>
      </c>
      <c r="AS55" s="14" t="str">
        <f>_xlfn.IFNA(SQRT((VLOOKUP(AS$1,DATA!$A$3:$F$301,2,FALSE)-VLOOKUP($A55,DATA!$A$3:$F$301,2,FALSE))^2+(VLOOKUP(AS$1,DATA!$A$3:$F$301,3,FALSE)-VLOOKUP($A55,DATA!$A$3:$F$301,3,FALSE))^2),"")</f>
        <v/>
      </c>
      <c r="AT55" s="14" t="str">
        <f>_xlfn.IFNA(SQRT((VLOOKUP(AT$1,DATA!$A$3:$F$301,2,FALSE)-VLOOKUP($A55,DATA!$A$3:$F$301,2,FALSE))^2+(VLOOKUP(AT$1,DATA!$A$3:$F$301,3,FALSE)-VLOOKUP($A55,DATA!$A$3:$F$301,3,FALSE))^2),"")</f>
        <v/>
      </c>
      <c r="AU55" s="14" t="str">
        <f>_xlfn.IFNA(SQRT((VLOOKUP(AU$1,DATA!$A$3:$F$301,2,FALSE)-VLOOKUP($A55,DATA!$A$3:$F$301,2,FALSE))^2+(VLOOKUP(AU$1,DATA!$A$3:$F$301,3,FALSE)-VLOOKUP($A55,DATA!$A$3:$F$301,3,FALSE))^2),"")</f>
        <v/>
      </c>
      <c r="AV55" s="14" t="str">
        <f>_xlfn.IFNA(SQRT((VLOOKUP(AV$1,DATA!$A$3:$F$301,2,FALSE)-VLOOKUP($A55,DATA!$A$3:$F$301,2,FALSE))^2+(VLOOKUP(AV$1,DATA!$A$3:$F$301,3,FALSE)-VLOOKUP($A55,DATA!$A$3:$F$301,3,FALSE))^2),"")</f>
        <v/>
      </c>
      <c r="AW55" s="14" t="str">
        <f>_xlfn.IFNA(SQRT((VLOOKUP(AW$1,DATA!$A$3:$F$301,2,FALSE)-VLOOKUP($A55,DATA!$A$3:$F$301,2,FALSE))^2+(VLOOKUP(AW$1,DATA!$A$3:$F$301,3,FALSE)-VLOOKUP($A55,DATA!$A$3:$F$301,3,FALSE))^2),"")</f>
        <v/>
      </c>
      <c r="AX55" s="14" t="str">
        <f>_xlfn.IFNA(SQRT((VLOOKUP(AX$1,DATA!$A$3:$F$301,2,FALSE)-VLOOKUP($A55,DATA!$A$3:$F$301,2,FALSE))^2+(VLOOKUP(AX$1,DATA!$A$3:$F$301,3,FALSE)-VLOOKUP($A55,DATA!$A$3:$F$301,3,FALSE))^2),"")</f>
        <v/>
      </c>
      <c r="AY55" s="14" t="str">
        <f>_xlfn.IFNA(SQRT((VLOOKUP(AY$1,DATA!$A$3:$F$301,2,FALSE)-VLOOKUP($A55,DATA!$A$3:$F$301,2,FALSE))^2+(VLOOKUP(AY$1,DATA!$A$3:$F$301,3,FALSE)-VLOOKUP($A55,DATA!$A$3:$F$301,3,FALSE))^2),"")</f>
        <v/>
      </c>
      <c r="AZ55" s="14" t="str">
        <f>_xlfn.IFNA(SQRT((VLOOKUP(AZ$1,DATA!$A$3:$F$301,2,FALSE)-VLOOKUP($A55,DATA!$A$3:$F$301,2,FALSE))^2+(VLOOKUP(AZ$1,DATA!$A$3:$F$301,3,FALSE)-VLOOKUP($A55,DATA!$A$3:$F$301,3,FALSE))^2),"")</f>
        <v/>
      </c>
      <c r="BA55" s="14" t="str">
        <f>_xlfn.IFNA(SQRT((VLOOKUP(BA$1,DATA!$A$3:$F$301,2,FALSE)-VLOOKUP($A55,DATA!$A$3:$F$301,2,FALSE))^2+(VLOOKUP(BA$1,DATA!$A$3:$F$301,3,FALSE)-VLOOKUP($A55,DATA!$A$3:$F$301,3,FALSE))^2),"")</f>
        <v/>
      </c>
      <c r="BB55" s="14" t="str">
        <f>_xlfn.IFNA(SQRT((VLOOKUP(BB$1,DATA!$A$3:$F$301,2,FALSE)-VLOOKUP($A55,DATA!$A$3:$F$301,2,FALSE))^2+(VLOOKUP(BB$1,DATA!$A$3:$F$301,3,FALSE)-VLOOKUP($A55,DATA!$A$3:$F$301,3,FALSE))^2),"")</f>
        <v/>
      </c>
      <c r="BC55" s="14" t="str">
        <f>_xlfn.IFNA(SQRT((VLOOKUP(BC$1,DATA!$A$3:$F$301,2,FALSE)-VLOOKUP($A55,DATA!$A$3:$F$301,2,FALSE))^2+(VLOOKUP(BC$1,DATA!$A$3:$F$301,3,FALSE)-VLOOKUP($A55,DATA!$A$3:$F$301,3,FALSE))^2),"")</f>
        <v/>
      </c>
      <c r="BD55" s="14" t="str">
        <f>_xlfn.IFNA(SQRT((VLOOKUP(BD$1,DATA!$A$3:$F$301,2,FALSE)-VLOOKUP($A55,DATA!$A$3:$F$301,2,FALSE))^2+(VLOOKUP(BD$1,DATA!$A$3:$F$301,3,FALSE)-VLOOKUP($A55,DATA!$A$3:$F$301,3,FALSE))^2),"")</f>
        <v/>
      </c>
      <c r="BE55" s="14" t="str">
        <f>_xlfn.IFNA(SQRT((VLOOKUP(BE$1,DATA!$A$3:$F$301,2,FALSE)-VLOOKUP($A55,DATA!$A$3:$F$301,2,FALSE))^2+(VLOOKUP(BE$1,DATA!$A$3:$F$301,3,FALSE)-VLOOKUP($A55,DATA!$A$3:$F$301,3,FALSE))^2),"")</f>
        <v/>
      </c>
      <c r="BF55" s="14" t="str">
        <f>_xlfn.IFNA(SQRT((VLOOKUP(BF$1,DATA!$A$3:$F$301,2,FALSE)-VLOOKUP($A55,DATA!$A$3:$F$301,2,FALSE))^2+(VLOOKUP(BF$1,DATA!$A$3:$F$301,3,FALSE)-VLOOKUP($A55,DATA!$A$3:$F$301,3,FALSE))^2),"")</f>
        <v/>
      </c>
      <c r="BG55" s="14" t="str">
        <f>_xlfn.IFNA(SQRT((VLOOKUP(BG$1,DATA!$A$3:$F$301,2,FALSE)-VLOOKUP($A55,DATA!$A$3:$F$301,2,FALSE))^2+(VLOOKUP(BG$1,DATA!$A$3:$F$301,3,FALSE)-VLOOKUP($A55,DATA!$A$3:$F$301,3,FALSE))^2),"")</f>
        <v/>
      </c>
      <c r="BH55" s="14" t="str">
        <f>_xlfn.IFNA(SQRT((VLOOKUP(BH$1,DATA!$A$3:$F$301,2,FALSE)-VLOOKUP($A55,DATA!$A$3:$F$301,2,FALSE))^2+(VLOOKUP(BH$1,DATA!$A$3:$F$301,3,FALSE)-VLOOKUP($A55,DATA!$A$3:$F$301,3,FALSE))^2),"")</f>
        <v/>
      </c>
      <c r="BI55" s="14" t="str">
        <f>_xlfn.IFNA(SQRT((VLOOKUP(BI$1,DATA!$A$3:$F$301,2,FALSE)-VLOOKUP($A55,DATA!$A$3:$F$301,2,FALSE))^2+(VLOOKUP(BI$1,DATA!$A$3:$F$301,3,FALSE)-VLOOKUP($A55,DATA!$A$3:$F$301,3,FALSE))^2),"")</f>
        <v/>
      </c>
      <c r="BJ55" s="14" t="str">
        <f>_xlfn.IFNA(SQRT((VLOOKUP(BJ$1,DATA!$A$3:$F$301,2,FALSE)-VLOOKUP($A55,DATA!$A$3:$F$301,2,FALSE))^2+(VLOOKUP(BJ$1,DATA!$A$3:$F$301,3,FALSE)-VLOOKUP($A55,DATA!$A$3:$F$301,3,FALSE))^2),"")</f>
        <v/>
      </c>
      <c r="BK55" s="14" t="str">
        <f>_xlfn.IFNA(SQRT((VLOOKUP(BK$1,DATA!$A$3:$F$301,2,FALSE)-VLOOKUP($A55,DATA!$A$3:$F$301,2,FALSE))^2+(VLOOKUP(BK$1,DATA!$A$3:$F$301,3,FALSE)-VLOOKUP($A55,DATA!$A$3:$F$301,3,FALSE))^2),"")</f>
        <v/>
      </c>
      <c r="BL55" s="14" t="str">
        <f>_xlfn.IFNA(SQRT((VLOOKUP(BL$1,DATA!$A$3:$F$301,2,FALSE)-VLOOKUP($A55,DATA!$A$3:$F$301,2,FALSE))^2+(VLOOKUP(BL$1,DATA!$A$3:$F$301,3,FALSE)-VLOOKUP($A55,DATA!$A$3:$F$301,3,FALSE))^2),"")</f>
        <v/>
      </c>
      <c r="BM55" s="14" t="str">
        <f>_xlfn.IFNA(SQRT((VLOOKUP(BM$1,DATA!$A$3:$F$301,2,FALSE)-VLOOKUP($A55,DATA!$A$3:$F$301,2,FALSE))^2+(VLOOKUP(BM$1,DATA!$A$3:$F$301,3,FALSE)-VLOOKUP($A55,DATA!$A$3:$F$301,3,FALSE))^2),"")</f>
        <v/>
      </c>
      <c r="BN55" s="14" t="str">
        <f>_xlfn.IFNA(SQRT((VLOOKUP(BN$1,DATA!$A$3:$F$301,2,FALSE)-VLOOKUP($A55,DATA!$A$3:$F$301,2,FALSE))^2+(VLOOKUP(BN$1,DATA!$A$3:$F$301,3,FALSE)-VLOOKUP($A55,DATA!$A$3:$F$301,3,FALSE))^2),"")</f>
        <v/>
      </c>
      <c r="BO55" s="14" t="str">
        <f>_xlfn.IFNA(SQRT((VLOOKUP(BO$1,DATA!$A$3:$F$301,2,FALSE)-VLOOKUP($A55,DATA!$A$3:$F$301,2,FALSE))^2+(VLOOKUP(BO$1,DATA!$A$3:$F$301,3,FALSE)-VLOOKUP($A55,DATA!$A$3:$F$301,3,FALSE))^2),"")</f>
        <v/>
      </c>
      <c r="BP55" s="14" t="str">
        <f>_xlfn.IFNA(SQRT((VLOOKUP(BP$1,DATA!$A$3:$F$301,2,FALSE)-VLOOKUP($A55,DATA!$A$3:$F$301,2,FALSE))^2+(VLOOKUP(BP$1,DATA!$A$3:$F$301,3,FALSE)-VLOOKUP($A55,DATA!$A$3:$F$301,3,FALSE))^2),"")</f>
        <v/>
      </c>
      <c r="BQ55" s="14" t="str">
        <f>_xlfn.IFNA(SQRT((VLOOKUP(BQ$1,DATA!$A$3:$F$301,2,FALSE)-VLOOKUP($A55,DATA!$A$3:$F$301,2,FALSE))^2+(VLOOKUP(BQ$1,DATA!$A$3:$F$301,3,FALSE)-VLOOKUP($A55,DATA!$A$3:$F$301,3,FALSE))^2),"")</f>
        <v/>
      </c>
      <c r="BR55" s="14" t="str">
        <f>_xlfn.IFNA(SQRT((VLOOKUP(BR$1,DATA!$A$3:$F$301,2,FALSE)-VLOOKUP($A55,DATA!$A$3:$F$301,2,FALSE))^2+(VLOOKUP(BR$1,DATA!$A$3:$F$301,3,FALSE)-VLOOKUP($A55,DATA!$A$3:$F$301,3,FALSE))^2),"")</f>
        <v/>
      </c>
      <c r="BS55" s="14" t="str">
        <f>_xlfn.IFNA(SQRT((VLOOKUP(BS$1,DATA!$A$3:$F$301,2,FALSE)-VLOOKUP($A55,DATA!$A$3:$F$301,2,FALSE))^2+(VLOOKUP(BS$1,DATA!$A$3:$F$301,3,FALSE)-VLOOKUP($A55,DATA!$A$3:$F$301,3,FALSE))^2),"")</f>
        <v/>
      </c>
      <c r="BT55" s="14" t="str">
        <f>_xlfn.IFNA(SQRT((VLOOKUP(BT$1,DATA!$A$3:$F$301,2,FALSE)-VLOOKUP($A55,DATA!$A$3:$F$301,2,FALSE))^2+(VLOOKUP(BT$1,DATA!$A$3:$F$301,3,FALSE)-VLOOKUP($A55,DATA!$A$3:$F$301,3,FALSE))^2),"")</f>
        <v/>
      </c>
      <c r="BU55" s="14" t="str">
        <f>_xlfn.IFNA(SQRT((VLOOKUP(BU$1,DATA!$A$3:$F$301,2,FALSE)-VLOOKUP($A55,DATA!$A$3:$F$301,2,FALSE))^2+(VLOOKUP(BU$1,DATA!$A$3:$F$301,3,FALSE)-VLOOKUP($A55,DATA!$A$3:$F$301,3,FALSE))^2),"")</f>
        <v/>
      </c>
      <c r="BV55" s="14" t="str">
        <f>_xlfn.IFNA(SQRT((VLOOKUP(BV$1,DATA!$A$3:$F$301,2,FALSE)-VLOOKUP($A55,DATA!$A$3:$F$301,2,FALSE))^2+(VLOOKUP(BV$1,DATA!$A$3:$F$301,3,FALSE)-VLOOKUP($A55,DATA!$A$3:$F$301,3,FALSE))^2),"")</f>
        <v/>
      </c>
      <c r="BW55" s="14" t="str">
        <f>_xlfn.IFNA(SQRT((VLOOKUP(BW$1,DATA!$A$3:$F$301,2,FALSE)-VLOOKUP($A55,DATA!$A$3:$F$301,2,FALSE))^2+(VLOOKUP(BW$1,DATA!$A$3:$F$301,3,FALSE)-VLOOKUP($A55,DATA!$A$3:$F$301,3,FALSE))^2),"")</f>
        <v/>
      </c>
      <c r="BX55" s="14" t="str">
        <f>_xlfn.IFNA(SQRT((VLOOKUP(BX$1,DATA!$A$3:$F$301,2,FALSE)-VLOOKUP($A55,DATA!$A$3:$F$301,2,FALSE))^2+(VLOOKUP(BX$1,DATA!$A$3:$F$301,3,FALSE)-VLOOKUP($A55,DATA!$A$3:$F$301,3,FALSE))^2),"")</f>
        <v/>
      </c>
      <c r="BY55" s="14" t="str">
        <f>_xlfn.IFNA(SQRT((VLOOKUP(BY$1,DATA!$A$3:$F$301,2,FALSE)-VLOOKUP($A55,DATA!$A$3:$F$301,2,FALSE))^2+(VLOOKUP(BY$1,DATA!$A$3:$F$301,3,FALSE)-VLOOKUP($A55,DATA!$A$3:$F$301,3,FALSE))^2),"")</f>
        <v/>
      </c>
      <c r="BZ55" s="14" t="str">
        <f>_xlfn.IFNA(SQRT((VLOOKUP(BZ$1,DATA!$A$3:$F$301,2,FALSE)-VLOOKUP($A55,DATA!$A$3:$F$301,2,FALSE))^2+(VLOOKUP(BZ$1,DATA!$A$3:$F$301,3,FALSE)-VLOOKUP($A55,DATA!$A$3:$F$301,3,FALSE))^2),"")</f>
        <v/>
      </c>
      <c r="CA55" s="14" t="str">
        <f>_xlfn.IFNA(SQRT((VLOOKUP(CA$1,DATA!$A$3:$F$301,2,FALSE)-VLOOKUP($A55,DATA!$A$3:$F$301,2,FALSE))^2+(VLOOKUP(CA$1,DATA!$A$3:$F$301,3,FALSE)-VLOOKUP($A55,DATA!$A$3:$F$301,3,FALSE))^2),"")</f>
        <v/>
      </c>
      <c r="CB55" s="14" t="str">
        <f>_xlfn.IFNA(SQRT((VLOOKUP(CB$1,DATA!$A$3:$F$301,2,FALSE)-VLOOKUP($A55,DATA!$A$3:$F$301,2,FALSE))^2+(VLOOKUP(CB$1,DATA!$A$3:$F$301,3,FALSE)-VLOOKUP($A55,DATA!$A$3:$F$301,3,FALSE))^2),"")</f>
        <v/>
      </c>
      <c r="CC55" s="14" t="str">
        <f>_xlfn.IFNA(SQRT((VLOOKUP(CC$1,DATA!$A$3:$F$301,2,FALSE)-VLOOKUP($A55,DATA!$A$3:$F$301,2,FALSE))^2+(VLOOKUP(CC$1,DATA!$A$3:$F$301,3,FALSE)-VLOOKUP($A55,DATA!$A$3:$F$301,3,FALSE))^2),"")</f>
        <v/>
      </c>
      <c r="CD55" s="14" t="str">
        <f>_xlfn.IFNA(SQRT((VLOOKUP(CD$1,DATA!$A$3:$F$301,2,FALSE)-VLOOKUP($A55,DATA!$A$3:$F$301,2,FALSE))^2+(VLOOKUP(CD$1,DATA!$A$3:$F$301,3,FALSE)-VLOOKUP($A55,DATA!$A$3:$F$301,3,FALSE))^2),"")</f>
        <v/>
      </c>
      <c r="CE55" s="14" t="str">
        <f>_xlfn.IFNA(SQRT((VLOOKUP(CE$1,DATA!$A$3:$F$301,2,FALSE)-VLOOKUP($A55,DATA!$A$3:$F$301,2,FALSE))^2+(VLOOKUP(CE$1,DATA!$A$3:$F$301,3,FALSE)-VLOOKUP($A55,DATA!$A$3:$F$301,3,FALSE))^2),"")</f>
        <v/>
      </c>
      <c r="CF55" s="14" t="str">
        <f>_xlfn.IFNA(SQRT((VLOOKUP(CF$1,DATA!$A$3:$F$301,2,FALSE)-VLOOKUP($A55,DATA!$A$3:$F$301,2,FALSE))^2+(VLOOKUP(CF$1,DATA!$A$3:$F$301,3,FALSE)-VLOOKUP($A55,DATA!$A$3:$F$301,3,FALSE))^2),"")</f>
        <v/>
      </c>
      <c r="CG55" s="14" t="str">
        <f>_xlfn.IFNA(SQRT((VLOOKUP(CG$1,DATA!$A$3:$F$301,2,FALSE)-VLOOKUP($A55,DATA!$A$3:$F$301,2,FALSE))^2+(VLOOKUP(CG$1,DATA!$A$3:$F$301,3,FALSE)-VLOOKUP($A55,DATA!$A$3:$F$301,3,FALSE))^2),"")</f>
        <v/>
      </c>
      <c r="CH55" s="14" t="str">
        <f>_xlfn.IFNA(SQRT((VLOOKUP(CH$1,DATA!$A$3:$F$301,2,FALSE)-VLOOKUP($A55,DATA!$A$3:$F$301,2,FALSE))^2+(VLOOKUP(CH$1,DATA!$A$3:$F$301,3,FALSE)-VLOOKUP($A55,DATA!$A$3:$F$301,3,FALSE))^2),"")</f>
        <v/>
      </c>
      <c r="CI55" s="14" t="str">
        <f>_xlfn.IFNA(SQRT((VLOOKUP(CI$1,DATA!$A$3:$F$301,2,FALSE)-VLOOKUP($A55,DATA!$A$3:$F$301,2,FALSE))^2+(VLOOKUP(CI$1,DATA!$A$3:$F$301,3,FALSE)-VLOOKUP($A55,DATA!$A$3:$F$301,3,FALSE))^2),"")</f>
        <v/>
      </c>
      <c r="CJ55" s="14" t="str">
        <f>_xlfn.IFNA(SQRT((VLOOKUP(CJ$1,DATA!$A$3:$F$301,2,FALSE)-VLOOKUP($A55,DATA!$A$3:$F$301,2,FALSE))^2+(VLOOKUP(CJ$1,DATA!$A$3:$F$301,3,FALSE)-VLOOKUP($A55,DATA!$A$3:$F$301,3,FALSE))^2),"")</f>
        <v/>
      </c>
      <c r="CK55" s="14" t="str">
        <f>_xlfn.IFNA(SQRT((VLOOKUP(CK$1,DATA!$A$3:$F$301,2,FALSE)-VLOOKUP($A55,DATA!$A$3:$F$301,2,FALSE))^2+(VLOOKUP(CK$1,DATA!$A$3:$F$301,3,FALSE)-VLOOKUP($A55,DATA!$A$3:$F$301,3,FALSE))^2),"")</f>
        <v/>
      </c>
      <c r="CL55" s="14" t="str">
        <f>_xlfn.IFNA(SQRT((VLOOKUP(CL$1,DATA!$A$3:$F$301,2,FALSE)-VLOOKUP($A55,DATA!$A$3:$F$301,2,FALSE))^2+(VLOOKUP(CL$1,DATA!$A$3:$F$301,3,FALSE)-VLOOKUP($A55,DATA!$A$3:$F$301,3,FALSE))^2),"")</f>
        <v/>
      </c>
      <c r="CM55" s="14" t="str">
        <f>_xlfn.IFNA(SQRT((VLOOKUP(CM$1,DATA!$A$3:$F$301,2,FALSE)-VLOOKUP($A55,DATA!$A$3:$F$301,2,FALSE))^2+(VLOOKUP(CM$1,DATA!$A$3:$F$301,3,FALSE)-VLOOKUP($A55,DATA!$A$3:$F$301,3,FALSE))^2),"")</f>
        <v/>
      </c>
      <c r="CN55" s="14" t="str">
        <f>_xlfn.IFNA(SQRT((VLOOKUP(CN$1,DATA!$A$3:$F$301,2,FALSE)-VLOOKUP($A55,DATA!$A$3:$F$301,2,FALSE))^2+(VLOOKUP(CN$1,DATA!$A$3:$F$301,3,FALSE)-VLOOKUP($A55,DATA!$A$3:$F$301,3,FALSE))^2),"")</f>
        <v/>
      </c>
      <c r="CO55" s="14" t="str">
        <f>_xlfn.IFNA(SQRT((VLOOKUP(CO$1,DATA!$A$3:$F$301,2,FALSE)-VLOOKUP($A55,DATA!$A$3:$F$301,2,FALSE))^2+(VLOOKUP(CO$1,DATA!$A$3:$F$301,3,FALSE)-VLOOKUP($A55,DATA!$A$3:$F$301,3,FALSE))^2),"")</f>
        <v/>
      </c>
      <c r="CP55" s="14" t="str">
        <f>_xlfn.IFNA(SQRT((VLOOKUP(CP$1,DATA!$A$3:$F$301,2,FALSE)-VLOOKUP($A55,DATA!$A$3:$F$301,2,FALSE))^2+(VLOOKUP(CP$1,DATA!$A$3:$F$301,3,FALSE)-VLOOKUP($A55,DATA!$A$3:$F$301,3,FALSE))^2),"")</f>
        <v/>
      </c>
      <c r="CQ55" s="14" t="str">
        <f>_xlfn.IFNA(SQRT((VLOOKUP(CQ$1,DATA!$A$3:$F$301,2,FALSE)-VLOOKUP($A55,DATA!$A$3:$F$301,2,FALSE))^2+(VLOOKUP(CQ$1,DATA!$A$3:$F$301,3,FALSE)-VLOOKUP($A55,DATA!$A$3:$F$301,3,FALSE))^2),"")</f>
        <v/>
      </c>
      <c r="CR55" s="14" t="str">
        <f>_xlfn.IFNA(SQRT((VLOOKUP(CR$1,DATA!$A$3:$F$301,2,FALSE)-VLOOKUP($A55,DATA!$A$3:$F$301,2,FALSE))^2+(VLOOKUP(CR$1,DATA!$A$3:$F$301,3,FALSE)-VLOOKUP($A55,DATA!$A$3:$F$301,3,FALSE))^2),"")</f>
        <v/>
      </c>
      <c r="CS55" s="14" t="str">
        <f>_xlfn.IFNA(SQRT((VLOOKUP(CS$1,DATA!$A$3:$F$301,2,FALSE)-VLOOKUP($A55,DATA!$A$3:$F$301,2,FALSE))^2+(VLOOKUP(CS$1,DATA!$A$3:$F$301,3,FALSE)-VLOOKUP($A55,DATA!$A$3:$F$301,3,FALSE))^2),"")</f>
        <v/>
      </c>
      <c r="CT55" s="14" t="str">
        <f>_xlfn.IFNA(SQRT((VLOOKUP(CT$1,DATA!$A$3:$F$301,2,FALSE)-VLOOKUP($A55,DATA!$A$3:$F$301,2,FALSE))^2+(VLOOKUP(CT$1,DATA!$A$3:$F$301,3,FALSE)-VLOOKUP($A55,DATA!$A$3:$F$301,3,FALSE))^2),"")</f>
        <v/>
      </c>
      <c r="CU55" s="14" t="str">
        <f>_xlfn.IFNA(SQRT((VLOOKUP(CU$1,DATA!$A$3:$F$301,2,FALSE)-VLOOKUP($A55,DATA!$A$3:$F$301,2,FALSE))^2+(VLOOKUP(CU$1,DATA!$A$3:$F$301,3,FALSE)-VLOOKUP($A55,DATA!$A$3:$F$301,3,FALSE))^2),"")</f>
        <v/>
      </c>
      <c r="CV55" s="14" t="str">
        <f>_xlfn.IFNA(SQRT((VLOOKUP(CV$1,DATA!$A$3:$F$301,2,FALSE)-VLOOKUP($A55,DATA!$A$3:$F$301,2,FALSE))^2+(VLOOKUP(CV$1,DATA!$A$3:$F$301,3,FALSE)-VLOOKUP($A55,DATA!$A$3:$F$301,3,FALSE))^2),"")</f>
        <v/>
      </c>
      <c r="CW55" s="14" t="str">
        <f>_xlfn.IFNA(SQRT((VLOOKUP(CW$1,DATA!$A$3:$F$301,2,FALSE)-VLOOKUP($A55,DATA!$A$3:$F$301,2,FALSE))^2+(VLOOKUP(CW$1,DATA!$A$3:$F$301,3,FALSE)-VLOOKUP($A55,DATA!$A$3:$F$301,3,FALSE))^2),"")</f>
        <v/>
      </c>
      <c r="CX55" s="14" t="str">
        <f>_xlfn.IFNA(SQRT((VLOOKUP(CX$1,DATA!$A$3:$F$301,2,FALSE)-VLOOKUP($A55,DATA!$A$3:$F$301,2,FALSE))^2+(VLOOKUP(CX$1,DATA!$A$3:$F$301,3,FALSE)-VLOOKUP($A55,DATA!$A$3:$F$301,3,FALSE))^2),"")</f>
        <v/>
      </c>
    </row>
    <row r="56" spans="1:102">
      <c r="A56" s="13">
        <v>55</v>
      </c>
      <c r="B56" s="14" t="str">
        <f>_xlfn.IFNA(SQRT((VLOOKUP(B$1,DATA!$A$3:$F$301,2,FALSE)-VLOOKUP($A56,DATA!$A$3:$F$301,2,FALSE))^2+(VLOOKUP(B$1,DATA!$A$3:$F$301,3,FALSE)-VLOOKUP($A56,DATA!$A$3:$F$301,3,FALSE))^2),"")</f>
        <v/>
      </c>
      <c r="C56" s="14" t="str">
        <f>_xlfn.IFNA(SQRT((VLOOKUP(C$1,DATA!$A$3:$F$301,2,FALSE)-VLOOKUP($A56,DATA!$A$3:$F$301,2,FALSE))^2+(VLOOKUP(C$1,DATA!$A$3:$F$301,3,FALSE)-VLOOKUP($A56,DATA!$A$3:$F$301,3,FALSE))^2),"")</f>
        <v/>
      </c>
      <c r="D56" s="14" t="str">
        <f>_xlfn.IFNA(SQRT((VLOOKUP(D$1,DATA!$A$3:$F$301,2,FALSE)-VLOOKUP($A56,DATA!$A$3:$F$301,2,FALSE))^2+(VLOOKUP(D$1,DATA!$A$3:$F$301,3,FALSE)-VLOOKUP($A56,DATA!$A$3:$F$301,3,FALSE))^2),"")</f>
        <v/>
      </c>
      <c r="E56" s="14" t="str">
        <f>_xlfn.IFNA(SQRT((VLOOKUP(E$1,DATA!$A$3:$F$301,2,FALSE)-VLOOKUP($A56,DATA!$A$3:$F$301,2,FALSE))^2+(VLOOKUP(E$1,DATA!$A$3:$F$301,3,FALSE)-VLOOKUP($A56,DATA!$A$3:$F$301,3,FALSE))^2),"")</f>
        <v/>
      </c>
      <c r="F56" s="14" t="str">
        <f>_xlfn.IFNA(SQRT((VLOOKUP(F$1,DATA!$A$3:$F$301,2,FALSE)-VLOOKUP($A56,DATA!$A$3:$F$301,2,FALSE))^2+(VLOOKUP(F$1,DATA!$A$3:$F$301,3,FALSE)-VLOOKUP($A56,DATA!$A$3:$F$301,3,FALSE))^2),"")</f>
        <v/>
      </c>
      <c r="G56" s="14" t="str">
        <f>_xlfn.IFNA(SQRT((VLOOKUP(G$1,DATA!$A$3:$F$301,2,FALSE)-VLOOKUP($A56,DATA!$A$3:$F$301,2,FALSE))^2+(VLOOKUP(G$1,DATA!$A$3:$F$301,3,FALSE)-VLOOKUP($A56,DATA!$A$3:$F$301,3,FALSE))^2),"")</f>
        <v/>
      </c>
      <c r="H56" s="14" t="str">
        <f>_xlfn.IFNA(SQRT((VLOOKUP(H$1,DATA!$A$3:$F$301,2,FALSE)-VLOOKUP($A56,DATA!$A$3:$F$301,2,FALSE))^2+(VLOOKUP(H$1,DATA!$A$3:$F$301,3,FALSE)-VLOOKUP($A56,DATA!$A$3:$F$301,3,FALSE))^2),"")</f>
        <v/>
      </c>
      <c r="I56" s="14" t="str">
        <f>_xlfn.IFNA(SQRT((VLOOKUP(I$1,DATA!$A$3:$F$301,2,FALSE)-VLOOKUP($A56,DATA!$A$3:$F$301,2,FALSE))^2+(VLOOKUP(I$1,DATA!$A$3:$F$301,3,FALSE)-VLOOKUP($A56,DATA!$A$3:$F$301,3,FALSE))^2),"")</f>
        <v/>
      </c>
      <c r="J56" s="14" t="str">
        <f>_xlfn.IFNA(SQRT((VLOOKUP(J$1,DATA!$A$3:$F$301,2,FALSE)-VLOOKUP($A56,DATA!$A$3:$F$301,2,FALSE))^2+(VLOOKUP(J$1,DATA!$A$3:$F$301,3,FALSE)-VLOOKUP($A56,DATA!$A$3:$F$301,3,FALSE))^2),"")</f>
        <v/>
      </c>
      <c r="K56" s="14" t="str">
        <f>_xlfn.IFNA(SQRT((VLOOKUP(K$1,DATA!$A$3:$F$301,2,FALSE)-VLOOKUP($A56,DATA!$A$3:$F$301,2,FALSE))^2+(VLOOKUP(K$1,DATA!$A$3:$F$301,3,FALSE)-VLOOKUP($A56,DATA!$A$3:$F$301,3,FALSE))^2),"")</f>
        <v/>
      </c>
      <c r="L56" s="14" t="str">
        <f>_xlfn.IFNA(SQRT((VLOOKUP(L$1,DATA!$A$3:$F$301,2,FALSE)-VLOOKUP($A56,DATA!$A$3:$F$301,2,FALSE))^2+(VLOOKUP(L$1,DATA!$A$3:$F$301,3,FALSE)-VLOOKUP($A56,DATA!$A$3:$F$301,3,FALSE))^2),"")</f>
        <v/>
      </c>
      <c r="M56" s="14" t="str">
        <f>_xlfn.IFNA(SQRT((VLOOKUP(M$1,DATA!$A$3:$F$301,2,FALSE)-VLOOKUP($A56,DATA!$A$3:$F$301,2,FALSE))^2+(VLOOKUP(M$1,DATA!$A$3:$F$301,3,FALSE)-VLOOKUP($A56,DATA!$A$3:$F$301,3,FALSE))^2),"")</f>
        <v/>
      </c>
      <c r="N56" s="14" t="str">
        <f>_xlfn.IFNA(SQRT((VLOOKUP(N$1,DATA!$A$3:$F$301,2,FALSE)-VLOOKUP($A56,DATA!$A$3:$F$301,2,FALSE))^2+(VLOOKUP(N$1,DATA!$A$3:$F$301,3,FALSE)-VLOOKUP($A56,DATA!$A$3:$F$301,3,FALSE))^2),"")</f>
        <v/>
      </c>
      <c r="O56" s="14" t="str">
        <f>_xlfn.IFNA(SQRT((VLOOKUP(O$1,DATA!$A$3:$F$301,2,FALSE)-VLOOKUP($A56,DATA!$A$3:$F$301,2,FALSE))^2+(VLOOKUP(O$1,DATA!$A$3:$F$301,3,FALSE)-VLOOKUP($A56,DATA!$A$3:$F$301,3,FALSE))^2),"")</f>
        <v/>
      </c>
      <c r="P56" s="14" t="str">
        <f>_xlfn.IFNA(SQRT((VLOOKUP(P$1,DATA!$A$3:$F$301,2,FALSE)-VLOOKUP($A56,DATA!$A$3:$F$301,2,FALSE))^2+(VLOOKUP(P$1,DATA!$A$3:$F$301,3,FALSE)-VLOOKUP($A56,DATA!$A$3:$F$301,3,FALSE))^2),"")</f>
        <v/>
      </c>
      <c r="Q56" s="14" t="str">
        <f>_xlfn.IFNA(SQRT((VLOOKUP(Q$1,DATA!$A$3:$F$301,2,FALSE)-VLOOKUP($A56,DATA!$A$3:$F$301,2,FALSE))^2+(VLOOKUP(Q$1,DATA!$A$3:$F$301,3,FALSE)-VLOOKUP($A56,DATA!$A$3:$F$301,3,FALSE))^2),"")</f>
        <v/>
      </c>
      <c r="R56" s="14" t="str">
        <f>_xlfn.IFNA(SQRT((VLOOKUP(R$1,DATA!$A$3:$F$301,2,FALSE)-VLOOKUP($A56,DATA!$A$3:$F$301,2,FALSE))^2+(VLOOKUP(R$1,DATA!$A$3:$F$301,3,FALSE)-VLOOKUP($A56,DATA!$A$3:$F$301,3,FALSE))^2),"")</f>
        <v/>
      </c>
      <c r="S56" s="14" t="str">
        <f>_xlfn.IFNA(SQRT((VLOOKUP(S$1,DATA!$A$3:$F$301,2,FALSE)-VLOOKUP($A56,DATA!$A$3:$F$301,2,FALSE))^2+(VLOOKUP(S$1,DATA!$A$3:$F$301,3,FALSE)-VLOOKUP($A56,DATA!$A$3:$F$301,3,FALSE))^2),"")</f>
        <v/>
      </c>
      <c r="T56" s="14" t="str">
        <f>_xlfn.IFNA(SQRT((VLOOKUP(T$1,DATA!$A$3:$F$301,2,FALSE)-VLOOKUP($A56,DATA!$A$3:$F$301,2,FALSE))^2+(VLOOKUP(T$1,DATA!$A$3:$F$301,3,FALSE)-VLOOKUP($A56,DATA!$A$3:$F$301,3,FALSE))^2),"")</f>
        <v/>
      </c>
      <c r="U56" s="14" t="str">
        <f>_xlfn.IFNA(SQRT((VLOOKUP(U$1,DATA!$A$3:$F$301,2,FALSE)-VLOOKUP($A56,DATA!$A$3:$F$301,2,FALSE))^2+(VLOOKUP(U$1,DATA!$A$3:$F$301,3,FALSE)-VLOOKUP($A56,DATA!$A$3:$F$301,3,FALSE))^2),"")</f>
        <v/>
      </c>
      <c r="V56" s="14" t="str">
        <f>_xlfn.IFNA(SQRT((VLOOKUP(V$1,DATA!$A$3:$F$301,2,FALSE)-VLOOKUP($A56,DATA!$A$3:$F$301,2,FALSE))^2+(VLOOKUP(V$1,DATA!$A$3:$F$301,3,FALSE)-VLOOKUP($A56,DATA!$A$3:$F$301,3,FALSE))^2),"")</f>
        <v/>
      </c>
      <c r="W56" s="14" t="str">
        <f>_xlfn.IFNA(SQRT((VLOOKUP(W$1,DATA!$A$3:$F$301,2,FALSE)-VLOOKUP($A56,DATA!$A$3:$F$301,2,FALSE))^2+(VLOOKUP(W$1,DATA!$A$3:$F$301,3,FALSE)-VLOOKUP($A56,DATA!$A$3:$F$301,3,FALSE))^2),"")</f>
        <v/>
      </c>
      <c r="X56" s="14" t="str">
        <f>_xlfn.IFNA(SQRT((VLOOKUP(X$1,DATA!$A$3:$F$301,2,FALSE)-VLOOKUP($A56,DATA!$A$3:$F$301,2,FALSE))^2+(VLOOKUP(X$1,DATA!$A$3:$F$301,3,FALSE)-VLOOKUP($A56,DATA!$A$3:$F$301,3,FALSE))^2),"")</f>
        <v/>
      </c>
      <c r="Y56" s="14" t="str">
        <f>_xlfn.IFNA(SQRT((VLOOKUP(Y$1,DATA!$A$3:$F$301,2,FALSE)-VLOOKUP($A56,DATA!$A$3:$F$301,2,FALSE))^2+(VLOOKUP(Y$1,DATA!$A$3:$F$301,3,FALSE)-VLOOKUP($A56,DATA!$A$3:$F$301,3,FALSE))^2),"")</f>
        <v/>
      </c>
      <c r="Z56" s="14" t="str">
        <f>_xlfn.IFNA(SQRT((VLOOKUP(Z$1,DATA!$A$3:$F$301,2,FALSE)-VLOOKUP($A56,DATA!$A$3:$F$301,2,FALSE))^2+(VLOOKUP(Z$1,DATA!$A$3:$F$301,3,FALSE)-VLOOKUP($A56,DATA!$A$3:$F$301,3,FALSE))^2),"")</f>
        <v/>
      </c>
      <c r="AA56" s="14" t="str">
        <f>_xlfn.IFNA(SQRT((VLOOKUP(AA$1,DATA!$A$3:$F$301,2,FALSE)-VLOOKUP($A56,DATA!$A$3:$F$301,2,FALSE))^2+(VLOOKUP(AA$1,DATA!$A$3:$F$301,3,FALSE)-VLOOKUP($A56,DATA!$A$3:$F$301,3,FALSE))^2),"")</f>
        <v/>
      </c>
      <c r="AB56" s="14" t="str">
        <f>_xlfn.IFNA(SQRT((VLOOKUP(AB$1,DATA!$A$3:$F$301,2,FALSE)-VLOOKUP($A56,DATA!$A$3:$F$301,2,FALSE))^2+(VLOOKUP(AB$1,DATA!$A$3:$F$301,3,FALSE)-VLOOKUP($A56,DATA!$A$3:$F$301,3,FALSE))^2),"")</f>
        <v/>
      </c>
      <c r="AC56" s="14" t="str">
        <f>_xlfn.IFNA(SQRT((VLOOKUP(AC$1,DATA!$A$3:$F$301,2,FALSE)-VLOOKUP($A56,DATA!$A$3:$F$301,2,FALSE))^2+(VLOOKUP(AC$1,DATA!$A$3:$F$301,3,FALSE)-VLOOKUP($A56,DATA!$A$3:$F$301,3,FALSE))^2),"")</f>
        <v/>
      </c>
      <c r="AD56" s="14" t="str">
        <f>_xlfn.IFNA(SQRT((VLOOKUP(AD$1,DATA!$A$3:$F$301,2,FALSE)-VLOOKUP($A56,DATA!$A$3:$F$301,2,FALSE))^2+(VLOOKUP(AD$1,DATA!$A$3:$F$301,3,FALSE)-VLOOKUP($A56,DATA!$A$3:$F$301,3,FALSE))^2),"")</f>
        <v/>
      </c>
      <c r="AE56" s="14" t="str">
        <f>_xlfn.IFNA(SQRT((VLOOKUP(AE$1,DATA!$A$3:$F$301,2,FALSE)-VLOOKUP($A56,DATA!$A$3:$F$301,2,FALSE))^2+(VLOOKUP(AE$1,DATA!$A$3:$F$301,3,FALSE)-VLOOKUP($A56,DATA!$A$3:$F$301,3,FALSE))^2),"")</f>
        <v/>
      </c>
      <c r="AF56" s="14" t="str">
        <f>_xlfn.IFNA(SQRT((VLOOKUP(AF$1,DATA!$A$3:$F$301,2,FALSE)-VLOOKUP($A56,DATA!$A$3:$F$301,2,FALSE))^2+(VLOOKUP(AF$1,DATA!$A$3:$F$301,3,FALSE)-VLOOKUP($A56,DATA!$A$3:$F$301,3,FALSE))^2),"")</f>
        <v/>
      </c>
      <c r="AG56" s="14" t="str">
        <f>_xlfn.IFNA(SQRT((VLOOKUP(AG$1,DATA!$A$3:$F$301,2,FALSE)-VLOOKUP($A56,DATA!$A$3:$F$301,2,FALSE))^2+(VLOOKUP(AG$1,DATA!$A$3:$F$301,3,FALSE)-VLOOKUP($A56,DATA!$A$3:$F$301,3,FALSE))^2),"")</f>
        <v/>
      </c>
      <c r="AH56" s="14" t="str">
        <f>_xlfn.IFNA(SQRT((VLOOKUP(AH$1,DATA!$A$3:$F$301,2,FALSE)-VLOOKUP($A56,DATA!$A$3:$F$301,2,FALSE))^2+(VLOOKUP(AH$1,DATA!$A$3:$F$301,3,FALSE)-VLOOKUP($A56,DATA!$A$3:$F$301,3,FALSE))^2),"")</f>
        <v/>
      </c>
      <c r="AI56" s="14" t="str">
        <f>_xlfn.IFNA(SQRT((VLOOKUP(AI$1,DATA!$A$3:$F$301,2,FALSE)-VLOOKUP($A56,DATA!$A$3:$F$301,2,FALSE))^2+(VLOOKUP(AI$1,DATA!$A$3:$F$301,3,FALSE)-VLOOKUP($A56,DATA!$A$3:$F$301,3,FALSE))^2),"")</f>
        <v/>
      </c>
      <c r="AJ56" s="14" t="str">
        <f>_xlfn.IFNA(SQRT((VLOOKUP(AJ$1,DATA!$A$3:$F$301,2,FALSE)-VLOOKUP($A56,DATA!$A$3:$F$301,2,FALSE))^2+(VLOOKUP(AJ$1,DATA!$A$3:$F$301,3,FALSE)-VLOOKUP($A56,DATA!$A$3:$F$301,3,FALSE))^2),"")</f>
        <v/>
      </c>
      <c r="AK56" s="14" t="str">
        <f>_xlfn.IFNA(SQRT((VLOOKUP(AK$1,DATA!$A$3:$F$301,2,FALSE)-VLOOKUP($A56,DATA!$A$3:$F$301,2,FALSE))^2+(VLOOKUP(AK$1,DATA!$A$3:$F$301,3,FALSE)-VLOOKUP($A56,DATA!$A$3:$F$301,3,FALSE))^2),"")</f>
        <v/>
      </c>
      <c r="AL56" s="14" t="str">
        <f>_xlfn.IFNA(SQRT((VLOOKUP(AL$1,DATA!$A$3:$F$301,2,FALSE)-VLOOKUP($A56,DATA!$A$3:$F$301,2,FALSE))^2+(VLOOKUP(AL$1,DATA!$A$3:$F$301,3,FALSE)-VLOOKUP($A56,DATA!$A$3:$F$301,3,FALSE))^2),"")</f>
        <v/>
      </c>
      <c r="AM56" s="14" t="str">
        <f>_xlfn.IFNA(SQRT((VLOOKUP(AM$1,DATA!$A$3:$F$301,2,FALSE)-VLOOKUP($A56,DATA!$A$3:$F$301,2,FALSE))^2+(VLOOKUP(AM$1,DATA!$A$3:$F$301,3,FALSE)-VLOOKUP($A56,DATA!$A$3:$F$301,3,FALSE))^2),"")</f>
        <v/>
      </c>
      <c r="AN56" s="14" t="str">
        <f>_xlfn.IFNA(SQRT((VLOOKUP(AN$1,DATA!$A$3:$F$301,2,FALSE)-VLOOKUP($A56,DATA!$A$3:$F$301,2,FALSE))^2+(VLOOKUP(AN$1,DATA!$A$3:$F$301,3,FALSE)-VLOOKUP($A56,DATA!$A$3:$F$301,3,FALSE))^2),"")</f>
        <v/>
      </c>
      <c r="AO56" s="14" t="str">
        <f>_xlfn.IFNA(SQRT((VLOOKUP(AO$1,DATA!$A$3:$F$301,2,FALSE)-VLOOKUP($A56,DATA!$A$3:$F$301,2,FALSE))^2+(VLOOKUP(AO$1,DATA!$A$3:$F$301,3,FALSE)-VLOOKUP($A56,DATA!$A$3:$F$301,3,FALSE))^2),"")</f>
        <v/>
      </c>
      <c r="AP56" s="14" t="str">
        <f>_xlfn.IFNA(SQRT((VLOOKUP(AP$1,DATA!$A$3:$F$301,2,FALSE)-VLOOKUP($A56,DATA!$A$3:$F$301,2,FALSE))^2+(VLOOKUP(AP$1,DATA!$A$3:$F$301,3,FALSE)-VLOOKUP($A56,DATA!$A$3:$F$301,3,FALSE))^2),"")</f>
        <v/>
      </c>
      <c r="AQ56" s="14" t="str">
        <f>_xlfn.IFNA(SQRT((VLOOKUP(AQ$1,DATA!$A$3:$F$301,2,FALSE)-VLOOKUP($A56,DATA!$A$3:$F$301,2,FALSE))^2+(VLOOKUP(AQ$1,DATA!$A$3:$F$301,3,FALSE)-VLOOKUP($A56,DATA!$A$3:$F$301,3,FALSE))^2),"")</f>
        <v/>
      </c>
      <c r="AR56" s="14" t="str">
        <f>_xlfn.IFNA(SQRT((VLOOKUP(AR$1,DATA!$A$3:$F$301,2,FALSE)-VLOOKUP($A56,DATA!$A$3:$F$301,2,FALSE))^2+(VLOOKUP(AR$1,DATA!$A$3:$F$301,3,FALSE)-VLOOKUP($A56,DATA!$A$3:$F$301,3,FALSE))^2),"")</f>
        <v/>
      </c>
      <c r="AS56" s="14" t="str">
        <f>_xlfn.IFNA(SQRT((VLOOKUP(AS$1,DATA!$A$3:$F$301,2,FALSE)-VLOOKUP($A56,DATA!$A$3:$F$301,2,FALSE))^2+(VLOOKUP(AS$1,DATA!$A$3:$F$301,3,FALSE)-VLOOKUP($A56,DATA!$A$3:$F$301,3,FALSE))^2),"")</f>
        <v/>
      </c>
      <c r="AT56" s="14" t="str">
        <f>_xlfn.IFNA(SQRT((VLOOKUP(AT$1,DATA!$A$3:$F$301,2,FALSE)-VLOOKUP($A56,DATA!$A$3:$F$301,2,FALSE))^2+(VLOOKUP(AT$1,DATA!$A$3:$F$301,3,FALSE)-VLOOKUP($A56,DATA!$A$3:$F$301,3,FALSE))^2),"")</f>
        <v/>
      </c>
      <c r="AU56" s="14" t="str">
        <f>_xlfn.IFNA(SQRT((VLOOKUP(AU$1,DATA!$A$3:$F$301,2,FALSE)-VLOOKUP($A56,DATA!$A$3:$F$301,2,FALSE))^2+(VLOOKUP(AU$1,DATA!$A$3:$F$301,3,FALSE)-VLOOKUP($A56,DATA!$A$3:$F$301,3,FALSE))^2),"")</f>
        <v/>
      </c>
      <c r="AV56" s="14" t="str">
        <f>_xlfn.IFNA(SQRT((VLOOKUP(AV$1,DATA!$A$3:$F$301,2,FALSE)-VLOOKUP($A56,DATA!$A$3:$F$301,2,FALSE))^2+(VLOOKUP(AV$1,DATA!$A$3:$F$301,3,FALSE)-VLOOKUP($A56,DATA!$A$3:$F$301,3,FALSE))^2),"")</f>
        <v/>
      </c>
      <c r="AW56" s="14" t="str">
        <f>_xlfn.IFNA(SQRT((VLOOKUP(AW$1,DATA!$A$3:$F$301,2,FALSE)-VLOOKUP($A56,DATA!$A$3:$F$301,2,FALSE))^2+(VLOOKUP(AW$1,DATA!$A$3:$F$301,3,FALSE)-VLOOKUP($A56,DATA!$A$3:$F$301,3,FALSE))^2),"")</f>
        <v/>
      </c>
      <c r="AX56" s="14" t="str">
        <f>_xlfn.IFNA(SQRT((VLOOKUP(AX$1,DATA!$A$3:$F$301,2,FALSE)-VLOOKUP($A56,DATA!$A$3:$F$301,2,FALSE))^2+(VLOOKUP(AX$1,DATA!$A$3:$F$301,3,FALSE)-VLOOKUP($A56,DATA!$A$3:$F$301,3,FALSE))^2),"")</f>
        <v/>
      </c>
      <c r="AY56" s="14" t="str">
        <f>_xlfn.IFNA(SQRT((VLOOKUP(AY$1,DATA!$A$3:$F$301,2,FALSE)-VLOOKUP($A56,DATA!$A$3:$F$301,2,FALSE))^2+(VLOOKUP(AY$1,DATA!$A$3:$F$301,3,FALSE)-VLOOKUP($A56,DATA!$A$3:$F$301,3,FALSE))^2),"")</f>
        <v/>
      </c>
      <c r="AZ56" s="14" t="str">
        <f>_xlfn.IFNA(SQRT((VLOOKUP(AZ$1,DATA!$A$3:$F$301,2,FALSE)-VLOOKUP($A56,DATA!$A$3:$F$301,2,FALSE))^2+(VLOOKUP(AZ$1,DATA!$A$3:$F$301,3,FALSE)-VLOOKUP($A56,DATA!$A$3:$F$301,3,FALSE))^2),"")</f>
        <v/>
      </c>
      <c r="BA56" s="14" t="str">
        <f>_xlfn.IFNA(SQRT((VLOOKUP(BA$1,DATA!$A$3:$F$301,2,FALSE)-VLOOKUP($A56,DATA!$A$3:$F$301,2,FALSE))^2+(VLOOKUP(BA$1,DATA!$A$3:$F$301,3,FALSE)-VLOOKUP($A56,DATA!$A$3:$F$301,3,FALSE))^2),"")</f>
        <v/>
      </c>
      <c r="BB56" s="14" t="str">
        <f>_xlfn.IFNA(SQRT((VLOOKUP(BB$1,DATA!$A$3:$F$301,2,FALSE)-VLOOKUP($A56,DATA!$A$3:$F$301,2,FALSE))^2+(VLOOKUP(BB$1,DATA!$A$3:$F$301,3,FALSE)-VLOOKUP($A56,DATA!$A$3:$F$301,3,FALSE))^2),"")</f>
        <v/>
      </c>
      <c r="BC56" s="14" t="str">
        <f>_xlfn.IFNA(SQRT((VLOOKUP(BC$1,DATA!$A$3:$F$301,2,FALSE)-VLOOKUP($A56,DATA!$A$3:$F$301,2,FALSE))^2+(VLOOKUP(BC$1,DATA!$A$3:$F$301,3,FALSE)-VLOOKUP($A56,DATA!$A$3:$F$301,3,FALSE))^2),"")</f>
        <v/>
      </c>
      <c r="BD56" s="14" t="str">
        <f>_xlfn.IFNA(SQRT((VLOOKUP(BD$1,DATA!$A$3:$F$301,2,FALSE)-VLOOKUP($A56,DATA!$A$3:$F$301,2,FALSE))^2+(VLOOKUP(BD$1,DATA!$A$3:$F$301,3,FALSE)-VLOOKUP($A56,DATA!$A$3:$F$301,3,FALSE))^2),"")</f>
        <v/>
      </c>
      <c r="BE56" s="14" t="str">
        <f>_xlfn.IFNA(SQRT((VLOOKUP(BE$1,DATA!$A$3:$F$301,2,FALSE)-VLOOKUP($A56,DATA!$A$3:$F$301,2,FALSE))^2+(VLOOKUP(BE$1,DATA!$A$3:$F$301,3,FALSE)-VLOOKUP($A56,DATA!$A$3:$F$301,3,FALSE))^2),"")</f>
        <v/>
      </c>
      <c r="BF56" s="14" t="str">
        <f>_xlfn.IFNA(SQRT((VLOOKUP(BF$1,DATA!$A$3:$F$301,2,FALSE)-VLOOKUP($A56,DATA!$A$3:$F$301,2,FALSE))^2+(VLOOKUP(BF$1,DATA!$A$3:$F$301,3,FALSE)-VLOOKUP($A56,DATA!$A$3:$F$301,3,FALSE))^2),"")</f>
        <v/>
      </c>
      <c r="BG56" s="14" t="str">
        <f>_xlfn.IFNA(SQRT((VLOOKUP(BG$1,DATA!$A$3:$F$301,2,FALSE)-VLOOKUP($A56,DATA!$A$3:$F$301,2,FALSE))^2+(VLOOKUP(BG$1,DATA!$A$3:$F$301,3,FALSE)-VLOOKUP($A56,DATA!$A$3:$F$301,3,FALSE))^2),"")</f>
        <v/>
      </c>
      <c r="BH56" s="14" t="str">
        <f>_xlfn.IFNA(SQRT((VLOOKUP(BH$1,DATA!$A$3:$F$301,2,FALSE)-VLOOKUP($A56,DATA!$A$3:$F$301,2,FALSE))^2+(VLOOKUP(BH$1,DATA!$A$3:$F$301,3,FALSE)-VLOOKUP($A56,DATA!$A$3:$F$301,3,FALSE))^2),"")</f>
        <v/>
      </c>
      <c r="BI56" s="14" t="str">
        <f>_xlfn.IFNA(SQRT((VLOOKUP(BI$1,DATA!$A$3:$F$301,2,FALSE)-VLOOKUP($A56,DATA!$A$3:$F$301,2,FALSE))^2+(VLOOKUP(BI$1,DATA!$A$3:$F$301,3,FALSE)-VLOOKUP($A56,DATA!$A$3:$F$301,3,FALSE))^2),"")</f>
        <v/>
      </c>
      <c r="BJ56" s="14" t="str">
        <f>_xlfn.IFNA(SQRT((VLOOKUP(BJ$1,DATA!$A$3:$F$301,2,FALSE)-VLOOKUP($A56,DATA!$A$3:$F$301,2,FALSE))^2+(VLOOKUP(BJ$1,DATA!$A$3:$F$301,3,FALSE)-VLOOKUP($A56,DATA!$A$3:$F$301,3,FALSE))^2),"")</f>
        <v/>
      </c>
      <c r="BK56" s="14" t="str">
        <f>_xlfn.IFNA(SQRT((VLOOKUP(BK$1,DATA!$A$3:$F$301,2,FALSE)-VLOOKUP($A56,DATA!$A$3:$F$301,2,FALSE))^2+(VLOOKUP(BK$1,DATA!$A$3:$F$301,3,FALSE)-VLOOKUP($A56,DATA!$A$3:$F$301,3,FALSE))^2),"")</f>
        <v/>
      </c>
      <c r="BL56" s="14" t="str">
        <f>_xlfn.IFNA(SQRT((VLOOKUP(BL$1,DATA!$A$3:$F$301,2,FALSE)-VLOOKUP($A56,DATA!$A$3:$F$301,2,FALSE))^2+(VLOOKUP(BL$1,DATA!$A$3:$F$301,3,FALSE)-VLOOKUP($A56,DATA!$A$3:$F$301,3,FALSE))^2),"")</f>
        <v/>
      </c>
      <c r="BM56" s="14" t="str">
        <f>_xlfn.IFNA(SQRT((VLOOKUP(BM$1,DATA!$A$3:$F$301,2,FALSE)-VLOOKUP($A56,DATA!$A$3:$F$301,2,FALSE))^2+(VLOOKUP(BM$1,DATA!$A$3:$F$301,3,FALSE)-VLOOKUP($A56,DATA!$A$3:$F$301,3,FALSE))^2),"")</f>
        <v/>
      </c>
      <c r="BN56" s="14" t="str">
        <f>_xlfn.IFNA(SQRT((VLOOKUP(BN$1,DATA!$A$3:$F$301,2,FALSE)-VLOOKUP($A56,DATA!$A$3:$F$301,2,FALSE))^2+(VLOOKUP(BN$1,DATA!$A$3:$F$301,3,FALSE)-VLOOKUP($A56,DATA!$A$3:$F$301,3,FALSE))^2),"")</f>
        <v/>
      </c>
      <c r="BO56" s="14" t="str">
        <f>_xlfn.IFNA(SQRT((VLOOKUP(BO$1,DATA!$A$3:$F$301,2,FALSE)-VLOOKUP($A56,DATA!$A$3:$F$301,2,FALSE))^2+(VLOOKUP(BO$1,DATA!$A$3:$F$301,3,FALSE)-VLOOKUP($A56,DATA!$A$3:$F$301,3,FALSE))^2),"")</f>
        <v/>
      </c>
      <c r="BP56" s="14" t="str">
        <f>_xlfn.IFNA(SQRT((VLOOKUP(BP$1,DATA!$A$3:$F$301,2,FALSE)-VLOOKUP($A56,DATA!$A$3:$F$301,2,FALSE))^2+(VLOOKUP(BP$1,DATA!$A$3:$F$301,3,FALSE)-VLOOKUP($A56,DATA!$A$3:$F$301,3,FALSE))^2),"")</f>
        <v/>
      </c>
      <c r="BQ56" s="14" t="str">
        <f>_xlfn.IFNA(SQRT((VLOOKUP(BQ$1,DATA!$A$3:$F$301,2,FALSE)-VLOOKUP($A56,DATA!$A$3:$F$301,2,FALSE))^2+(VLOOKUP(BQ$1,DATA!$A$3:$F$301,3,FALSE)-VLOOKUP($A56,DATA!$A$3:$F$301,3,FALSE))^2),"")</f>
        <v/>
      </c>
      <c r="BR56" s="14" t="str">
        <f>_xlfn.IFNA(SQRT((VLOOKUP(BR$1,DATA!$A$3:$F$301,2,FALSE)-VLOOKUP($A56,DATA!$A$3:$F$301,2,FALSE))^2+(VLOOKUP(BR$1,DATA!$A$3:$F$301,3,FALSE)-VLOOKUP($A56,DATA!$A$3:$F$301,3,FALSE))^2),"")</f>
        <v/>
      </c>
      <c r="BS56" s="14" t="str">
        <f>_xlfn.IFNA(SQRT((VLOOKUP(BS$1,DATA!$A$3:$F$301,2,FALSE)-VLOOKUP($A56,DATA!$A$3:$F$301,2,FALSE))^2+(VLOOKUP(BS$1,DATA!$A$3:$F$301,3,FALSE)-VLOOKUP($A56,DATA!$A$3:$F$301,3,FALSE))^2),"")</f>
        <v/>
      </c>
      <c r="BT56" s="14" t="str">
        <f>_xlfn.IFNA(SQRT((VLOOKUP(BT$1,DATA!$A$3:$F$301,2,FALSE)-VLOOKUP($A56,DATA!$A$3:$F$301,2,FALSE))^2+(VLOOKUP(BT$1,DATA!$A$3:$F$301,3,FALSE)-VLOOKUP($A56,DATA!$A$3:$F$301,3,FALSE))^2),"")</f>
        <v/>
      </c>
      <c r="BU56" s="14" t="str">
        <f>_xlfn.IFNA(SQRT((VLOOKUP(BU$1,DATA!$A$3:$F$301,2,FALSE)-VLOOKUP($A56,DATA!$A$3:$F$301,2,FALSE))^2+(VLOOKUP(BU$1,DATA!$A$3:$F$301,3,FALSE)-VLOOKUP($A56,DATA!$A$3:$F$301,3,FALSE))^2),"")</f>
        <v/>
      </c>
      <c r="BV56" s="14" t="str">
        <f>_xlfn.IFNA(SQRT((VLOOKUP(BV$1,DATA!$A$3:$F$301,2,FALSE)-VLOOKUP($A56,DATA!$A$3:$F$301,2,FALSE))^2+(VLOOKUP(BV$1,DATA!$A$3:$F$301,3,FALSE)-VLOOKUP($A56,DATA!$A$3:$F$301,3,FALSE))^2),"")</f>
        <v/>
      </c>
      <c r="BW56" s="14" t="str">
        <f>_xlfn.IFNA(SQRT((VLOOKUP(BW$1,DATA!$A$3:$F$301,2,FALSE)-VLOOKUP($A56,DATA!$A$3:$F$301,2,FALSE))^2+(VLOOKUP(BW$1,DATA!$A$3:$F$301,3,FALSE)-VLOOKUP($A56,DATA!$A$3:$F$301,3,FALSE))^2),"")</f>
        <v/>
      </c>
      <c r="BX56" s="14" t="str">
        <f>_xlfn.IFNA(SQRT((VLOOKUP(BX$1,DATA!$A$3:$F$301,2,FALSE)-VLOOKUP($A56,DATA!$A$3:$F$301,2,FALSE))^2+(VLOOKUP(BX$1,DATA!$A$3:$F$301,3,FALSE)-VLOOKUP($A56,DATA!$A$3:$F$301,3,FALSE))^2),"")</f>
        <v/>
      </c>
      <c r="BY56" s="14" t="str">
        <f>_xlfn.IFNA(SQRT((VLOOKUP(BY$1,DATA!$A$3:$F$301,2,FALSE)-VLOOKUP($A56,DATA!$A$3:$F$301,2,FALSE))^2+(VLOOKUP(BY$1,DATA!$A$3:$F$301,3,FALSE)-VLOOKUP($A56,DATA!$A$3:$F$301,3,FALSE))^2),"")</f>
        <v/>
      </c>
      <c r="BZ56" s="14" t="str">
        <f>_xlfn.IFNA(SQRT((VLOOKUP(BZ$1,DATA!$A$3:$F$301,2,FALSE)-VLOOKUP($A56,DATA!$A$3:$F$301,2,FALSE))^2+(VLOOKUP(BZ$1,DATA!$A$3:$F$301,3,FALSE)-VLOOKUP($A56,DATA!$A$3:$F$301,3,FALSE))^2),"")</f>
        <v/>
      </c>
      <c r="CA56" s="14" t="str">
        <f>_xlfn.IFNA(SQRT((VLOOKUP(CA$1,DATA!$A$3:$F$301,2,FALSE)-VLOOKUP($A56,DATA!$A$3:$F$301,2,FALSE))^2+(VLOOKUP(CA$1,DATA!$A$3:$F$301,3,FALSE)-VLOOKUP($A56,DATA!$A$3:$F$301,3,FALSE))^2),"")</f>
        <v/>
      </c>
      <c r="CB56" s="14" t="str">
        <f>_xlfn.IFNA(SQRT((VLOOKUP(CB$1,DATA!$A$3:$F$301,2,FALSE)-VLOOKUP($A56,DATA!$A$3:$F$301,2,FALSE))^2+(VLOOKUP(CB$1,DATA!$A$3:$F$301,3,FALSE)-VLOOKUP($A56,DATA!$A$3:$F$301,3,FALSE))^2),"")</f>
        <v/>
      </c>
      <c r="CC56" s="14" t="str">
        <f>_xlfn.IFNA(SQRT((VLOOKUP(CC$1,DATA!$A$3:$F$301,2,FALSE)-VLOOKUP($A56,DATA!$A$3:$F$301,2,FALSE))^2+(VLOOKUP(CC$1,DATA!$A$3:$F$301,3,FALSE)-VLOOKUP($A56,DATA!$A$3:$F$301,3,FALSE))^2),"")</f>
        <v/>
      </c>
      <c r="CD56" s="14" t="str">
        <f>_xlfn.IFNA(SQRT((VLOOKUP(CD$1,DATA!$A$3:$F$301,2,FALSE)-VLOOKUP($A56,DATA!$A$3:$F$301,2,FALSE))^2+(VLOOKUP(CD$1,DATA!$A$3:$F$301,3,FALSE)-VLOOKUP($A56,DATA!$A$3:$F$301,3,FALSE))^2),"")</f>
        <v/>
      </c>
      <c r="CE56" s="14" t="str">
        <f>_xlfn.IFNA(SQRT((VLOOKUP(CE$1,DATA!$A$3:$F$301,2,FALSE)-VLOOKUP($A56,DATA!$A$3:$F$301,2,FALSE))^2+(VLOOKUP(CE$1,DATA!$A$3:$F$301,3,FALSE)-VLOOKUP($A56,DATA!$A$3:$F$301,3,FALSE))^2),"")</f>
        <v/>
      </c>
      <c r="CF56" s="14" t="str">
        <f>_xlfn.IFNA(SQRT((VLOOKUP(CF$1,DATA!$A$3:$F$301,2,FALSE)-VLOOKUP($A56,DATA!$A$3:$F$301,2,FALSE))^2+(VLOOKUP(CF$1,DATA!$A$3:$F$301,3,FALSE)-VLOOKUP($A56,DATA!$A$3:$F$301,3,FALSE))^2),"")</f>
        <v/>
      </c>
      <c r="CG56" s="14" t="str">
        <f>_xlfn.IFNA(SQRT((VLOOKUP(CG$1,DATA!$A$3:$F$301,2,FALSE)-VLOOKUP($A56,DATA!$A$3:$F$301,2,FALSE))^2+(VLOOKUP(CG$1,DATA!$A$3:$F$301,3,FALSE)-VLOOKUP($A56,DATA!$A$3:$F$301,3,FALSE))^2),"")</f>
        <v/>
      </c>
      <c r="CH56" s="14" t="str">
        <f>_xlfn.IFNA(SQRT((VLOOKUP(CH$1,DATA!$A$3:$F$301,2,FALSE)-VLOOKUP($A56,DATA!$A$3:$F$301,2,FALSE))^2+(VLOOKUP(CH$1,DATA!$A$3:$F$301,3,FALSE)-VLOOKUP($A56,DATA!$A$3:$F$301,3,FALSE))^2),"")</f>
        <v/>
      </c>
      <c r="CI56" s="14" t="str">
        <f>_xlfn.IFNA(SQRT((VLOOKUP(CI$1,DATA!$A$3:$F$301,2,FALSE)-VLOOKUP($A56,DATA!$A$3:$F$301,2,FALSE))^2+(VLOOKUP(CI$1,DATA!$A$3:$F$301,3,FALSE)-VLOOKUP($A56,DATA!$A$3:$F$301,3,FALSE))^2),"")</f>
        <v/>
      </c>
      <c r="CJ56" s="14" t="str">
        <f>_xlfn.IFNA(SQRT((VLOOKUP(CJ$1,DATA!$A$3:$F$301,2,FALSE)-VLOOKUP($A56,DATA!$A$3:$F$301,2,FALSE))^2+(VLOOKUP(CJ$1,DATA!$A$3:$F$301,3,FALSE)-VLOOKUP($A56,DATA!$A$3:$F$301,3,FALSE))^2),"")</f>
        <v/>
      </c>
      <c r="CK56" s="14" t="str">
        <f>_xlfn.IFNA(SQRT((VLOOKUP(CK$1,DATA!$A$3:$F$301,2,FALSE)-VLOOKUP($A56,DATA!$A$3:$F$301,2,FALSE))^2+(VLOOKUP(CK$1,DATA!$A$3:$F$301,3,FALSE)-VLOOKUP($A56,DATA!$A$3:$F$301,3,FALSE))^2),"")</f>
        <v/>
      </c>
      <c r="CL56" s="14" t="str">
        <f>_xlfn.IFNA(SQRT((VLOOKUP(CL$1,DATA!$A$3:$F$301,2,FALSE)-VLOOKUP($A56,DATA!$A$3:$F$301,2,FALSE))^2+(VLOOKUP(CL$1,DATA!$A$3:$F$301,3,FALSE)-VLOOKUP($A56,DATA!$A$3:$F$301,3,FALSE))^2),"")</f>
        <v/>
      </c>
      <c r="CM56" s="14" t="str">
        <f>_xlfn.IFNA(SQRT((VLOOKUP(CM$1,DATA!$A$3:$F$301,2,FALSE)-VLOOKUP($A56,DATA!$A$3:$F$301,2,FALSE))^2+(VLOOKUP(CM$1,DATA!$A$3:$F$301,3,FALSE)-VLOOKUP($A56,DATA!$A$3:$F$301,3,FALSE))^2),"")</f>
        <v/>
      </c>
      <c r="CN56" s="14" t="str">
        <f>_xlfn.IFNA(SQRT((VLOOKUP(CN$1,DATA!$A$3:$F$301,2,FALSE)-VLOOKUP($A56,DATA!$A$3:$F$301,2,FALSE))^2+(VLOOKUP(CN$1,DATA!$A$3:$F$301,3,FALSE)-VLOOKUP($A56,DATA!$A$3:$F$301,3,FALSE))^2),"")</f>
        <v/>
      </c>
      <c r="CO56" s="14" t="str">
        <f>_xlfn.IFNA(SQRT((VLOOKUP(CO$1,DATA!$A$3:$F$301,2,FALSE)-VLOOKUP($A56,DATA!$A$3:$F$301,2,FALSE))^2+(VLOOKUP(CO$1,DATA!$A$3:$F$301,3,FALSE)-VLOOKUP($A56,DATA!$A$3:$F$301,3,FALSE))^2),"")</f>
        <v/>
      </c>
      <c r="CP56" s="14" t="str">
        <f>_xlfn.IFNA(SQRT((VLOOKUP(CP$1,DATA!$A$3:$F$301,2,FALSE)-VLOOKUP($A56,DATA!$A$3:$F$301,2,FALSE))^2+(VLOOKUP(CP$1,DATA!$A$3:$F$301,3,FALSE)-VLOOKUP($A56,DATA!$A$3:$F$301,3,FALSE))^2),"")</f>
        <v/>
      </c>
      <c r="CQ56" s="14" t="str">
        <f>_xlfn.IFNA(SQRT((VLOOKUP(CQ$1,DATA!$A$3:$F$301,2,FALSE)-VLOOKUP($A56,DATA!$A$3:$F$301,2,FALSE))^2+(VLOOKUP(CQ$1,DATA!$A$3:$F$301,3,FALSE)-VLOOKUP($A56,DATA!$A$3:$F$301,3,FALSE))^2),"")</f>
        <v/>
      </c>
      <c r="CR56" s="14" t="str">
        <f>_xlfn.IFNA(SQRT((VLOOKUP(CR$1,DATA!$A$3:$F$301,2,FALSE)-VLOOKUP($A56,DATA!$A$3:$F$301,2,FALSE))^2+(VLOOKUP(CR$1,DATA!$A$3:$F$301,3,FALSE)-VLOOKUP($A56,DATA!$A$3:$F$301,3,FALSE))^2),"")</f>
        <v/>
      </c>
      <c r="CS56" s="14" t="str">
        <f>_xlfn.IFNA(SQRT((VLOOKUP(CS$1,DATA!$A$3:$F$301,2,FALSE)-VLOOKUP($A56,DATA!$A$3:$F$301,2,FALSE))^2+(VLOOKUP(CS$1,DATA!$A$3:$F$301,3,FALSE)-VLOOKUP($A56,DATA!$A$3:$F$301,3,FALSE))^2),"")</f>
        <v/>
      </c>
      <c r="CT56" s="14" t="str">
        <f>_xlfn.IFNA(SQRT((VLOOKUP(CT$1,DATA!$A$3:$F$301,2,FALSE)-VLOOKUP($A56,DATA!$A$3:$F$301,2,FALSE))^2+(VLOOKUP(CT$1,DATA!$A$3:$F$301,3,FALSE)-VLOOKUP($A56,DATA!$A$3:$F$301,3,FALSE))^2),"")</f>
        <v/>
      </c>
      <c r="CU56" s="14" t="str">
        <f>_xlfn.IFNA(SQRT((VLOOKUP(CU$1,DATA!$A$3:$F$301,2,FALSE)-VLOOKUP($A56,DATA!$A$3:$F$301,2,FALSE))^2+(VLOOKUP(CU$1,DATA!$A$3:$F$301,3,FALSE)-VLOOKUP($A56,DATA!$A$3:$F$301,3,FALSE))^2),"")</f>
        <v/>
      </c>
      <c r="CV56" s="14" t="str">
        <f>_xlfn.IFNA(SQRT((VLOOKUP(CV$1,DATA!$A$3:$F$301,2,FALSE)-VLOOKUP($A56,DATA!$A$3:$F$301,2,FALSE))^2+(VLOOKUP(CV$1,DATA!$A$3:$F$301,3,FALSE)-VLOOKUP($A56,DATA!$A$3:$F$301,3,FALSE))^2),"")</f>
        <v/>
      </c>
      <c r="CW56" s="14" t="str">
        <f>_xlfn.IFNA(SQRT((VLOOKUP(CW$1,DATA!$A$3:$F$301,2,FALSE)-VLOOKUP($A56,DATA!$A$3:$F$301,2,FALSE))^2+(VLOOKUP(CW$1,DATA!$A$3:$F$301,3,FALSE)-VLOOKUP($A56,DATA!$A$3:$F$301,3,FALSE))^2),"")</f>
        <v/>
      </c>
      <c r="CX56" s="14" t="str">
        <f>_xlfn.IFNA(SQRT((VLOOKUP(CX$1,DATA!$A$3:$F$301,2,FALSE)-VLOOKUP($A56,DATA!$A$3:$F$301,2,FALSE))^2+(VLOOKUP(CX$1,DATA!$A$3:$F$301,3,FALSE)-VLOOKUP($A56,DATA!$A$3:$F$301,3,FALSE))^2),"")</f>
        <v/>
      </c>
    </row>
    <row r="57" spans="1:102">
      <c r="A57" s="13">
        <v>56</v>
      </c>
      <c r="B57" s="14" t="str">
        <f>_xlfn.IFNA(SQRT((VLOOKUP(B$1,DATA!$A$3:$F$301,2,FALSE)-VLOOKUP($A57,DATA!$A$3:$F$301,2,FALSE))^2+(VLOOKUP(B$1,DATA!$A$3:$F$301,3,FALSE)-VLOOKUP($A57,DATA!$A$3:$F$301,3,FALSE))^2),"")</f>
        <v/>
      </c>
      <c r="C57" s="14" t="str">
        <f>_xlfn.IFNA(SQRT((VLOOKUP(C$1,DATA!$A$3:$F$301,2,FALSE)-VLOOKUP($A57,DATA!$A$3:$F$301,2,FALSE))^2+(VLOOKUP(C$1,DATA!$A$3:$F$301,3,FALSE)-VLOOKUP($A57,DATA!$A$3:$F$301,3,FALSE))^2),"")</f>
        <v/>
      </c>
      <c r="D57" s="14" t="str">
        <f>_xlfn.IFNA(SQRT((VLOOKUP(D$1,DATA!$A$3:$F$301,2,FALSE)-VLOOKUP($A57,DATA!$A$3:$F$301,2,FALSE))^2+(VLOOKUP(D$1,DATA!$A$3:$F$301,3,FALSE)-VLOOKUP($A57,DATA!$A$3:$F$301,3,FALSE))^2),"")</f>
        <v/>
      </c>
      <c r="E57" s="14" t="str">
        <f>_xlfn.IFNA(SQRT((VLOOKUP(E$1,DATA!$A$3:$F$301,2,FALSE)-VLOOKUP($A57,DATA!$A$3:$F$301,2,FALSE))^2+(VLOOKUP(E$1,DATA!$A$3:$F$301,3,FALSE)-VLOOKUP($A57,DATA!$A$3:$F$301,3,FALSE))^2),"")</f>
        <v/>
      </c>
      <c r="F57" s="14" t="str">
        <f>_xlfn.IFNA(SQRT((VLOOKUP(F$1,DATA!$A$3:$F$301,2,FALSE)-VLOOKUP($A57,DATA!$A$3:$F$301,2,FALSE))^2+(VLOOKUP(F$1,DATA!$A$3:$F$301,3,FALSE)-VLOOKUP($A57,DATA!$A$3:$F$301,3,FALSE))^2),"")</f>
        <v/>
      </c>
      <c r="G57" s="14" t="str">
        <f>_xlfn.IFNA(SQRT((VLOOKUP(G$1,DATA!$A$3:$F$301,2,FALSE)-VLOOKUP($A57,DATA!$A$3:$F$301,2,FALSE))^2+(VLOOKUP(G$1,DATA!$A$3:$F$301,3,FALSE)-VLOOKUP($A57,DATA!$A$3:$F$301,3,FALSE))^2),"")</f>
        <v/>
      </c>
      <c r="H57" s="14" t="str">
        <f>_xlfn.IFNA(SQRT((VLOOKUP(H$1,DATA!$A$3:$F$301,2,FALSE)-VLOOKUP($A57,DATA!$A$3:$F$301,2,FALSE))^2+(VLOOKUP(H$1,DATA!$A$3:$F$301,3,FALSE)-VLOOKUP($A57,DATA!$A$3:$F$301,3,FALSE))^2),"")</f>
        <v/>
      </c>
      <c r="I57" s="14" t="str">
        <f>_xlfn.IFNA(SQRT((VLOOKUP(I$1,DATA!$A$3:$F$301,2,FALSE)-VLOOKUP($A57,DATA!$A$3:$F$301,2,FALSE))^2+(VLOOKUP(I$1,DATA!$A$3:$F$301,3,FALSE)-VLOOKUP($A57,DATA!$A$3:$F$301,3,FALSE))^2),"")</f>
        <v/>
      </c>
      <c r="J57" s="14" t="str">
        <f>_xlfn.IFNA(SQRT((VLOOKUP(J$1,DATA!$A$3:$F$301,2,FALSE)-VLOOKUP($A57,DATA!$A$3:$F$301,2,FALSE))^2+(VLOOKUP(J$1,DATA!$A$3:$F$301,3,FALSE)-VLOOKUP($A57,DATA!$A$3:$F$301,3,FALSE))^2),"")</f>
        <v/>
      </c>
      <c r="K57" s="14" t="str">
        <f>_xlfn.IFNA(SQRT((VLOOKUP(K$1,DATA!$A$3:$F$301,2,FALSE)-VLOOKUP($A57,DATA!$A$3:$F$301,2,FALSE))^2+(VLOOKUP(K$1,DATA!$A$3:$F$301,3,FALSE)-VLOOKUP($A57,DATA!$A$3:$F$301,3,FALSE))^2),"")</f>
        <v/>
      </c>
      <c r="L57" s="14" t="str">
        <f>_xlfn.IFNA(SQRT((VLOOKUP(L$1,DATA!$A$3:$F$301,2,FALSE)-VLOOKUP($A57,DATA!$A$3:$F$301,2,FALSE))^2+(VLOOKUP(L$1,DATA!$A$3:$F$301,3,FALSE)-VLOOKUP($A57,DATA!$A$3:$F$301,3,FALSE))^2),"")</f>
        <v/>
      </c>
      <c r="M57" s="14" t="str">
        <f>_xlfn.IFNA(SQRT((VLOOKUP(M$1,DATA!$A$3:$F$301,2,FALSE)-VLOOKUP($A57,DATA!$A$3:$F$301,2,FALSE))^2+(VLOOKUP(M$1,DATA!$A$3:$F$301,3,FALSE)-VLOOKUP($A57,DATA!$A$3:$F$301,3,FALSE))^2),"")</f>
        <v/>
      </c>
      <c r="N57" s="14" t="str">
        <f>_xlfn.IFNA(SQRT((VLOOKUP(N$1,DATA!$A$3:$F$301,2,FALSE)-VLOOKUP($A57,DATA!$A$3:$F$301,2,FALSE))^2+(VLOOKUP(N$1,DATA!$A$3:$F$301,3,FALSE)-VLOOKUP($A57,DATA!$A$3:$F$301,3,FALSE))^2),"")</f>
        <v/>
      </c>
      <c r="O57" s="14" t="str">
        <f>_xlfn.IFNA(SQRT((VLOOKUP(O$1,DATA!$A$3:$F$301,2,FALSE)-VLOOKUP($A57,DATA!$A$3:$F$301,2,FALSE))^2+(VLOOKUP(O$1,DATA!$A$3:$F$301,3,FALSE)-VLOOKUP($A57,DATA!$A$3:$F$301,3,FALSE))^2),"")</f>
        <v/>
      </c>
      <c r="P57" s="14" t="str">
        <f>_xlfn.IFNA(SQRT((VLOOKUP(P$1,DATA!$A$3:$F$301,2,FALSE)-VLOOKUP($A57,DATA!$A$3:$F$301,2,FALSE))^2+(VLOOKUP(P$1,DATA!$A$3:$F$301,3,FALSE)-VLOOKUP($A57,DATA!$A$3:$F$301,3,FALSE))^2),"")</f>
        <v/>
      </c>
      <c r="Q57" s="14" t="str">
        <f>_xlfn.IFNA(SQRT((VLOOKUP(Q$1,DATA!$A$3:$F$301,2,FALSE)-VLOOKUP($A57,DATA!$A$3:$F$301,2,FALSE))^2+(VLOOKUP(Q$1,DATA!$A$3:$F$301,3,FALSE)-VLOOKUP($A57,DATA!$A$3:$F$301,3,FALSE))^2),"")</f>
        <v/>
      </c>
      <c r="R57" s="14" t="str">
        <f>_xlfn.IFNA(SQRT((VLOOKUP(R$1,DATA!$A$3:$F$301,2,FALSE)-VLOOKUP($A57,DATA!$A$3:$F$301,2,FALSE))^2+(VLOOKUP(R$1,DATA!$A$3:$F$301,3,FALSE)-VLOOKUP($A57,DATA!$A$3:$F$301,3,FALSE))^2),"")</f>
        <v/>
      </c>
      <c r="S57" s="14" t="str">
        <f>_xlfn.IFNA(SQRT((VLOOKUP(S$1,DATA!$A$3:$F$301,2,FALSE)-VLOOKUP($A57,DATA!$A$3:$F$301,2,FALSE))^2+(VLOOKUP(S$1,DATA!$A$3:$F$301,3,FALSE)-VLOOKUP($A57,DATA!$A$3:$F$301,3,FALSE))^2),"")</f>
        <v/>
      </c>
      <c r="T57" s="14" t="str">
        <f>_xlfn.IFNA(SQRT((VLOOKUP(T$1,DATA!$A$3:$F$301,2,FALSE)-VLOOKUP($A57,DATA!$A$3:$F$301,2,FALSE))^2+(VLOOKUP(T$1,DATA!$A$3:$F$301,3,FALSE)-VLOOKUP($A57,DATA!$A$3:$F$301,3,FALSE))^2),"")</f>
        <v/>
      </c>
      <c r="U57" s="14" t="str">
        <f>_xlfn.IFNA(SQRT((VLOOKUP(U$1,DATA!$A$3:$F$301,2,FALSE)-VLOOKUP($A57,DATA!$A$3:$F$301,2,FALSE))^2+(VLOOKUP(U$1,DATA!$A$3:$F$301,3,FALSE)-VLOOKUP($A57,DATA!$A$3:$F$301,3,FALSE))^2),"")</f>
        <v/>
      </c>
      <c r="V57" s="14" t="str">
        <f>_xlfn.IFNA(SQRT((VLOOKUP(V$1,DATA!$A$3:$F$301,2,FALSE)-VLOOKUP($A57,DATA!$A$3:$F$301,2,FALSE))^2+(VLOOKUP(V$1,DATA!$A$3:$F$301,3,FALSE)-VLOOKUP($A57,DATA!$A$3:$F$301,3,FALSE))^2),"")</f>
        <v/>
      </c>
      <c r="W57" s="14" t="str">
        <f>_xlfn.IFNA(SQRT((VLOOKUP(W$1,DATA!$A$3:$F$301,2,FALSE)-VLOOKUP($A57,DATA!$A$3:$F$301,2,FALSE))^2+(VLOOKUP(W$1,DATA!$A$3:$F$301,3,FALSE)-VLOOKUP($A57,DATA!$A$3:$F$301,3,FALSE))^2),"")</f>
        <v/>
      </c>
      <c r="X57" s="14" t="str">
        <f>_xlfn.IFNA(SQRT((VLOOKUP(X$1,DATA!$A$3:$F$301,2,FALSE)-VLOOKUP($A57,DATA!$A$3:$F$301,2,FALSE))^2+(VLOOKUP(X$1,DATA!$A$3:$F$301,3,FALSE)-VLOOKUP($A57,DATA!$A$3:$F$301,3,FALSE))^2),"")</f>
        <v/>
      </c>
      <c r="Y57" s="14" t="str">
        <f>_xlfn.IFNA(SQRT((VLOOKUP(Y$1,DATA!$A$3:$F$301,2,FALSE)-VLOOKUP($A57,DATA!$A$3:$F$301,2,FALSE))^2+(VLOOKUP(Y$1,DATA!$A$3:$F$301,3,FALSE)-VLOOKUP($A57,DATA!$A$3:$F$301,3,FALSE))^2),"")</f>
        <v/>
      </c>
      <c r="Z57" s="14" t="str">
        <f>_xlfn.IFNA(SQRT((VLOOKUP(Z$1,DATA!$A$3:$F$301,2,FALSE)-VLOOKUP($A57,DATA!$A$3:$F$301,2,FALSE))^2+(VLOOKUP(Z$1,DATA!$A$3:$F$301,3,FALSE)-VLOOKUP($A57,DATA!$A$3:$F$301,3,FALSE))^2),"")</f>
        <v/>
      </c>
      <c r="AA57" s="14" t="str">
        <f>_xlfn.IFNA(SQRT((VLOOKUP(AA$1,DATA!$A$3:$F$301,2,FALSE)-VLOOKUP($A57,DATA!$A$3:$F$301,2,FALSE))^2+(VLOOKUP(AA$1,DATA!$A$3:$F$301,3,FALSE)-VLOOKUP($A57,DATA!$A$3:$F$301,3,FALSE))^2),"")</f>
        <v/>
      </c>
      <c r="AB57" s="14" t="str">
        <f>_xlfn.IFNA(SQRT((VLOOKUP(AB$1,DATA!$A$3:$F$301,2,FALSE)-VLOOKUP($A57,DATA!$A$3:$F$301,2,FALSE))^2+(VLOOKUP(AB$1,DATA!$A$3:$F$301,3,FALSE)-VLOOKUP($A57,DATA!$A$3:$F$301,3,FALSE))^2),"")</f>
        <v/>
      </c>
      <c r="AC57" s="14" t="str">
        <f>_xlfn.IFNA(SQRT((VLOOKUP(AC$1,DATA!$A$3:$F$301,2,FALSE)-VLOOKUP($A57,DATA!$A$3:$F$301,2,FALSE))^2+(VLOOKUP(AC$1,DATA!$A$3:$F$301,3,FALSE)-VLOOKUP($A57,DATA!$A$3:$F$301,3,FALSE))^2),"")</f>
        <v/>
      </c>
      <c r="AD57" s="14" t="str">
        <f>_xlfn.IFNA(SQRT((VLOOKUP(AD$1,DATA!$A$3:$F$301,2,FALSE)-VLOOKUP($A57,DATA!$A$3:$F$301,2,FALSE))^2+(VLOOKUP(AD$1,DATA!$A$3:$F$301,3,FALSE)-VLOOKUP($A57,DATA!$A$3:$F$301,3,FALSE))^2),"")</f>
        <v/>
      </c>
      <c r="AE57" s="14" t="str">
        <f>_xlfn.IFNA(SQRT((VLOOKUP(AE$1,DATA!$A$3:$F$301,2,FALSE)-VLOOKUP($A57,DATA!$A$3:$F$301,2,FALSE))^2+(VLOOKUP(AE$1,DATA!$A$3:$F$301,3,FALSE)-VLOOKUP($A57,DATA!$A$3:$F$301,3,FALSE))^2),"")</f>
        <v/>
      </c>
      <c r="AF57" s="14" t="str">
        <f>_xlfn.IFNA(SQRT((VLOOKUP(AF$1,DATA!$A$3:$F$301,2,FALSE)-VLOOKUP($A57,DATA!$A$3:$F$301,2,FALSE))^2+(VLOOKUP(AF$1,DATA!$A$3:$F$301,3,FALSE)-VLOOKUP($A57,DATA!$A$3:$F$301,3,FALSE))^2),"")</f>
        <v/>
      </c>
      <c r="AG57" s="14" t="str">
        <f>_xlfn.IFNA(SQRT((VLOOKUP(AG$1,DATA!$A$3:$F$301,2,FALSE)-VLOOKUP($A57,DATA!$A$3:$F$301,2,FALSE))^2+(VLOOKUP(AG$1,DATA!$A$3:$F$301,3,FALSE)-VLOOKUP($A57,DATA!$A$3:$F$301,3,FALSE))^2),"")</f>
        <v/>
      </c>
      <c r="AH57" s="14" t="str">
        <f>_xlfn.IFNA(SQRT((VLOOKUP(AH$1,DATA!$A$3:$F$301,2,FALSE)-VLOOKUP($A57,DATA!$A$3:$F$301,2,FALSE))^2+(VLOOKUP(AH$1,DATA!$A$3:$F$301,3,FALSE)-VLOOKUP($A57,DATA!$A$3:$F$301,3,FALSE))^2),"")</f>
        <v/>
      </c>
      <c r="AI57" s="14" t="str">
        <f>_xlfn.IFNA(SQRT((VLOOKUP(AI$1,DATA!$A$3:$F$301,2,FALSE)-VLOOKUP($A57,DATA!$A$3:$F$301,2,FALSE))^2+(VLOOKUP(AI$1,DATA!$A$3:$F$301,3,FALSE)-VLOOKUP($A57,DATA!$A$3:$F$301,3,FALSE))^2),"")</f>
        <v/>
      </c>
      <c r="AJ57" s="14" t="str">
        <f>_xlfn.IFNA(SQRT((VLOOKUP(AJ$1,DATA!$A$3:$F$301,2,FALSE)-VLOOKUP($A57,DATA!$A$3:$F$301,2,FALSE))^2+(VLOOKUP(AJ$1,DATA!$A$3:$F$301,3,FALSE)-VLOOKUP($A57,DATA!$A$3:$F$301,3,FALSE))^2),"")</f>
        <v/>
      </c>
      <c r="AK57" s="14" t="str">
        <f>_xlfn.IFNA(SQRT((VLOOKUP(AK$1,DATA!$A$3:$F$301,2,FALSE)-VLOOKUP($A57,DATA!$A$3:$F$301,2,FALSE))^2+(VLOOKUP(AK$1,DATA!$A$3:$F$301,3,FALSE)-VLOOKUP($A57,DATA!$A$3:$F$301,3,FALSE))^2),"")</f>
        <v/>
      </c>
      <c r="AL57" s="14" t="str">
        <f>_xlfn.IFNA(SQRT((VLOOKUP(AL$1,DATA!$A$3:$F$301,2,FALSE)-VLOOKUP($A57,DATA!$A$3:$F$301,2,FALSE))^2+(VLOOKUP(AL$1,DATA!$A$3:$F$301,3,FALSE)-VLOOKUP($A57,DATA!$A$3:$F$301,3,FALSE))^2),"")</f>
        <v/>
      </c>
      <c r="AM57" s="14" t="str">
        <f>_xlfn.IFNA(SQRT((VLOOKUP(AM$1,DATA!$A$3:$F$301,2,FALSE)-VLOOKUP($A57,DATA!$A$3:$F$301,2,FALSE))^2+(VLOOKUP(AM$1,DATA!$A$3:$F$301,3,FALSE)-VLOOKUP($A57,DATA!$A$3:$F$301,3,FALSE))^2),"")</f>
        <v/>
      </c>
      <c r="AN57" s="14" t="str">
        <f>_xlfn.IFNA(SQRT((VLOOKUP(AN$1,DATA!$A$3:$F$301,2,FALSE)-VLOOKUP($A57,DATA!$A$3:$F$301,2,FALSE))^2+(VLOOKUP(AN$1,DATA!$A$3:$F$301,3,FALSE)-VLOOKUP($A57,DATA!$A$3:$F$301,3,FALSE))^2),"")</f>
        <v/>
      </c>
      <c r="AO57" s="14" t="str">
        <f>_xlfn.IFNA(SQRT((VLOOKUP(AO$1,DATA!$A$3:$F$301,2,FALSE)-VLOOKUP($A57,DATA!$A$3:$F$301,2,FALSE))^2+(VLOOKUP(AO$1,DATA!$A$3:$F$301,3,FALSE)-VLOOKUP($A57,DATA!$A$3:$F$301,3,FALSE))^2),"")</f>
        <v/>
      </c>
      <c r="AP57" s="14" t="str">
        <f>_xlfn.IFNA(SQRT((VLOOKUP(AP$1,DATA!$A$3:$F$301,2,FALSE)-VLOOKUP($A57,DATA!$A$3:$F$301,2,FALSE))^2+(VLOOKUP(AP$1,DATA!$A$3:$F$301,3,FALSE)-VLOOKUP($A57,DATA!$A$3:$F$301,3,FALSE))^2),"")</f>
        <v/>
      </c>
      <c r="AQ57" s="14" t="str">
        <f>_xlfn.IFNA(SQRT((VLOOKUP(AQ$1,DATA!$A$3:$F$301,2,FALSE)-VLOOKUP($A57,DATA!$A$3:$F$301,2,FALSE))^2+(VLOOKUP(AQ$1,DATA!$A$3:$F$301,3,FALSE)-VLOOKUP($A57,DATA!$A$3:$F$301,3,FALSE))^2),"")</f>
        <v/>
      </c>
      <c r="AR57" s="14" t="str">
        <f>_xlfn.IFNA(SQRT((VLOOKUP(AR$1,DATA!$A$3:$F$301,2,FALSE)-VLOOKUP($A57,DATA!$A$3:$F$301,2,FALSE))^2+(VLOOKUP(AR$1,DATA!$A$3:$F$301,3,FALSE)-VLOOKUP($A57,DATA!$A$3:$F$301,3,FALSE))^2),"")</f>
        <v/>
      </c>
      <c r="AS57" s="14" t="str">
        <f>_xlfn.IFNA(SQRT((VLOOKUP(AS$1,DATA!$A$3:$F$301,2,FALSE)-VLOOKUP($A57,DATA!$A$3:$F$301,2,FALSE))^2+(VLOOKUP(AS$1,DATA!$A$3:$F$301,3,FALSE)-VLOOKUP($A57,DATA!$A$3:$F$301,3,FALSE))^2),"")</f>
        <v/>
      </c>
      <c r="AT57" s="14" t="str">
        <f>_xlfn.IFNA(SQRT((VLOOKUP(AT$1,DATA!$A$3:$F$301,2,FALSE)-VLOOKUP($A57,DATA!$A$3:$F$301,2,FALSE))^2+(VLOOKUP(AT$1,DATA!$A$3:$F$301,3,FALSE)-VLOOKUP($A57,DATA!$A$3:$F$301,3,FALSE))^2),"")</f>
        <v/>
      </c>
      <c r="AU57" s="14" t="str">
        <f>_xlfn.IFNA(SQRT((VLOOKUP(AU$1,DATA!$A$3:$F$301,2,FALSE)-VLOOKUP($A57,DATA!$A$3:$F$301,2,FALSE))^2+(VLOOKUP(AU$1,DATA!$A$3:$F$301,3,FALSE)-VLOOKUP($A57,DATA!$A$3:$F$301,3,FALSE))^2),"")</f>
        <v/>
      </c>
      <c r="AV57" s="14" t="str">
        <f>_xlfn.IFNA(SQRT((VLOOKUP(AV$1,DATA!$A$3:$F$301,2,FALSE)-VLOOKUP($A57,DATA!$A$3:$F$301,2,FALSE))^2+(VLOOKUP(AV$1,DATA!$A$3:$F$301,3,FALSE)-VLOOKUP($A57,DATA!$A$3:$F$301,3,FALSE))^2),"")</f>
        <v/>
      </c>
      <c r="AW57" s="14" t="str">
        <f>_xlfn.IFNA(SQRT((VLOOKUP(AW$1,DATA!$A$3:$F$301,2,FALSE)-VLOOKUP($A57,DATA!$A$3:$F$301,2,FALSE))^2+(VLOOKUP(AW$1,DATA!$A$3:$F$301,3,FALSE)-VLOOKUP($A57,DATA!$A$3:$F$301,3,FALSE))^2),"")</f>
        <v/>
      </c>
      <c r="AX57" s="14" t="str">
        <f>_xlfn.IFNA(SQRT((VLOOKUP(AX$1,DATA!$A$3:$F$301,2,FALSE)-VLOOKUP($A57,DATA!$A$3:$F$301,2,FALSE))^2+(VLOOKUP(AX$1,DATA!$A$3:$F$301,3,FALSE)-VLOOKUP($A57,DATA!$A$3:$F$301,3,FALSE))^2),"")</f>
        <v/>
      </c>
      <c r="AY57" s="14" t="str">
        <f>_xlfn.IFNA(SQRT((VLOOKUP(AY$1,DATA!$A$3:$F$301,2,FALSE)-VLOOKUP($A57,DATA!$A$3:$F$301,2,FALSE))^2+(VLOOKUP(AY$1,DATA!$A$3:$F$301,3,FALSE)-VLOOKUP($A57,DATA!$A$3:$F$301,3,FALSE))^2),"")</f>
        <v/>
      </c>
      <c r="AZ57" s="14" t="str">
        <f>_xlfn.IFNA(SQRT((VLOOKUP(AZ$1,DATA!$A$3:$F$301,2,FALSE)-VLOOKUP($A57,DATA!$A$3:$F$301,2,FALSE))^2+(VLOOKUP(AZ$1,DATA!$A$3:$F$301,3,FALSE)-VLOOKUP($A57,DATA!$A$3:$F$301,3,FALSE))^2),"")</f>
        <v/>
      </c>
      <c r="BA57" s="14" t="str">
        <f>_xlfn.IFNA(SQRT((VLOOKUP(BA$1,DATA!$A$3:$F$301,2,FALSE)-VLOOKUP($A57,DATA!$A$3:$F$301,2,FALSE))^2+(VLOOKUP(BA$1,DATA!$A$3:$F$301,3,FALSE)-VLOOKUP($A57,DATA!$A$3:$F$301,3,FALSE))^2),"")</f>
        <v/>
      </c>
      <c r="BB57" s="14" t="str">
        <f>_xlfn.IFNA(SQRT((VLOOKUP(BB$1,DATA!$A$3:$F$301,2,FALSE)-VLOOKUP($A57,DATA!$A$3:$F$301,2,FALSE))^2+(VLOOKUP(BB$1,DATA!$A$3:$F$301,3,FALSE)-VLOOKUP($A57,DATA!$A$3:$F$301,3,FALSE))^2),"")</f>
        <v/>
      </c>
      <c r="BC57" s="14" t="str">
        <f>_xlfn.IFNA(SQRT((VLOOKUP(BC$1,DATA!$A$3:$F$301,2,FALSE)-VLOOKUP($A57,DATA!$A$3:$F$301,2,FALSE))^2+(VLOOKUP(BC$1,DATA!$A$3:$F$301,3,FALSE)-VLOOKUP($A57,DATA!$A$3:$F$301,3,FALSE))^2),"")</f>
        <v/>
      </c>
      <c r="BD57" s="14" t="str">
        <f>_xlfn.IFNA(SQRT((VLOOKUP(BD$1,DATA!$A$3:$F$301,2,FALSE)-VLOOKUP($A57,DATA!$A$3:$F$301,2,FALSE))^2+(VLOOKUP(BD$1,DATA!$A$3:$F$301,3,FALSE)-VLOOKUP($A57,DATA!$A$3:$F$301,3,FALSE))^2),"")</f>
        <v/>
      </c>
      <c r="BE57" s="14" t="str">
        <f>_xlfn.IFNA(SQRT((VLOOKUP(BE$1,DATA!$A$3:$F$301,2,FALSE)-VLOOKUP($A57,DATA!$A$3:$F$301,2,FALSE))^2+(VLOOKUP(BE$1,DATA!$A$3:$F$301,3,FALSE)-VLOOKUP($A57,DATA!$A$3:$F$301,3,FALSE))^2),"")</f>
        <v/>
      </c>
      <c r="BF57" s="14" t="str">
        <f>_xlfn.IFNA(SQRT((VLOOKUP(BF$1,DATA!$A$3:$F$301,2,FALSE)-VLOOKUP($A57,DATA!$A$3:$F$301,2,FALSE))^2+(VLOOKUP(BF$1,DATA!$A$3:$F$301,3,FALSE)-VLOOKUP($A57,DATA!$A$3:$F$301,3,FALSE))^2),"")</f>
        <v/>
      </c>
      <c r="BG57" s="14" t="str">
        <f>_xlfn.IFNA(SQRT((VLOOKUP(BG$1,DATA!$A$3:$F$301,2,FALSE)-VLOOKUP($A57,DATA!$A$3:$F$301,2,FALSE))^2+(VLOOKUP(BG$1,DATA!$A$3:$F$301,3,FALSE)-VLOOKUP($A57,DATA!$A$3:$F$301,3,FALSE))^2),"")</f>
        <v/>
      </c>
      <c r="BH57" s="14" t="str">
        <f>_xlfn.IFNA(SQRT((VLOOKUP(BH$1,DATA!$A$3:$F$301,2,FALSE)-VLOOKUP($A57,DATA!$A$3:$F$301,2,FALSE))^2+(VLOOKUP(BH$1,DATA!$A$3:$F$301,3,FALSE)-VLOOKUP($A57,DATA!$A$3:$F$301,3,FALSE))^2),"")</f>
        <v/>
      </c>
      <c r="BI57" s="14" t="str">
        <f>_xlfn.IFNA(SQRT((VLOOKUP(BI$1,DATA!$A$3:$F$301,2,FALSE)-VLOOKUP($A57,DATA!$A$3:$F$301,2,FALSE))^2+(VLOOKUP(BI$1,DATA!$A$3:$F$301,3,FALSE)-VLOOKUP($A57,DATA!$A$3:$F$301,3,FALSE))^2),"")</f>
        <v/>
      </c>
      <c r="BJ57" s="14" t="str">
        <f>_xlfn.IFNA(SQRT((VLOOKUP(BJ$1,DATA!$A$3:$F$301,2,FALSE)-VLOOKUP($A57,DATA!$A$3:$F$301,2,FALSE))^2+(VLOOKUP(BJ$1,DATA!$A$3:$F$301,3,FALSE)-VLOOKUP($A57,DATA!$A$3:$F$301,3,FALSE))^2),"")</f>
        <v/>
      </c>
      <c r="BK57" s="14" t="str">
        <f>_xlfn.IFNA(SQRT((VLOOKUP(BK$1,DATA!$A$3:$F$301,2,FALSE)-VLOOKUP($A57,DATA!$A$3:$F$301,2,FALSE))^2+(VLOOKUP(BK$1,DATA!$A$3:$F$301,3,FALSE)-VLOOKUP($A57,DATA!$A$3:$F$301,3,FALSE))^2),"")</f>
        <v/>
      </c>
      <c r="BL57" s="14" t="str">
        <f>_xlfn.IFNA(SQRT((VLOOKUP(BL$1,DATA!$A$3:$F$301,2,FALSE)-VLOOKUP($A57,DATA!$A$3:$F$301,2,FALSE))^2+(VLOOKUP(BL$1,DATA!$A$3:$F$301,3,FALSE)-VLOOKUP($A57,DATA!$A$3:$F$301,3,FALSE))^2),"")</f>
        <v/>
      </c>
      <c r="BM57" s="14" t="str">
        <f>_xlfn.IFNA(SQRT((VLOOKUP(BM$1,DATA!$A$3:$F$301,2,FALSE)-VLOOKUP($A57,DATA!$A$3:$F$301,2,FALSE))^2+(VLOOKUP(BM$1,DATA!$A$3:$F$301,3,FALSE)-VLOOKUP($A57,DATA!$A$3:$F$301,3,FALSE))^2),"")</f>
        <v/>
      </c>
      <c r="BN57" s="14" t="str">
        <f>_xlfn.IFNA(SQRT((VLOOKUP(BN$1,DATA!$A$3:$F$301,2,FALSE)-VLOOKUP($A57,DATA!$A$3:$F$301,2,FALSE))^2+(VLOOKUP(BN$1,DATA!$A$3:$F$301,3,FALSE)-VLOOKUP($A57,DATA!$A$3:$F$301,3,FALSE))^2),"")</f>
        <v/>
      </c>
      <c r="BO57" s="14" t="str">
        <f>_xlfn.IFNA(SQRT((VLOOKUP(BO$1,DATA!$A$3:$F$301,2,FALSE)-VLOOKUP($A57,DATA!$A$3:$F$301,2,FALSE))^2+(VLOOKUP(BO$1,DATA!$A$3:$F$301,3,FALSE)-VLOOKUP($A57,DATA!$A$3:$F$301,3,FALSE))^2),"")</f>
        <v/>
      </c>
      <c r="BP57" s="14" t="str">
        <f>_xlfn.IFNA(SQRT((VLOOKUP(BP$1,DATA!$A$3:$F$301,2,FALSE)-VLOOKUP($A57,DATA!$A$3:$F$301,2,FALSE))^2+(VLOOKUP(BP$1,DATA!$A$3:$F$301,3,FALSE)-VLOOKUP($A57,DATA!$A$3:$F$301,3,FALSE))^2),"")</f>
        <v/>
      </c>
      <c r="BQ57" s="14" t="str">
        <f>_xlfn.IFNA(SQRT((VLOOKUP(BQ$1,DATA!$A$3:$F$301,2,FALSE)-VLOOKUP($A57,DATA!$A$3:$F$301,2,FALSE))^2+(VLOOKUP(BQ$1,DATA!$A$3:$F$301,3,FALSE)-VLOOKUP($A57,DATA!$A$3:$F$301,3,FALSE))^2),"")</f>
        <v/>
      </c>
      <c r="BR57" s="14" t="str">
        <f>_xlfn.IFNA(SQRT((VLOOKUP(BR$1,DATA!$A$3:$F$301,2,FALSE)-VLOOKUP($A57,DATA!$A$3:$F$301,2,FALSE))^2+(VLOOKUP(BR$1,DATA!$A$3:$F$301,3,FALSE)-VLOOKUP($A57,DATA!$A$3:$F$301,3,FALSE))^2),"")</f>
        <v/>
      </c>
      <c r="BS57" s="14" t="str">
        <f>_xlfn.IFNA(SQRT((VLOOKUP(BS$1,DATA!$A$3:$F$301,2,FALSE)-VLOOKUP($A57,DATA!$A$3:$F$301,2,FALSE))^2+(VLOOKUP(BS$1,DATA!$A$3:$F$301,3,FALSE)-VLOOKUP($A57,DATA!$A$3:$F$301,3,FALSE))^2),"")</f>
        <v/>
      </c>
      <c r="BT57" s="14" t="str">
        <f>_xlfn.IFNA(SQRT((VLOOKUP(BT$1,DATA!$A$3:$F$301,2,FALSE)-VLOOKUP($A57,DATA!$A$3:$F$301,2,FALSE))^2+(VLOOKUP(BT$1,DATA!$A$3:$F$301,3,FALSE)-VLOOKUP($A57,DATA!$A$3:$F$301,3,FALSE))^2),"")</f>
        <v/>
      </c>
      <c r="BU57" s="14" t="str">
        <f>_xlfn.IFNA(SQRT((VLOOKUP(BU$1,DATA!$A$3:$F$301,2,FALSE)-VLOOKUP($A57,DATA!$A$3:$F$301,2,FALSE))^2+(VLOOKUP(BU$1,DATA!$A$3:$F$301,3,FALSE)-VLOOKUP($A57,DATA!$A$3:$F$301,3,FALSE))^2),"")</f>
        <v/>
      </c>
      <c r="BV57" s="14" t="str">
        <f>_xlfn.IFNA(SQRT((VLOOKUP(BV$1,DATA!$A$3:$F$301,2,FALSE)-VLOOKUP($A57,DATA!$A$3:$F$301,2,FALSE))^2+(VLOOKUP(BV$1,DATA!$A$3:$F$301,3,FALSE)-VLOOKUP($A57,DATA!$A$3:$F$301,3,FALSE))^2),"")</f>
        <v/>
      </c>
      <c r="BW57" s="14" t="str">
        <f>_xlfn.IFNA(SQRT((VLOOKUP(BW$1,DATA!$A$3:$F$301,2,FALSE)-VLOOKUP($A57,DATA!$A$3:$F$301,2,FALSE))^2+(VLOOKUP(BW$1,DATA!$A$3:$F$301,3,FALSE)-VLOOKUP($A57,DATA!$A$3:$F$301,3,FALSE))^2),"")</f>
        <v/>
      </c>
      <c r="BX57" s="14" t="str">
        <f>_xlfn.IFNA(SQRT((VLOOKUP(BX$1,DATA!$A$3:$F$301,2,FALSE)-VLOOKUP($A57,DATA!$A$3:$F$301,2,FALSE))^2+(VLOOKUP(BX$1,DATA!$A$3:$F$301,3,FALSE)-VLOOKUP($A57,DATA!$A$3:$F$301,3,FALSE))^2),"")</f>
        <v/>
      </c>
      <c r="BY57" s="14" t="str">
        <f>_xlfn.IFNA(SQRT((VLOOKUP(BY$1,DATA!$A$3:$F$301,2,FALSE)-VLOOKUP($A57,DATA!$A$3:$F$301,2,FALSE))^2+(VLOOKUP(BY$1,DATA!$A$3:$F$301,3,FALSE)-VLOOKUP($A57,DATA!$A$3:$F$301,3,FALSE))^2),"")</f>
        <v/>
      </c>
      <c r="BZ57" s="14" t="str">
        <f>_xlfn.IFNA(SQRT((VLOOKUP(BZ$1,DATA!$A$3:$F$301,2,FALSE)-VLOOKUP($A57,DATA!$A$3:$F$301,2,FALSE))^2+(VLOOKUP(BZ$1,DATA!$A$3:$F$301,3,FALSE)-VLOOKUP($A57,DATA!$A$3:$F$301,3,FALSE))^2),"")</f>
        <v/>
      </c>
      <c r="CA57" s="14" t="str">
        <f>_xlfn.IFNA(SQRT((VLOOKUP(CA$1,DATA!$A$3:$F$301,2,FALSE)-VLOOKUP($A57,DATA!$A$3:$F$301,2,FALSE))^2+(VLOOKUP(CA$1,DATA!$A$3:$F$301,3,FALSE)-VLOOKUP($A57,DATA!$A$3:$F$301,3,FALSE))^2),"")</f>
        <v/>
      </c>
      <c r="CB57" s="14" t="str">
        <f>_xlfn.IFNA(SQRT((VLOOKUP(CB$1,DATA!$A$3:$F$301,2,FALSE)-VLOOKUP($A57,DATA!$A$3:$F$301,2,FALSE))^2+(VLOOKUP(CB$1,DATA!$A$3:$F$301,3,FALSE)-VLOOKUP($A57,DATA!$A$3:$F$301,3,FALSE))^2),"")</f>
        <v/>
      </c>
      <c r="CC57" s="14" t="str">
        <f>_xlfn.IFNA(SQRT((VLOOKUP(CC$1,DATA!$A$3:$F$301,2,FALSE)-VLOOKUP($A57,DATA!$A$3:$F$301,2,FALSE))^2+(VLOOKUP(CC$1,DATA!$A$3:$F$301,3,FALSE)-VLOOKUP($A57,DATA!$A$3:$F$301,3,FALSE))^2),"")</f>
        <v/>
      </c>
      <c r="CD57" s="14" t="str">
        <f>_xlfn.IFNA(SQRT((VLOOKUP(CD$1,DATA!$A$3:$F$301,2,FALSE)-VLOOKUP($A57,DATA!$A$3:$F$301,2,FALSE))^2+(VLOOKUP(CD$1,DATA!$A$3:$F$301,3,FALSE)-VLOOKUP($A57,DATA!$A$3:$F$301,3,FALSE))^2),"")</f>
        <v/>
      </c>
      <c r="CE57" s="14" t="str">
        <f>_xlfn.IFNA(SQRT((VLOOKUP(CE$1,DATA!$A$3:$F$301,2,FALSE)-VLOOKUP($A57,DATA!$A$3:$F$301,2,FALSE))^2+(VLOOKUP(CE$1,DATA!$A$3:$F$301,3,FALSE)-VLOOKUP($A57,DATA!$A$3:$F$301,3,FALSE))^2),"")</f>
        <v/>
      </c>
      <c r="CF57" s="14" t="str">
        <f>_xlfn.IFNA(SQRT((VLOOKUP(CF$1,DATA!$A$3:$F$301,2,FALSE)-VLOOKUP($A57,DATA!$A$3:$F$301,2,FALSE))^2+(VLOOKUP(CF$1,DATA!$A$3:$F$301,3,FALSE)-VLOOKUP($A57,DATA!$A$3:$F$301,3,FALSE))^2),"")</f>
        <v/>
      </c>
      <c r="CG57" s="14" t="str">
        <f>_xlfn.IFNA(SQRT((VLOOKUP(CG$1,DATA!$A$3:$F$301,2,FALSE)-VLOOKUP($A57,DATA!$A$3:$F$301,2,FALSE))^2+(VLOOKUP(CG$1,DATA!$A$3:$F$301,3,FALSE)-VLOOKUP($A57,DATA!$A$3:$F$301,3,FALSE))^2),"")</f>
        <v/>
      </c>
      <c r="CH57" s="14" t="str">
        <f>_xlfn.IFNA(SQRT((VLOOKUP(CH$1,DATA!$A$3:$F$301,2,FALSE)-VLOOKUP($A57,DATA!$A$3:$F$301,2,FALSE))^2+(VLOOKUP(CH$1,DATA!$A$3:$F$301,3,FALSE)-VLOOKUP($A57,DATA!$A$3:$F$301,3,FALSE))^2),"")</f>
        <v/>
      </c>
      <c r="CI57" s="14" t="str">
        <f>_xlfn.IFNA(SQRT((VLOOKUP(CI$1,DATA!$A$3:$F$301,2,FALSE)-VLOOKUP($A57,DATA!$A$3:$F$301,2,FALSE))^2+(VLOOKUP(CI$1,DATA!$A$3:$F$301,3,FALSE)-VLOOKUP($A57,DATA!$A$3:$F$301,3,FALSE))^2),"")</f>
        <v/>
      </c>
      <c r="CJ57" s="14" t="str">
        <f>_xlfn.IFNA(SQRT((VLOOKUP(CJ$1,DATA!$A$3:$F$301,2,FALSE)-VLOOKUP($A57,DATA!$A$3:$F$301,2,FALSE))^2+(VLOOKUP(CJ$1,DATA!$A$3:$F$301,3,FALSE)-VLOOKUP($A57,DATA!$A$3:$F$301,3,FALSE))^2),"")</f>
        <v/>
      </c>
      <c r="CK57" s="14" t="str">
        <f>_xlfn.IFNA(SQRT((VLOOKUP(CK$1,DATA!$A$3:$F$301,2,FALSE)-VLOOKUP($A57,DATA!$A$3:$F$301,2,FALSE))^2+(VLOOKUP(CK$1,DATA!$A$3:$F$301,3,FALSE)-VLOOKUP($A57,DATA!$A$3:$F$301,3,FALSE))^2),"")</f>
        <v/>
      </c>
      <c r="CL57" s="14" t="str">
        <f>_xlfn.IFNA(SQRT((VLOOKUP(CL$1,DATA!$A$3:$F$301,2,FALSE)-VLOOKUP($A57,DATA!$A$3:$F$301,2,FALSE))^2+(VLOOKUP(CL$1,DATA!$A$3:$F$301,3,FALSE)-VLOOKUP($A57,DATA!$A$3:$F$301,3,FALSE))^2),"")</f>
        <v/>
      </c>
      <c r="CM57" s="14" t="str">
        <f>_xlfn.IFNA(SQRT((VLOOKUP(CM$1,DATA!$A$3:$F$301,2,FALSE)-VLOOKUP($A57,DATA!$A$3:$F$301,2,FALSE))^2+(VLOOKUP(CM$1,DATA!$A$3:$F$301,3,FALSE)-VLOOKUP($A57,DATA!$A$3:$F$301,3,FALSE))^2),"")</f>
        <v/>
      </c>
      <c r="CN57" s="14" t="str">
        <f>_xlfn.IFNA(SQRT((VLOOKUP(CN$1,DATA!$A$3:$F$301,2,FALSE)-VLOOKUP($A57,DATA!$A$3:$F$301,2,FALSE))^2+(VLOOKUP(CN$1,DATA!$A$3:$F$301,3,FALSE)-VLOOKUP($A57,DATA!$A$3:$F$301,3,FALSE))^2),"")</f>
        <v/>
      </c>
      <c r="CO57" s="14" t="str">
        <f>_xlfn.IFNA(SQRT((VLOOKUP(CO$1,DATA!$A$3:$F$301,2,FALSE)-VLOOKUP($A57,DATA!$A$3:$F$301,2,FALSE))^2+(VLOOKUP(CO$1,DATA!$A$3:$F$301,3,FALSE)-VLOOKUP($A57,DATA!$A$3:$F$301,3,FALSE))^2),"")</f>
        <v/>
      </c>
      <c r="CP57" s="14" t="str">
        <f>_xlfn.IFNA(SQRT((VLOOKUP(CP$1,DATA!$A$3:$F$301,2,FALSE)-VLOOKUP($A57,DATA!$A$3:$F$301,2,FALSE))^2+(VLOOKUP(CP$1,DATA!$A$3:$F$301,3,FALSE)-VLOOKUP($A57,DATA!$A$3:$F$301,3,FALSE))^2),"")</f>
        <v/>
      </c>
      <c r="CQ57" s="14" t="str">
        <f>_xlfn.IFNA(SQRT((VLOOKUP(CQ$1,DATA!$A$3:$F$301,2,FALSE)-VLOOKUP($A57,DATA!$A$3:$F$301,2,FALSE))^2+(VLOOKUP(CQ$1,DATA!$A$3:$F$301,3,FALSE)-VLOOKUP($A57,DATA!$A$3:$F$301,3,FALSE))^2),"")</f>
        <v/>
      </c>
      <c r="CR57" s="14" t="str">
        <f>_xlfn.IFNA(SQRT((VLOOKUP(CR$1,DATA!$A$3:$F$301,2,FALSE)-VLOOKUP($A57,DATA!$A$3:$F$301,2,FALSE))^2+(VLOOKUP(CR$1,DATA!$A$3:$F$301,3,FALSE)-VLOOKUP($A57,DATA!$A$3:$F$301,3,FALSE))^2),"")</f>
        <v/>
      </c>
      <c r="CS57" s="14" t="str">
        <f>_xlfn.IFNA(SQRT((VLOOKUP(CS$1,DATA!$A$3:$F$301,2,FALSE)-VLOOKUP($A57,DATA!$A$3:$F$301,2,FALSE))^2+(VLOOKUP(CS$1,DATA!$A$3:$F$301,3,FALSE)-VLOOKUP($A57,DATA!$A$3:$F$301,3,FALSE))^2),"")</f>
        <v/>
      </c>
      <c r="CT57" s="14" t="str">
        <f>_xlfn.IFNA(SQRT((VLOOKUP(CT$1,DATA!$A$3:$F$301,2,FALSE)-VLOOKUP($A57,DATA!$A$3:$F$301,2,FALSE))^2+(VLOOKUP(CT$1,DATA!$A$3:$F$301,3,FALSE)-VLOOKUP($A57,DATA!$A$3:$F$301,3,FALSE))^2),"")</f>
        <v/>
      </c>
      <c r="CU57" s="14" t="str">
        <f>_xlfn.IFNA(SQRT((VLOOKUP(CU$1,DATA!$A$3:$F$301,2,FALSE)-VLOOKUP($A57,DATA!$A$3:$F$301,2,FALSE))^2+(VLOOKUP(CU$1,DATA!$A$3:$F$301,3,FALSE)-VLOOKUP($A57,DATA!$A$3:$F$301,3,FALSE))^2),"")</f>
        <v/>
      </c>
      <c r="CV57" s="14" t="str">
        <f>_xlfn.IFNA(SQRT((VLOOKUP(CV$1,DATA!$A$3:$F$301,2,FALSE)-VLOOKUP($A57,DATA!$A$3:$F$301,2,FALSE))^2+(VLOOKUP(CV$1,DATA!$A$3:$F$301,3,FALSE)-VLOOKUP($A57,DATA!$A$3:$F$301,3,FALSE))^2),"")</f>
        <v/>
      </c>
      <c r="CW57" s="14" t="str">
        <f>_xlfn.IFNA(SQRT((VLOOKUP(CW$1,DATA!$A$3:$F$301,2,FALSE)-VLOOKUP($A57,DATA!$A$3:$F$301,2,FALSE))^2+(VLOOKUP(CW$1,DATA!$A$3:$F$301,3,FALSE)-VLOOKUP($A57,DATA!$A$3:$F$301,3,FALSE))^2),"")</f>
        <v/>
      </c>
      <c r="CX57" s="14" t="str">
        <f>_xlfn.IFNA(SQRT((VLOOKUP(CX$1,DATA!$A$3:$F$301,2,FALSE)-VLOOKUP($A57,DATA!$A$3:$F$301,2,FALSE))^2+(VLOOKUP(CX$1,DATA!$A$3:$F$301,3,FALSE)-VLOOKUP($A57,DATA!$A$3:$F$301,3,FALSE))^2),"")</f>
        <v/>
      </c>
    </row>
    <row r="58" spans="1:102">
      <c r="A58" s="13">
        <v>57</v>
      </c>
      <c r="B58" s="14" t="str">
        <f>_xlfn.IFNA(SQRT((VLOOKUP(B$1,DATA!$A$3:$F$301,2,FALSE)-VLOOKUP($A58,DATA!$A$3:$F$301,2,FALSE))^2+(VLOOKUP(B$1,DATA!$A$3:$F$301,3,FALSE)-VLOOKUP($A58,DATA!$A$3:$F$301,3,FALSE))^2),"")</f>
        <v/>
      </c>
      <c r="C58" s="14" t="str">
        <f>_xlfn.IFNA(SQRT((VLOOKUP(C$1,DATA!$A$3:$F$301,2,FALSE)-VLOOKUP($A58,DATA!$A$3:$F$301,2,FALSE))^2+(VLOOKUP(C$1,DATA!$A$3:$F$301,3,FALSE)-VLOOKUP($A58,DATA!$A$3:$F$301,3,FALSE))^2),"")</f>
        <v/>
      </c>
      <c r="D58" s="14" t="str">
        <f>_xlfn.IFNA(SQRT((VLOOKUP(D$1,DATA!$A$3:$F$301,2,FALSE)-VLOOKUP($A58,DATA!$A$3:$F$301,2,FALSE))^2+(VLOOKUP(D$1,DATA!$A$3:$F$301,3,FALSE)-VLOOKUP($A58,DATA!$A$3:$F$301,3,FALSE))^2),"")</f>
        <v/>
      </c>
      <c r="E58" s="14" t="str">
        <f>_xlfn.IFNA(SQRT((VLOOKUP(E$1,DATA!$A$3:$F$301,2,FALSE)-VLOOKUP($A58,DATA!$A$3:$F$301,2,FALSE))^2+(VLOOKUP(E$1,DATA!$A$3:$F$301,3,FALSE)-VLOOKUP($A58,DATA!$A$3:$F$301,3,FALSE))^2),"")</f>
        <v/>
      </c>
      <c r="F58" s="14" t="str">
        <f>_xlfn.IFNA(SQRT((VLOOKUP(F$1,DATA!$A$3:$F$301,2,FALSE)-VLOOKUP($A58,DATA!$A$3:$F$301,2,FALSE))^2+(VLOOKUP(F$1,DATA!$A$3:$F$301,3,FALSE)-VLOOKUP($A58,DATA!$A$3:$F$301,3,FALSE))^2),"")</f>
        <v/>
      </c>
      <c r="G58" s="14" t="str">
        <f>_xlfn.IFNA(SQRT((VLOOKUP(G$1,DATA!$A$3:$F$301,2,FALSE)-VLOOKUP($A58,DATA!$A$3:$F$301,2,FALSE))^2+(VLOOKUP(G$1,DATA!$A$3:$F$301,3,FALSE)-VLOOKUP($A58,DATA!$A$3:$F$301,3,FALSE))^2),"")</f>
        <v/>
      </c>
      <c r="H58" s="14" t="str">
        <f>_xlfn.IFNA(SQRT((VLOOKUP(H$1,DATA!$A$3:$F$301,2,FALSE)-VLOOKUP($A58,DATA!$A$3:$F$301,2,FALSE))^2+(VLOOKUP(H$1,DATA!$A$3:$F$301,3,FALSE)-VLOOKUP($A58,DATA!$A$3:$F$301,3,FALSE))^2),"")</f>
        <v/>
      </c>
      <c r="I58" s="14" t="str">
        <f>_xlfn.IFNA(SQRT((VLOOKUP(I$1,DATA!$A$3:$F$301,2,FALSE)-VLOOKUP($A58,DATA!$A$3:$F$301,2,FALSE))^2+(VLOOKUP(I$1,DATA!$A$3:$F$301,3,FALSE)-VLOOKUP($A58,DATA!$A$3:$F$301,3,FALSE))^2),"")</f>
        <v/>
      </c>
      <c r="J58" s="14" t="str">
        <f>_xlfn.IFNA(SQRT((VLOOKUP(J$1,DATA!$A$3:$F$301,2,FALSE)-VLOOKUP($A58,DATA!$A$3:$F$301,2,FALSE))^2+(VLOOKUP(J$1,DATA!$A$3:$F$301,3,FALSE)-VLOOKUP($A58,DATA!$A$3:$F$301,3,FALSE))^2),"")</f>
        <v/>
      </c>
      <c r="K58" s="14" t="str">
        <f>_xlfn.IFNA(SQRT((VLOOKUP(K$1,DATA!$A$3:$F$301,2,FALSE)-VLOOKUP($A58,DATA!$A$3:$F$301,2,FALSE))^2+(VLOOKUP(K$1,DATA!$A$3:$F$301,3,FALSE)-VLOOKUP($A58,DATA!$A$3:$F$301,3,FALSE))^2),"")</f>
        <v/>
      </c>
      <c r="L58" s="14" t="str">
        <f>_xlfn.IFNA(SQRT((VLOOKUP(L$1,DATA!$A$3:$F$301,2,FALSE)-VLOOKUP($A58,DATA!$A$3:$F$301,2,FALSE))^2+(VLOOKUP(L$1,DATA!$A$3:$F$301,3,FALSE)-VLOOKUP($A58,DATA!$A$3:$F$301,3,FALSE))^2),"")</f>
        <v/>
      </c>
      <c r="M58" s="14" t="str">
        <f>_xlfn.IFNA(SQRT((VLOOKUP(M$1,DATA!$A$3:$F$301,2,FALSE)-VLOOKUP($A58,DATA!$A$3:$F$301,2,FALSE))^2+(VLOOKUP(M$1,DATA!$A$3:$F$301,3,FALSE)-VLOOKUP($A58,DATA!$A$3:$F$301,3,FALSE))^2),"")</f>
        <v/>
      </c>
      <c r="N58" s="14" t="str">
        <f>_xlfn.IFNA(SQRT((VLOOKUP(N$1,DATA!$A$3:$F$301,2,FALSE)-VLOOKUP($A58,DATA!$A$3:$F$301,2,FALSE))^2+(VLOOKUP(N$1,DATA!$A$3:$F$301,3,FALSE)-VLOOKUP($A58,DATA!$A$3:$F$301,3,FALSE))^2),"")</f>
        <v/>
      </c>
      <c r="O58" s="14" t="str">
        <f>_xlfn.IFNA(SQRT((VLOOKUP(O$1,DATA!$A$3:$F$301,2,FALSE)-VLOOKUP($A58,DATA!$A$3:$F$301,2,FALSE))^2+(VLOOKUP(O$1,DATA!$A$3:$F$301,3,FALSE)-VLOOKUP($A58,DATA!$A$3:$F$301,3,FALSE))^2),"")</f>
        <v/>
      </c>
      <c r="P58" s="14" t="str">
        <f>_xlfn.IFNA(SQRT((VLOOKUP(P$1,DATA!$A$3:$F$301,2,FALSE)-VLOOKUP($A58,DATA!$A$3:$F$301,2,FALSE))^2+(VLOOKUP(P$1,DATA!$A$3:$F$301,3,FALSE)-VLOOKUP($A58,DATA!$A$3:$F$301,3,FALSE))^2),"")</f>
        <v/>
      </c>
      <c r="Q58" s="14" t="str">
        <f>_xlfn.IFNA(SQRT((VLOOKUP(Q$1,DATA!$A$3:$F$301,2,FALSE)-VLOOKUP($A58,DATA!$A$3:$F$301,2,FALSE))^2+(VLOOKUP(Q$1,DATA!$A$3:$F$301,3,FALSE)-VLOOKUP($A58,DATA!$A$3:$F$301,3,FALSE))^2),"")</f>
        <v/>
      </c>
      <c r="R58" s="14" t="str">
        <f>_xlfn.IFNA(SQRT((VLOOKUP(R$1,DATA!$A$3:$F$301,2,FALSE)-VLOOKUP($A58,DATA!$A$3:$F$301,2,FALSE))^2+(VLOOKUP(R$1,DATA!$A$3:$F$301,3,FALSE)-VLOOKUP($A58,DATA!$A$3:$F$301,3,FALSE))^2),"")</f>
        <v/>
      </c>
      <c r="S58" s="14" t="str">
        <f>_xlfn.IFNA(SQRT((VLOOKUP(S$1,DATA!$A$3:$F$301,2,FALSE)-VLOOKUP($A58,DATA!$A$3:$F$301,2,FALSE))^2+(VLOOKUP(S$1,DATA!$A$3:$F$301,3,FALSE)-VLOOKUP($A58,DATA!$A$3:$F$301,3,FALSE))^2),"")</f>
        <v/>
      </c>
      <c r="T58" s="14" t="str">
        <f>_xlfn.IFNA(SQRT((VLOOKUP(T$1,DATA!$A$3:$F$301,2,FALSE)-VLOOKUP($A58,DATA!$A$3:$F$301,2,FALSE))^2+(VLOOKUP(T$1,DATA!$A$3:$F$301,3,FALSE)-VLOOKUP($A58,DATA!$A$3:$F$301,3,FALSE))^2),"")</f>
        <v/>
      </c>
      <c r="U58" s="14" t="str">
        <f>_xlfn.IFNA(SQRT((VLOOKUP(U$1,DATA!$A$3:$F$301,2,FALSE)-VLOOKUP($A58,DATA!$A$3:$F$301,2,FALSE))^2+(VLOOKUP(U$1,DATA!$A$3:$F$301,3,FALSE)-VLOOKUP($A58,DATA!$A$3:$F$301,3,FALSE))^2),"")</f>
        <v/>
      </c>
      <c r="V58" s="14" t="str">
        <f>_xlfn.IFNA(SQRT((VLOOKUP(V$1,DATA!$A$3:$F$301,2,FALSE)-VLOOKUP($A58,DATA!$A$3:$F$301,2,FALSE))^2+(VLOOKUP(V$1,DATA!$A$3:$F$301,3,FALSE)-VLOOKUP($A58,DATA!$A$3:$F$301,3,FALSE))^2),"")</f>
        <v/>
      </c>
      <c r="W58" s="14" t="str">
        <f>_xlfn.IFNA(SQRT((VLOOKUP(W$1,DATA!$A$3:$F$301,2,FALSE)-VLOOKUP($A58,DATA!$A$3:$F$301,2,FALSE))^2+(VLOOKUP(W$1,DATA!$A$3:$F$301,3,FALSE)-VLOOKUP($A58,DATA!$A$3:$F$301,3,FALSE))^2),"")</f>
        <v/>
      </c>
      <c r="X58" s="14" t="str">
        <f>_xlfn.IFNA(SQRT((VLOOKUP(X$1,DATA!$A$3:$F$301,2,FALSE)-VLOOKUP($A58,DATA!$A$3:$F$301,2,FALSE))^2+(VLOOKUP(X$1,DATA!$A$3:$F$301,3,FALSE)-VLOOKUP($A58,DATA!$A$3:$F$301,3,FALSE))^2),"")</f>
        <v/>
      </c>
      <c r="Y58" s="14" t="str">
        <f>_xlfn.IFNA(SQRT((VLOOKUP(Y$1,DATA!$A$3:$F$301,2,FALSE)-VLOOKUP($A58,DATA!$A$3:$F$301,2,FALSE))^2+(VLOOKUP(Y$1,DATA!$A$3:$F$301,3,FALSE)-VLOOKUP($A58,DATA!$A$3:$F$301,3,FALSE))^2),"")</f>
        <v/>
      </c>
      <c r="Z58" s="14" t="str">
        <f>_xlfn.IFNA(SQRT((VLOOKUP(Z$1,DATA!$A$3:$F$301,2,FALSE)-VLOOKUP($A58,DATA!$A$3:$F$301,2,FALSE))^2+(VLOOKUP(Z$1,DATA!$A$3:$F$301,3,FALSE)-VLOOKUP($A58,DATA!$A$3:$F$301,3,FALSE))^2),"")</f>
        <v/>
      </c>
      <c r="AA58" s="14" t="str">
        <f>_xlfn.IFNA(SQRT((VLOOKUP(AA$1,DATA!$A$3:$F$301,2,FALSE)-VLOOKUP($A58,DATA!$A$3:$F$301,2,FALSE))^2+(VLOOKUP(AA$1,DATA!$A$3:$F$301,3,FALSE)-VLOOKUP($A58,DATA!$A$3:$F$301,3,FALSE))^2),"")</f>
        <v/>
      </c>
      <c r="AB58" s="14" t="str">
        <f>_xlfn.IFNA(SQRT((VLOOKUP(AB$1,DATA!$A$3:$F$301,2,FALSE)-VLOOKUP($A58,DATA!$A$3:$F$301,2,FALSE))^2+(VLOOKUP(AB$1,DATA!$A$3:$F$301,3,FALSE)-VLOOKUP($A58,DATA!$A$3:$F$301,3,FALSE))^2),"")</f>
        <v/>
      </c>
      <c r="AC58" s="14" t="str">
        <f>_xlfn.IFNA(SQRT((VLOOKUP(AC$1,DATA!$A$3:$F$301,2,FALSE)-VLOOKUP($A58,DATA!$A$3:$F$301,2,FALSE))^2+(VLOOKUP(AC$1,DATA!$A$3:$F$301,3,FALSE)-VLOOKUP($A58,DATA!$A$3:$F$301,3,FALSE))^2),"")</f>
        <v/>
      </c>
      <c r="AD58" s="14" t="str">
        <f>_xlfn.IFNA(SQRT((VLOOKUP(AD$1,DATA!$A$3:$F$301,2,FALSE)-VLOOKUP($A58,DATA!$A$3:$F$301,2,FALSE))^2+(VLOOKUP(AD$1,DATA!$A$3:$F$301,3,FALSE)-VLOOKUP($A58,DATA!$A$3:$F$301,3,FALSE))^2),"")</f>
        <v/>
      </c>
      <c r="AE58" s="14" t="str">
        <f>_xlfn.IFNA(SQRT((VLOOKUP(AE$1,DATA!$A$3:$F$301,2,FALSE)-VLOOKUP($A58,DATA!$A$3:$F$301,2,FALSE))^2+(VLOOKUP(AE$1,DATA!$A$3:$F$301,3,FALSE)-VLOOKUP($A58,DATA!$A$3:$F$301,3,FALSE))^2),"")</f>
        <v/>
      </c>
      <c r="AF58" s="14" t="str">
        <f>_xlfn.IFNA(SQRT((VLOOKUP(AF$1,DATA!$A$3:$F$301,2,FALSE)-VLOOKUP($A58,DATA!$A$3:$F$301,2,FALSE))^2+(VLOOKUP(AF$1,DATA!$A$3:$F$301,3,FALSE)-VLOOKUP($A58,DATA!$A$3:$F$301,3,FALSE))^2),"")</f>
        <v/>
      </c>
      <c r="AG58" s="14" t="str">
        <f>_xlfn.IFNA(SQRT((VLOOKUP(AG$1,DATA!$A$3:$F$301,2,FALSE)-VLOOKUP($A58,DATA!$A$3:$F$301,2,FALSE))^2+(VLOOKUP(AG$1,DATA!$A$3:$F$301,3,FALSE)-VLOOKUP($A58,DATA!$A$3:$F$301,3,FALSE))^2),"")</f>
        <v/>
      </c>
      <c r="AH58" s="14" t="str">
        <f>_xlfn.IFNA(SQRT((VLOOKUP(AH$1,DATA!$A$3:$F$301,2,FALSE)-VLOOKUP($A58,DATA!$A$3:$F$301,2,FALSE))^2+(VLOOKUP(AH$1,DATA!$A$3:$F$301,3,FALSE)-VLOOKUP($A58,DATA!$A$3:$F$301,3,FALSE))^2),"")</f>
        <v/>
      </c>
      <c r="AI58" s="14" t="str">
        <f>_xlfn.IFNA(SQRT((VLOOKUP(AI$1,DATA!$A$3:$F$301,2,FALSE)-VLOOKUP($A58,DATA!$A$3:$F$301,2,FALSE))^2+(VLOOKUP(AI$1,DATA!$A$3:$F$301,3,FALSE)-VLOOKUP($A58,DATA!$A$3:$F$301,3,FALSE))^2),"")</f>
        <v/>
      </c>
      <c r="AJ58" s="14" t="str">
        <f>_xlfn.IFNA(SQRT((VLOOKUP(AJ$1,DATA!$A$3:$F$301,2,FALSE)-VLOOKUP($A58,DATA!$A$3:$F$301,2,FALSE))^2+(VLOOKUP(AJ$1,DATA!$A$3:$F$301,3,FALSE)-VLOOKUP($A58,DATA!$A$3:$F$301,3,FALSE))^2),"")</f>
        <v/>
      </c>
      <c r="AK58" s="14" t="str">
        <f>_xlfn.IFNA(SQRT((VLOOKUP(AK$1,DATA!$A$3:$F$301,2,FALSE)-VLOOKUP($A58,DATA!$A$3:$F$301,2,FALSE))^2+(VLOOKUP(AK$1,DATA!$A$3:$F$301,3,FALSE)-VLOOKUP($A58,DATA!$A$3:$F$301,3,FALSE))^2),"")</f>
        <v/>
      </c>
      <c r="AL58" s="14" t="str">
        <f>_xlfn.IFNA(SQRT((VLOOKUP(AL$1,DATA!$A$3:$F$301,2,FALSE)-VLOOKUP($A58,DATA!$A$3:$F$301,2,FALSE))^2+(VLOOKUP(AL$1,DATA!$A$3:$F$301,3,FALSE)-VLOOKUP($A58,DATA!$A$3:$F$301,3,FALSE))^2),"")</f>
        <v/>
      </c>
      <c r="AM58" s="14" t="str">
        <f>_xlfn.IFNA(SQRT((VLOOKUP(AM$1,DATA!$A$3:$F$301,2,FALSE)-VLOOKUP($A58,DATA!$A$3:$F$301,2,FALSE))^2+(VLOOKUP(AM$1,DATA!$A$3:$F$301,3,FALSE)-VLOOKUP($A58,DATA!$A$3:$F$301,3,FALSE))^2),"")</f>
        <v/>
      </c>
      <c r="AN58" s="14" t="str">
        <f>_xlfn.IFNA(SQRT((VLOOKUP(AN$1,DATA!$A$3:$F$301,2,FALSE)-VLOOKUP($A58,DATA!$A$3:$F$301,2,FALSE))^2+(VLOOKUP(AN$1,DATA!$A$3:$F$301,3,FALSE)-VLOOKUP($A58,DATA!$A$3:$F$301,3,FALSE))^2),"")</f>
        <v/>
      </c>
      <c r="AO58" s="14" t="str">
        <f>_xlfn.IFNA(SQRT((VLOOKUP(AO$1,DATA!$A$3:$F$301,2,FALSE)-VLOOKUP($A58,DATA!$A$3:$F$301,2,FALSE))^2+(VLOOKUP(AO$1,DATA!$A$3:$F$301,3,FALSE)-VLOOKUP($A58,DATA!$A$3:$F$301,3,FALSE))^2),"")</f>
        <v/>
      </c>
      <c r="AP58" s="14" t="str">
        <f>_xlfn.IFNA(SQRT((VLOOKUP(AP$1,DATA!$A$3:$F$301,2,FALSE)-VLOOKUP($A58,DATA!$A$3:$F$301,2,FALSE))^2+(VLOOKUP(AP$1,DATA!$A$3:$F$301,3,FALSE)-VLOOKUP($A58,DATA!$A$3:$F$301,3,FALSE))^2),"")</f>
        <v/>
      </c>
      <c r="AQ58" s="14" t="str">
        <f>_xlfn.IFNA(SQRT((VLOOKUP(AQ$1,DATA!$A$3:$F$301,2,FALSE)-VLOOKUP($A58,DATA!$A$3:$F$301,2,FALSE))^2+(VLOOKUP(AQ$1,DATA!$A$3:$F$301,3,FALSE)-VLOOKUP($A58,DATA!$A$3:$F$301,3,FALSE))^2),"")</f>
        <v/>
      </c>
      <c r="AR58" s="14" t="str">
        <f>_xlfn.IFNA(SQRT((VLOOKUP(AR$1,DATA!$A$3:$F$301,2,FALSE)-VLOOKUP($A58,DATA!$A$3:$F$301,2,FALSE))^2+(VLOOKUP(AR$1,DATA!$A$3:$F$301,3,FALSE)-VLOOKUP($A58,DATA!$A$3:$F$301,3,FALSE))^2),"")</f>
        <v/>
      </c>
      <c r="AS58" s="14" t="str">
        <f>_xlfn.IFNA(SQRT((VLOOKUP(AS$1,DATA!$A$3:$F$301,2,FALSE)-VLOOKUP($A58,DATA!$A$3:$F$301,2,FALSE))^2+(VLOOKUP(AS$1,DATA!$A$3:$F$301,3,FALSE)-VLOOKUP($A58,DATA!$A$3:$F$301,3,FALSE))^2),"")</f>
        <v/>
      </c>
      <c r="AT58" s="14" t="str">
        <f>_xlfn.IFNA(SQRT((VLOOKUP(AT$1,DATA!$A$3:$F$301,2,FALSE)-VLOOKUP($A58,DATA!$A$3:$F$301,2,FALSE))^2+(VLOOKUP(AT$1,DATA!$A$3:$F$301,3,FALSE)-VLOOKUP($A58,DATA!$A$3:$F$301,3,FALSE))^2),"")</f>
        <v/>
      </c>
      <c r="AU58" s="14" t="str">
        <f>_xlfn.IFNA(SQRT((VLOOKUP(AU$1,DATA!$A$3:$F$301,2,FALSE)-VLOOKUP($A58,DATA!$A$3:$F$301,2,FALSE))^2+(VLOOKUP(AU$1,DATA!$A$3:$F$301,3,FALSE)-VLOOKUP($A58,DATA!$A$3:$F$301,3,FALSE))^2),"")</f>
        <v/>
      </c>
      <c r="AV58" s="14" t="str">
        <f>_xlfn.IFNA(SQRT((VLOOKUP(AV$1,DATA!$A$3:$F$301,2,FALSE)-VLOOKUP($A58,DATA!$A$3:$F$301,2,FALSE))^2+(VLOOKUP(AV$1,DATA!$A$3:$F$301,3,FALSE)-VLOOKUP($A58,DATA!$A$3:$F$301,3,FALSE))^2),"")</f>
        <v/>
      </c>
      <c r="AW58" s="14" t="str">
        <f>_xlfn.IFNA(SQRT((VLOOKUP(AW$1,DATA!$A$3:$F$301,2,FALSE)-VLOOKUP($A58,DATA!$A$3:$F$301,2,FALSE))^2+(VLOOKUP(AW$1,DATA!$A$3:$F$301,3,FALSE)-VLOOKUP($A58,DATA!$A$3:$F$301,3,FALSE))^2),"")</f>
        <v/>
      </c>
      <c r="AX58" s="14" t="str">
        <f>_xlfn.IFNA(SQRT((VLOOKUP(AX$1,DATA!$A$3:$F$301,2,FALSE)-VLOOKUP($A58,DATA!$A$3:$F$301,2,FALSE))^2+(VLOOKUP(AX$1,DATA!$A$3:$F$301,3,FALSE)-VLOOKUP($A58,DATA!$A$3:$F$301,3,FALSE))^2),"")</f>
        <v/>
      </c>
      <c r="AY58" s="14" t="str">
        <f>_xlfn.IFNA(SQRT((VLOOKUP(AY$1,DATA!$A$3:$F$301,2,FALSE)-VLOOKUP($A58,DATA!$A$3:$F$301,2,FALSE))^2+(VLOOKUP(AY$1,DATA!$A$3:$F$301,3,FALSE)-VLOOKUP($A58,DATA!$A$3:$F$301,3,FALSE))^2),"")</f>
        <v/>
      </c>
      <c r="AZ58" s="14" t="str">
        <f>_xlfn.IFNA(SQRT((VLOOKUP(AZ$1,DATA!$A$3:$F$301,2,FALSE)-VLOOKUP($A58,DATA!$A$3:$F$301,2,FALSE))^2+(VLOOKUP(AZ$1,DATA!$A$3:$F$301,3,FALSE)-VLOOKUP($A58,DATA!$A$3:$F$301,3,FALSE))^2),"")</f>
        <v/>
      </c>
      <c r="BA58" s="14" t="str">
        <f>_xlfn.IFNA(SQRT((VLOOKUP(BA$1,DATA!$A$3:$F$301,2,FALSE)-VLOOKUP($A58,DATA!$A$3:$F$301,2,FALSE))^2+(VLOOKUP(BA$1,DATA!$A$3:$F$301,3,FALSE)-VLOOKUP($A58,DATA!$A$3:$F$301,3,FALSE))^2),"")</f>
        <v/>
      </c>
      <c r="BB58" s="14" t="str">
        <f>_xlfn.IFNA(SQRT((VLOOKUP(BB$1,DATA!$A$3:$F$301,2,FALSE)-VLOOKUP($A58,DATA!$A$3:$F$301,2,FALSE))^2+(VLOOKUP(BB$1,DATA!$A$3:$F$301,3,FALSE)-VLOOKUP($A58,DATA!$A$3:$F$301,3,FALSE))^2),"")</f>
        <v/>
      </c>
      <c r="BC58" s="14" t="str">
        <f>_xlfn.IFNA(SQRT((VLOOKUP(BC$1,DATA!$A$3:$F$301,2,FALSE)-VLOOKUP($A58,DATA!$A$3:$F$301,2,FALSE))^2+(VLOOKUP(BC$1,DATA!$A$3:$F$301,3,FALSE)-VLOOKUP($A58,DATA!$A$3:$F$301,3,FALSE))^2),"")</f>
        <v/>
      </c>
      <c r="BD58" s="14" t="str">
        <f>_xlfn.IFNA(SQRT((VLOOKUP(BD$1,DATA!$A$3:$F$301,2,FALSE)-VLOOKUP($A58,DATA!$A$3:$F$301,2,FALSE))^2+(VLOOKUP(BD$1,DATA!$A$3:$F$301,3,FALSE)-VLOOKUP($A58,DATA!$A$3:$F$301,3,FALSE))^2),"")</f>
        <v/>
      </c>
      <c r="BE58" s="14" t="str">
        <f>_xlfn.IFNA(SQRT((VLOOKUP(BE$1,DATA!$A$3:$F$301,2,FALSE)-VLOOKUP($A58,DATA!$A$3:$F$301,2,FALSE))^2+(VLOOKUP(BE$1,DATA!$A$3:$F$301,3,FALSE)-VLOOKUP($A58,DATA!$A$3:$F$301,3,FALSE))^2),"")</f>
        <v/>
      </c>
      <c r="BF58" s="14" t="str">
        <f>_xlfn.IFNA(SQRT((VLOOKUP(BF$1,DATA!$A$3:$F$301,2,FALSE)-VLOOKUP($A58,DATA!$A$3:$F$301,2,FALSE))^2+(VLOOKUP(BF$1,DATA!$A$3:$F$301,3,FALSE)-VLOOKUP($A58,DATA!$A$3:$F$301,3,FALSE))^2),"")</f>
        <v/>
      </c>
      <c r="BG58" s="14" t="str">
        <f>_xlfn.IFNA(SQRT((VLOOKUP(BG$1,DATA!$A$3:$F$301,2,FALSE)-VLOOKUP($A58,DATA!$A$3:$F$301,2,FALSE))^2+(VLOOKUP(BG$1,DATA!$A$3:$F$301,3,FALSE)-VLOOKUP($A58,DATA!$A$3:$F$301,3,FALSE))^2),"")</f>
        <v/>
      </c>
      <c r="BH58" s="14" t="str">
        <f>_xlfn.IFNA(SQRT((VLOOKUP(BH$1,DATA!$A$3:$F$301,2,FALSE)-VLOOKUP($A58,DATA!$A$3:$F$301,2,FALSE))^2+(VLOOKUP(BH$1,DATA!$A$3:$F$301,3,FALSE)-VLOOKUP($A58,DATA!$A$3:$F$301,3,FALSE))^2),"")</f>
        <v/>
      </c>
      <c r="BI58" s="14" t="str">
        <f>_xlfn.IFNA(SQRT((VLOOKUP(BI$1,DATA!$A$3:$F$301,2,FALSE)-VLOOKUP($A58,DATA!$A$3:$F$301,2,FALSE))^2+(VLOOKUP(BI$1,DATA!$A$3:$F$301,3,FALSE)-VLOOKUP($A58,DATA!$A$3:$F$301,3,FALSE))^2),"")</f>
        <v/>
      </c>
      <c r="BJ58" s="14" t="str">
        <f>_xlfn.IFNA(SQRT((VLOOKUP(BJ$1,DATA!$A$3:$F$301,2,FALSE)-VLOOKUP($A58,DATA!$A$3:$F$301,2,FALSE))^2+(VLOOKUP(BJ$1,DATA!$A$3:$F$301,3,FALSE)-VLOOKUP($A58,DATA!$A$3:$F$301,3,FALSE))^2),"")</f>
        <v/>
      </c>
      <c r="BK58" s="14" t="str">
        <f>_xlfn.IFNA(SQRT((VLOOKUP(BK$1,DATA!$A$3:$F$301,2,FALSE)-VLOOKUP($A58,DATA!$A$3:$F$301,2,FALSE))^2+(VLOOKUP(BK$1,DATA!$A$3:$F$301,3,FALSE)-VLOOKUP($A58,DATA!$A$3:$F$301,3,FALSE))^2),"")</f>
        <v/>
      </c>
      <c r="BL58" s="14" t="str">
        <f>_xlfn.IFNA(SQRT((VLOOKUP(BL$1,DATA!$A$3:$F$301,2,FALSE)-VLOOKUP($A58,DATA!$A$3:$F$301,2,FALSE))^2+(VLOOKUP(BL$1,DATA!$A$3:$F$301,3,FALSE)-VLOOKUP($A58,DATA!$A$3:$F$301,3,FALSE))^2),"")</f>
        <v/>
      </c>
      <c r="BM58" s="14" t="str">
        <f>_xlfn.IFNA(SQRT((VLOOKUP(BM$1,DATA!$A$3:$F$301,2,FALSE)-VLOOKUP($A58,DATA!$A$3:$F$301,2,FALSE))^2+(VLOOKUP(BM$1,DATA!$A$3:$F$301,3,FALSE)-VLOOKUP($A58,DATA!$A$3:$F$301,3,FALSE))^2),"")</f>
        <v/>
      </c>
      <c r="BN58" s="14" t="str">
        <f>_xlfn.IFNA(SQRT((VLOOKUP(BN$1,DATA!$A$3:$F$301,2,FALSE)-VLOOKUP($A58,DATA!$A$3:$F$301,2,FALSE))^2+(VLOOKUP(BN$1,DATA!$A$3:$F$301,3,FALSE)-VLOOKUP($A58,DATA!$A$3:$F$301,3,FALSE))^2),"")</f>
        <v/>
      </c>
      <c r="BO58" s="14" t="str">
        <f>_xlfn.IFNA(SQRT((VLOOKUP(BO$1,DATA!$A$3:$F$301,2,FALSE)-VLOOKUP($A58,DATA!$A$3:$F$301,2,FALSE))^2+(VLOOKUP(BO$1,DATA!$A$3:$F$301,3,FALSE)-VLOOKUP($A58,DATA!$A$3:$F$301,3,FALSE))^2),"")</f>
        <v/>
      </c>
      <c r="BP58" s="14" t="str">
        <f>_xlfn.IFNA(SQRT((VLOOKUP(BP$1,DATA!$A$3:$F$301,2,FALSE)-VLOOKUP($A58,DATA!$A$3:$F$301,2,FALSE))^2+(VLOOKUP(BP$1,DATA!$A$3:$F$301,3,FALSE)-VLOOKUP($A58,DATA!$A$3:$F$301,3,FALSE))^2),"")</f>
        <v/>
      </c>
      <c r="BQ58" s="14" t="str">
        <f>_xlfn.IFNA(SQRT((VLOOKUP(BQ$1,DATA!$A$3:$F$301,2,FALSE)-VLOOKUP($A58,DATA!$A$3:$F$301,2,FALSE))^2+(VLOOKUP(BQ$1,DATA!$A$3:$F$301,3,FALSE)-VLOOKUP($A58,DATA!$A$3:$F$301,3,FALSE))^2),"")</f>
        <v/>
      </c>
      <c r="BR58" s="14" t="str">
        <f>_xlfn.IFNA(SQRT((VLOOKUP(BR$1,DATA!$A$3:$F$301,2,FALSE)-VLOOKUP($A58,DATA!$A$3:$F$301,2,FALSE))^2+(VLOOKUP(BR$1,DATA!$A$3:$F$301,3,FALSE)-VLOOKUP($A58,DATA!$A$3:$F$301,3,FALSE))^2),"")</f>
        <v/>
      </c>
      <c r="BS58" s="14" t="str">
        <f>_xlfn.IFNA(SQRT((VLOOKUP(BS$1,DATA!$A$3:$F$301,2,FALSE)-VLOOKUP($A58,DATA!$A$3:$F$301,2,FALSE))^2+(VLOOKUP(BS$1,DATA!$A$3:$F$301,3,FALSE)-VLOOKUP($A58,DATA!$A$3:$F$301,3,FALSE))^2),"")</f>
        <v/>
      </c>
      <c r="BT58" s="14" t="str">
        <f>_xlfn.IFNA(SQRT((VLOOKUP(BT$1,DATA!$A$3:$F$301,2,FALSE)-VLOOKUP($A58,DATA!$A$3:$F$301,2,FALSE))^2+(VLOOKUP(BT$1,DATA!$A$3:$F$301,3,FALSE)-VLOOKUP($A58,DATA!$A$3:$F$301,3,FALSE))^2),"")</f>
        <v/>
      </c>
      <c r="BU58" s="14" t="str">
        <f>_xlfn.IFNA(SQRT((VLOOKUP(BU$1,DATA!$A$3:$F$301,2,FALSE)-VLOOKUP($A58,DATA!$A$3:$F$301,2,FALSE))^2+(VLOOKUP(BU$1,DATA!$A$3:$F$301,3,FALSE)-VLOOKUP($A58,DATA!$A$3:$F$301,3,FALSE))^2),"")</f>
        <v/>
      </c>
      <c r="BV58" s="14" t="str">
        <f>_xlfn.IFNA(SQRT((VLOOKUP(BV$1,DATA!$A$3:$F$301,2,FALSE)-VLOOKUP($A58,DATA!$A$3:$F$301,2,FALSE))^2+(VLOOKUP(BV$1,DATA!$A$3:$F$301,3,FALSE)-VLOOKUP($A58,DATA!$A$3:$F$301,3,FALSE))^2),"")</f>
        <v/>
      </c>
      <c r="BW58" s="14" t="str">
        <f>_xlfn.IFNA(SQRT((VLOOKUP(BW$1,DATA!$A$3:$F$301,2,FALSE)-VLOOKUP($A58,DATA!$A$3:$F$301,2,FALSE))^2+(VLOOKUP(BW$1,DATA!$A$3:$F$301,3,FALSE)-VLOOKUP($A58,DATA!$A$3:$F$301,3,FALSE))^2),"")</f>
        <v/>
      </c>
      <c r="BX58" s="14" t="str">
        <f>_xlfn.IFNA(SQRT((VLOOKUP(BX$1,DATA!$A$3:$F$301,2,FALSE)-VLOOKUP($A58,DATA!$A$3:$F$301,2,FALSE))^2+(VLOOKUP(BX$1,DATA!$A$3:$F$301,3,FALSE)-VLOOKUP($A58,DATA!$A$3:$F$301,3,FALSE))^2),"")</f>
        <v/>
      </c>
      <c r="BY58" s="14" t="str">
        <f>_xlfn.IFNA(SQRT((VLOOKUP(BY$1,DATA!$A$3:$F$301,2,FALSE)-VLOOKUP($A58,DATA!$A$3:$F$301,2,FALSE))^2+(VLOOKUP(BY$1,DATA!$A$3:$F$301,3,FALSE)-VLOOKUP($A58,DATA!$A$3:$F$301,3,FALSE))^2),"")</f>
        <v/>
      </c>
      <c r="BZ58" s="14" t="str">
        <f>_xlfn.IFNA(SQRT((VLOOKUP(BZ$1,DATA!$A$3:$F$301,2,FALSE)-VLOOKUP($A58,DATA!$A$3:$F$301,2,FALSE))^2+(VLOOKUP(BZ$1,DATA!$A$3:$F$301,3,FALSE)-VLOOKUP($A58,DATA!$A$3:$F$301,3,FALSE))^2),"")</f>
        <v/>
      </c>
      <c r="CA58" s="14" t="str">
        <f>_xlfn.IFNA(SQRT((VLOOKUP(CA$1,DATA!$A$3:$F$301,2,FALSE)-VLOOKUP($A58,DATA!$A$3:$F$301,2,FALSE))^2+(VLOOKUP(CA$1,DATA!$A$3:$F$301,3,FALSE)-VLOOKUP($A58,DATA!$A$3:$F$301,3,FALSE))^2),"")</f>
        <v/>
      </c>
      <c r="CB58" s="14" t="str">
        <f>_xlfn.IFNA(SQRT((VLOOKUP(CB$1,DATA!$A$3:$F$301,2,FALSE)-VLOOKUP($A58,DATA!$A$3:$F$301,2,FALSE))^2+(VLOOKUP(CB$1,DATA!$A$3:$F$301,3,FALSE)-VLOOKUP($A58,DATA!$A$3:$F$301,3,FALSE))^2),"")</f>
        <v/>
      </c>
      <c r="CC58" s="14" t="str">
        <f>_xlfn.IFNA(SQRT((VLOOKUP(CC$1,DATA!$A$3:$F$301,2,FALSE)-VLOOKUP($A58,DATA!$A$3:$F$301,2,FALSE))^2+(VLOOKUP(CC$1,DATA!$A$3:$F$301,3,FALSE)-VLOOKUP($A58,DATA!$A$3:$F$301,3,FALSE))^2),"")</f>
        <v/>
      </c>
      <c r="CD58" s="14" t="str">
        <f>_xlfn.IFNA(SQRT((VLOOKUP(CD$1,DATA!$A$3:$F$301,2,FALSE)-VLOOKUP($A58,DATA!$A$3:$F$301,2,FALSE))^2+(VLOOKUP(CD$1,DATA!$A$3:$F$301,3,FALSE)-VLOOKUP($A58,DATA!$A$3:$F$301,3,FALSE))^2),"")</f>
        <v/>
      </c>
      <c r="CE58" s="14" t="str">
        <f>_xlfn.IFNA(SQRT((VLOOKUP(CE$1,DATA!$A$3:$F$301,2,FALSE)-VLOOKUP($A58,DATA!$A$3:$F$301,2,FALSE))^2+(VLOOKUP(CE$1,DATA!$A$3:$F$301,3,FALSE)-VLOOKUP($A58,DATA!$A$3:$F$301,3,FALSE))^2),"")</f>
        <v/>
      </c>
      <c r="CF58" s="14" t="str">
        <f>_xlfn.IFNA(SQRT((VLOOKUP(CF$1,DATA!$A$3:$F$301,2,FALSE)-VLOOKUP($A58,DATA!$A$3:$F$301,2,FALSE))^2+(VLOOKUP(CF$1,DATA!$A$3:$F$301,3,FALSE)-VLOOKUP($A58,DATA!$A$3:$F$301,3,FALSE))^2),"")</f>
        <v/>
      </c>
      <c r="CG58" s="14" t="str">
        <f>_xlfn.IFNA(SQRT((VLOOKUP(CG$1,DATA!$A$3:$F$301,2,FALSE)-VLOOKUP($A58,DATA!$A$3:$F$301,2,FALSE))^2+(VLOOKUP(CG$1,DATA!$A$3:$F$301,3,FALSE)-VLOOKUP($A58,DATA!$A$3:$F$301,3,FALSE))^2),"")</f>
        <v/>
      </c>
      <c r="CH58" s="14" t="str">
        <f>_xlfn.IFNA(SQRT((VLOOKUP(CH$1,DATA!$A$3:$F$301,2,FALSE)-VLOOKUP($A58,DATA!$A$3:$F$301,2,FALSE))^2+(VLOOKUP(CH$1,DATA!$A$3:$F$301,3,FALSE)-VLOOKUP($A58,DATA!$A$3:$F$301,3,FALSE))^2),"")</f>
        <v/>
      </c>
      <c r="CI58" s="14" t="str">
        <f>_xlfn.IFNA(SQRT((VLOOKUP(CI$1,DATA!$A$3:$F$301,2,FALSE)-VLOOKUP($A58,DATA!$A$3:$F$301,2,FALSE))^2+(VLOOKUP(CI$1,DATA!$A$3:$F$301,3,FALSE)-VLOOKUP($A58,DATA!$A$3:$F$301,3,FALSE))^2),"")</f>
        <v/>
      </c>
      <c r="CJ58" s="14" t="str">
        <f>_xlfn.IFNA(SQRT((VLOOKUP(CJ$1,DATA!$A$3:$F$301,2,FALSE)-VLOOKUP($A58,DATA!$A$3:$F$301,2,FALSE))^2+(VLOOKUP(CJ$1,DATA!$A$3:$F$301,3,FALSE)-VLOOKUP($A58,DATA!$A$3:$F$301,3,FALSE))^2),"")</f>
        <v/>
      </c>
      <c r="CK58" s="14" t="str">
        <f>_xlfn.IFNA(SQRT((VLOOKUP(CK$1,DATA!$A$3:$F$301,2,FALSE)-VLOOKUP($A58,DATA!$A$3:$F$301,2,FALSE))^2+(VLOOKUP(CK$1,DATA!$A$3:$F$301,3,FALSE)-VLOOKUP($A58,DATA!$A$3:$F$301,3,FALSE))^2),"")</f>
        <v/>
      </c>
      <c r="CL58" s="14" t="str">
        <f>_xlfn.IFNA(SQRT((VLOOKUP(CL$1,DATA!$A$3:$F$301,2,FALSE)-VLOOKUP($A58,DATA!$A$3:$F$301,2,FALSE))^2+(VLOOKUP(CL$1,DATA!$A$3:$F$301,3,FALSE)-VLOOKUP($A58,DATA!$A$3:$F$301,3,FALSE))^2),"")</f>
        <v/>
      </c>
      <c r="CM58" s="14" t="str">
        <f>_xlfn.IFNA(SQRT((VLOOKUP(CM$1,DATA!$A$3:$F$301,2,FALSE)-VLOOKUP($A58,DATA!$A$3:$F$301,2,FALSE))^2+(VLOOKUP(CM$1,DATA!$A$3:$F$301,3,FALSE)-VLOOKUP($A58,DATA!$A$3:$F$301,3,FALSE))^2),"")</f>
        <v/>
      </c>
      <c r="CN58" s="14" t="str">
        <f>_xlfn.IFNA(SQRT((VLOOKUP(CN$1,DATA!$A$3:$F$301,2,FALSE)-VLOOKUP($A58,DATA!$A$3:$F$301,2,FALSE))^2+(VLOOKUP(CN$1,DATA!$A$3:$F$301,3,FALSE)-VLOOKUP($A58,DATA!$A$3:$F$301,3,FALSE))^2),"")</f>
        <v/>
      </c>
      <c r="CO58" s="14" t="str">
        <f>_xlfn.IFNA(SQRT((VLOOKUP(CO$1,DATA!$A$3:$F$301,2,FALSE)-VLOOKUP($A58,DATA!$A$3:$F$301,2,FALSE))^2+(VLOOKUP(CO$1,DATA!$A$3:$F$301,3,FALSE)-VLOOKUP($A58,DATA!$A$3:$F$301,3,FALSE))^2),"")</f>
        <v/>
      </c>
      <c r="CP58" s="14" t="str">
        <f>_xlfn.IFNA(SQRT((VLOOKUP(CP$1,DATA!$A$3:$F$301,2,FALSE)-VLOOKUP($A58,DATA!$A$3:$F$301,2,FALSE))^2+(VLOOKUP(CP$1,DATA!$A$3:$F$301,3,FALSE)-VLOOKUP($A58,DATA!$A$3:$F$301,3,FALSE))^2),"")</f>
        <v/>
      </c>
      <c r="CQ58" s="14" t="str">
        <f>_xlfn.IFNA(SQRT((VLOOKUP(CQ$1,DATA!$A$3:$F$301,2,FALSE)-VLOOKUP($A58,DATA!$A$3:$F$301,2,FALSE))^2+(VLOOKUP(CQ$1,DATA!$A$3:$F$301,3,FALSE)-VLOOKUP($A58,DATA!$A$3:$F$301,3,FALSE))^2),"")</f>
        <v/>
      </c>
      <c r="CR58" s="14" t="str">
        <f>_xlfn.IFNA(SQRT((VLOOKUP(CR$1,DATA!$A$3:$F$301,2,FALSE)-VLOOKUP($A58,DATA!$A$3:$F$301,2,FALSE))^2+(VLOOKUP(CR$1,DATA!$A$3:$F$301,3,FALSE)-VLOOKUP($A58,DATA!$A$3:$F$301,3,FALSE))^2),"")</f>
        <v/>
      </c>
      <c r="CS58" s="14" t="str">
        <f>_xlfn.IFNA(SQRT((VLOOKUP(CS$1,DATA!$A$3:$F$301,2,FALSE)-VLOOKUP($A58,DATA!$A$3:$F$301,2,FALSE))^2+(VLOOKUP(CS$1,DATA!$A$3:$F$301,3,FALSE)-VLOOKUP($A58,DATA!$A$3:$F$301,3,FALSE))^2),"")</f>
        <v/>
      </c>
      <c r="CT58" s="14" t="str">
        <f>_xlfn.IFNA(SQRT((VLOOKUP(CT$1,DATA!$A$3:$F$301,2,FALSE)-VLOOKUP($A58,DATA!$A$3:$F$301,2,FALSE))^2+(VLOOKUP(CT$1,DATA!$A$3:$F$301,3,FALSE)-VLOOKUP($A58,DATA!$A$3:$F$301,3,FALSE))^2),"")</f>
        <v/>
      </c>
      <c r="CU58" s="14" t="str">
        <f>_xlfn.IFNA(SQRT((VLOOKUP(CU$1,DATA!$A$3:$F$301,2,FALSE)-VLOOKUP($A58,DATA!$A$3:$F$301,2,FALSE))^2+(VLOOKUP(CU$1,DATA!$A$3:$F$301,3,FALSE)-VLOOKUP($A58,DATA!$A$3:$F$301,3,FALSE))^2),"")</f>
        <v/>
      </c>
      <c r="CV58" s="14" t="str">
        <f>_xlfn.IFNA(SQRT((VLOOKUP(CV$1,DATA!$A$3:$F$301,2,FALSE)-VLOOKUP($A58,DATA!$A$3:$F$301,2,FALSE))^2+(VLOOKUP(CV$1,DATA!$A$3:$F$301,3,FALSE)-VLOOKUP($A58,DATA!$A$3:$F$301,3,FALSE))^2),"")</f>
        <v/>
      </c>
      <c r="CW58" s="14" t="str">
        <f>_xlfn.IFNA(SQRT((VLOOKUP(CW$1,DATA!$A$3:$F$301,2,FALSE)-VLOOKUP($A58,DATA!$A$3:$F$301,2,FALSE))^2+(VLOOKUP(CW$1,DATA!$A$3:$F$301,3,FALSE)-VLOOKUP($A58,DATA!$A$3:$F$301,3,FALSE))^2),"")</f>
        <v/>
      </c>
      <c r="CX58" s="14" t="str">
        <f>_xlfn.IFNA(SQRT((VLOOKUP(CX$1,DATA!$A$3:$F$301,2,FALSE)-VLOOKUP($A58,DATA!$A$3:$F$301,2,FALSE))^2+(VLOOKUP(CX$1,DATA!$A$3:$F$301,3,FALSE)-VLOOKUP($A58,DATA!$A$3:$F$301,3,FALSE))^2),"")</f>
        <v/>
      </c>
    </row>
    <row r="59" spans="1:102">
      <c r="A59" s="13">
        <v>58</v>
      </c>
      <c r="B59" s="14" t="str">
        <f>_xlfn.IFNA(SQRT((VLOOKUP(B$1,DATA!$A$3:$F$301,2,FALSE)-VLOOKUP($A59,DATA!$A$3:$F$301,2,FALSE))^2+(VLOOKUP(B$1,DATA!$A$3:$F$301,3,FALSE)-VLOOKUP($A59,DATA!$A$3:$F$301,3,FALSE))^2),"")</f>
        <v/>
      </c>
      <c r="C59" s="14" t="str">
        <f>_xlfn.IFNA(SQRT((VLOOKUP(C$1,DATA!$A$3:$F$301,2,FALSE)-VLOOKUP($A59,DATA!$A$3:$F$301,2,FALSE))^2+(VLOOKUP(C$1,DATA!$A$3:$F$301,3,FALSE)-VLOOKUP($A59,DATA!$A$3:$F$301,3,FALSE))^2),"")</f>
        <v/>
      </c>
      <c r="D59" s="14" t="str">
        <f>_xlfn.IFNA(SQRT((VLOOKUP(D$1,DATA!$A$3:$F$301,2,FALSE)-VLOOKUP($A59,DATA!$A$3:$F$301,2,FALSE))^2+(VLOOKUP(D$1,DATA!$A$3:$F$301,3,FALSE)-VLOOKUP($A59,DATA!$A$3:$F$301,3,FALSE))^2),"")</f>
        <v/>
      </c>
      <c r="E59" s="14" t="str">
        <f>_xlfn.IFNA(SQRT((VLOOKUP(E$1,DATA!$A$3:$F$301,2,FALSE)-VLOOKUP($A59,DATA!$A$3:$F$301,2,FALSE))^2+(VLOOKUP(E$1,DATA!$A$3:$F$301,3,FALSE)-VLOOKUP($A59,DATA!$A$3:$F$301,3,FALSE))^2),"")</f>
        <v/>
      </c>
      <c r="F59" s="14" t="str">
        <f>_xlfn.IFNA(SQRT((VLOOKUP(F$1,DATA!$A$3:$F$301,2,FALSE)-VLOOKUP($A59,DATA!$A$3:$F$301,2,FALSE))^2+(VLOOKUP(F$1,DATA!$A$3:$F$301,3,FALSE)-VLOOKUP($A59,DATA!$A$3:$F$301,3,FALSE))^2),"")</f>
        <v/>
      </c>
      <c r="G59" s="14" t="str">
        <f>_xlfn.IFNA(SQRT((VLOOKUP(G$1,DATA!$A$3:$F$301,2,FALSE)-VLOOKUP($A59,DATA!$A$3:$F$301,2,FALSE))^2+(VLOOKUP(G$1,DATA!$A$3:$F$301,3,FALSE)-VLOOKUP($A59,DATA!$A$3:$F$301,3,FALSE))^2),"")</f>
        <v/>
      </c>
      <c r="H59" s="14" t="str">
        <f>_xlfn.IFNA(SQRT((VLOOKUP(H$1,DATA!$A$3:$F$301,2,FALSE)-VLOOKUP($A59,DATA!$A$3:$F$301,2,FALSE))^2+(VLOOKUP(H$1,DATA!$A$3:$F$301,3,FALSE)-VLOOKUP($A59,DATA!$A$3:$F$301,3,FALSE))^2),"")</f>
        <v/>
      </c>
      <c r="I59" s="14" t="str">
        <f>_xlfn.IFNA(SQRT((VLOOKUP(I$1,DATA!$A$3:$F$301,2,FALSE)-VLOOKUP($A59,DATA!$A$3:$F$301,2,FALSE))^2+(VLOOKUP(I$1,DATA!$A$3:$F$301,3,FALSE)-VLOOKUP($A59,DATA!$A$3:$F$301,3,FALSE))^2),"")</f>
        <v/>
      </c>
      <c r="J59" s="14" t="str">
        <f>_xlfn.IFNA(SQRT((VLOOKUP(J$1,DATA!$A$3:$F$301,2,FALSE)-VLOOKUP($A59,DATA!$A$3:$F$301,2,FALSE))^2+(VLOOKUP(J$1,DATA!$A$3:$F$301,3,FALSE)-VLOOKUP($A59,DATA!$A$3:$F$301,3,FALSE))^2),"")</f>
        <v/>
      </c>
      <c r="K59" s="14" t="str">
        <f>_xlfn.IFNA(SQRT((VLOOKUP(K$1,DATA!$A$3:$F$301,2,FALSE)-VLOOKUP($A59,DATA!$A$3:$F$301,2,FALSE))^2+(VLOOKUP(K$1,DATA!$A$3:$F$301,3,FALSE)-VLOOKUP($A59,DATA!$A$3:$F$301,3,FALSE))^2),"")</f>
        <v/>
      </c>
      <c r="L59" s="14" t="str">
        <f>_xlfn.IFNA(SQRT((VLOOKUP(L$1,DATA!$A$3:$F$301,2,FALSE)-VLOOKUP($A59,DATA!$A$3:$F$301,2,FALSE))^2+(VLOOKUP(L$1,DATA!$A$3:$F$301,3,FALSE)-VLOOKUP($A59,DATA!$A$3:$F$301,3,FALSE))^2),"")</f>
        <v/>
      </c>
      <c r="M59" s="14" t="str">
        <f>_xlfn.IFNA(SQRT((VLOOKUP(M$1,DATA!$A$3:$F$301,2,FALSE)-VLOOKUP($A59,DATA!$A$3:$F$301,2,FALSE))^2+(VLOOKUP(M$1,DATA!$A$3:$F$301,3,FALSE)-VLOOKUP($A59,DATA!$A$3:$F$301,3,FALSE))^2),"")</f>
        <v/>
      </c>
      <c r="N59" s="14" t="str">
        <f>_xlfn.IFNA(SQRT((VLOOKUP(N$1,DATA!$A$3:$F$301,2,FALSE)-VLOOKUP($A59,DATA!$A$3:$F$301,2,FALSE))^2+(VLOOKUP(N$1,DATA!$A$3:$F$301,3,FALSE)-VLOOKUP($A59,DATA!$A$3:$F$301,3,FALSE))^2),"")</f>
        <v/>
      </c>
      <c r="O59" s="14" t="str">
        <f>_xlfn.IFNA(SQRT((VLOOKUP(O$1,DATA!$A$3:$F$301,2,FALSE)-VLOOKUP($A59,DATA!$A$3:$F$301,2,FALSE))^2+(VLOOKUP(O$1,DATA!$A$3:$F$301,3,FALSE)-VLOOKUP($A59,DATA!$A$3:$F$301,3,FALSE))^2),"")</f>
        <v/>
      </c>
      <c r="P59" s="14" t="str">
        <f>_xlfn.IFNA(SQRT((VLOOKUP(P$1,DATA!$A$3:$F$301,2,FALSE)-VLOOKUP($A59,DATA!$A$3:$F$301,2,FALSE))^2+(VLOOKUP(P$1,DATA!$A$3:$F$301,3,FALSE)-VLOOKUP($A59,DATA!$A$3:$F$301,3,FALSE))^2),"")</f>
        <v/>
      </c>
      <c r="Q59" s="14" t="str">
        <f>_xlfn.IFNA(SQRT((VLOOKUP(Q$1,DATA!$A$3:$F$301,2,FALSE)-VLOOKUP($A59,DATA!$A$3:$F$301,2,FALSE))^2+(VLOOKUP(Q$1,DATA!$A$3:$F$301,3,FALSE)-VLOOKUP($A59,DATA!$A$3:$F$301,3,FALSE))^2),"")</f>
        <v/>
      </c>
      <c r="R59" s="14" t="str">
        <f>_xlfn.IFNA(SQRT((VLOOKUP(R$1,DATA!$A$3:$F$301,2,FALSE)-VLOOKUP($A59,DATA!$A$3:$F$301,2,FALSE))^2+(VLOOKUP(R$1,DATA!$A$3:$F$301,3,FALSE)-VLOOKUP($A59,DATA!$A$3:$F$301,3,FALSE))^2),"")</f>
        <v/>
      </c>
      <c r="S59" s="14" t="str">
        <f>_xlfn.IFNA(SQRT((VLOOKUP(S$1,DATA!$A$3:$F$301,2,FALSE)-VLOOKUP($A59,DATA!$A$3:$F$301,2,FALSE))^2+(VLOOKUP(S$1,DATA!$A$3:$F$301,3,FALSE)-VLOOKUP($A59,DATA!$A$3:$F$301,3,FALSE))^2),"")</f>
        <v/>
      </c>
      <c r="T59" s="14" t="str">
        <f>_xlfn.IFNA(SQRT((VLOOKUP(T$1,DATA!$A$3:$F$301,2,FALSE)-VLOOKUP($A59,DATA!$A$3:$F$301,2,FALSE))^2+(VLOOKUP(T$1,DATA!$A$3:$F$301,3,FALSE)-VLOOKUP($A59,DATA!$A$3:$F$301,3,FALSE))^2),"")</f>
        <v/>
      </c>
      <c r="U59" s="14" t="str">
        <f>_xlfn.IFNA(SQRT((VLOOKUP(U$1,DATA!$A$3:$F$301,2,FALSE)-VLOOKUP($A59,DATA!$A$3:$F$301,2,FALSE))^2+(VLOOKUP(U$1,DATA!$A$3:$F$301,3,FALSE)-VLOOKUP($A59,DATA!$A$3:$F$301,3,FALSE))^2),"")</f>
        <v/>
      </c>
      <c r="V59" s="14" t="str">
        <f>_xlfn.IFNA(SQRT((VLOOKUP(V$1,DATA!$A$3:$F$301,2,FALSE)-VLOOKUP($A59,DATA!$A$3:$F$301,2,FALSE))^2+(VLOOKUP(V$1,DATA!$A$3:$F$301,3,FALSE)-VLOOKUP($A59,DATA!$A$3:$F$301,3,FALSE))^2),"")</f>
        <v/>
      </c>
      <c r="W59" s="14" t="str">
        <f>_xlfn.IFNA(SQRT((VLOOKUP(W$1,DATA!$A$3:$F$301,2,FALSE)-VLOOKUP($A59,DATA!$A$3:$F$301,2,FALSE))^2+(VLOOKUP(W$1,DATA!$A$3:$F$301,3,FALSE)-VLOOKUP($A59,DATA!$A$3:$F$301,3,FALSE))^2),"")</f>
        <v/>
      </c>
      <c r="X59" s="14" t="str">
        <f>_xlfn.IFNA(SQRT((VLOOKUP(X$1,DATA!$A$3:$F$301,2,FALSE)-VLOOKUP($A59,DATA!$A$3:$F$301,2,FALSE))^2+(VLOOKUP(X$1,DATA!$A$3:$F$301,3,FALSE)-VLOOKUP($A59,DATA!$A$3:$F$301,3,FALSE))^2),"")</f>
        <v/>
      </c>
      <c r="Y59" s="14" t="str">
        <f>_xlfn.IFNA(SQRT((VLOOKUP(Y$1,DATA!$A$3:$F$301,2,FALSE)-VLOOKUP($A59,DATA!$A$3:$F$301,2,FALSE))^2+(VLOOKUP(Y$1,DATA!$A$3:$F$301,3,FALSE)-VLOOKUP($A59,DATA!$A$3:$F$301,3,FALSE))^2),"")</f>
        <v/>
      </c>
      <c r="Z59" s="14" t="str">
        <f>_xlfn.IFNA(SQRT((VLOOKUP(Z$1,DATA!$A$3:$F$301,2,FALSE)-VLOOKUP($A59,DATA!$A$3:$F$301,2,FALSE))^2+(VLOOKUP(Z$1,DATA!$A$3:$F$301,3,FALSE)-VLOOKUP($A59,DATA!$A$3:$F$301,3,FALSE))^2),"")</f>
        <v/>
      </c>
      <c r="AA59" s="14" t="str">
        <f>_xlfn.IFNA(SQRT((VLOOKUP(AA$1,DATA!$A$3:$F$301,2,FALSE)-VLOOKUP($A59,DATA!$A$3:$F$301,2,FALSE))^2+(VLOOKUP(AA$1,DATA!$A$3:$F$301,3,FALSE)-VLOOKUP($A59,DATA!$A$3:$F$301,3,FALSE))^2),"")</f>
        <v/>
      </c>
      <c r="AB59" s="14" t="str">
        <f>_xlfn.IFNA(SQRT((VLOOKUP(AB$1,DATA!$A$3:$F$301,2,FALSE)-VLOOKUP($A59,DATA!$A$3:$F$301,2,FALSE))^2+(VLOOKUP(AB$1,DATA!$A$3:$F$301,3,FALSE)-VLOOKUP($A59,DATA!$A$3:$F$301,3,FALSE))^2),"")</f>
        <v/>
      </c>
      <c r="AC59" s="14" t="str">
        <f>_xlfn.IFNA(SQRT((VLOOKUP(AC$1,DATA!$A$3:$F$301,2,FALSE)-VLOOKUP($A59,DATA!$A$3:$F$301,2,FALSE))^2+(VLOOKUP(AC$1,DATA!$A$3:$F$301,3,FALSE)-VLOOKUP($A59,DATA!$A$3:$F$301,3,FALSE))^2),"")</f>
        <v/>
      </c>
      <c r="AD59" s="14" t="str">
        <f>_xlfn.IFNA(SQRT((VLOOKUP(AD$1,DATA!$A$3:$F$301,2,FALSE)-VLOOKUP($A59,DATA!$A$3:$F$301,2,FALSE))^2+(VLOOKUP(AD$1,DATA!$A$3:$F$301,3,FALSE)-VLOOKUP($A59,DATA!$A$3:$F$301,3,FALSE))^2),"")</f>
        <v/>
      </c>
      <c r="AE59" s="14" t="str">
        <f>_xlfn.IFNA(SQRT((VLOOKUP(AE$1,DATA!$A$3:$F$301,2,FALSE)-VLOOKUP($A59,DATA!$A$3:$F$301,2,FALSE))^2+(VLOOKUP(AE$1,DATA!$A$3:$F$301,3,FALSE)-VLOOKUP($A59,DATA!$A$3:$F$301,3,FALSE))^2),"")</f>
        <v/>
      </c>
      <c r="AF59" s="14" t="str">
        <f>_xlfn.IFNA(SQRT((VLOOKUP(AF$1,DATA!$A$3:$F$301,2,FALSE)-VLOOKUP($A59,DATA!$A$3:$F$301,2,FALSE))^2+(VLOOKUP(AF$1,DATA!$A$3:$F$301,3,FALSE)-VLOOKUP($A59,DATA!$A$3:$F$301,3,FALSE))^2),"")</f>
        <v/>
      </c>
      <c r="AG59" s="14" t="str">
        <f>_xlfn.IFNA(SQRT((VLOOKUP(AG$1,DATA!$A$3:$F$301,2,FALSE)-VLOOKUP($A59,DATA!$A$3:$F$301,2,FALSE))^2+(VLOOKUP(AG$1,DATA!$A$3:$F$301,3,FALSE)-VLOOKUP($A59,DATA!$A$3:$F$301,3,FALSE))^2),"")</f>
        <v/>
      </c>
      <c r="AH59" s="14" t="str">
        <f>_xlfn.IFNA(SQRT((VLOOKUP(AH$1,DATA!$A$3:$F$301,2,FALSE)-VLOOKUP($A59,DATA!$A$3:$F$301,2,FALSE))^2+(VLOOKUP(AH$1,DATA!$A$3:$F$301,3,FALSE)-VLOOKUP($A59,DATA!$A$3:$F$301,3,FALSE))^2),"")</f>
        <v/>
      </c>
      <c r="AI59" s="14" t="str">
        <f>_xlfn.IFNA(SQRT((VLOOKUP(AI$1,DATA!$A$3:$F$301,2,FALSE)-VLOOKUP($A59,DATA!$A$3:$F$301,2,FALSE))^2+(VLOOKUP(AI$1,DATA!$A$3:$F$301,3,FALSE)-VLOOKUP($A59,DATA!$A$3:$F$301,3,FALSE))^2),"")</f>
        <v/>
      </c>
      <c r="AJ59" s="14" t="str">
        <f>_xlfn.IFNA(SQRT((VLOOKUP(AJ$1,DATA!$A$3:$F$301,2,FALSE)-VLOOKUP($A59,DATA!$A$3:$F$301,2,FALSE))^2+(VLOOKUP(AJ$1,DATA!$A$3:$F$301,3,FALSE)-VLOOKUP($A59,DATA!$A$3:$F$301,3,FALSE))^2),"")</f>
        <v/>
      </c>
      <c r="AK59" s="14" t="str">
        <f>_xlfn.IFNA(SQRT((VLOOKUP(AK$1,DATA!$A$3:$F$301,2,FALSE)-VLOOKUP($A59,DATA!$A$3:$F$301,2,FALSE))^2+(VLOOKUP(AK$1,DATA!$A$3:$F$301,3,FALSE)-VLOOKUP($A59,DATA!$A$3:$F$301,3,FALSE))^2),"")</f>
        <v/>
      </c>
      <c r="AL59" s="14" t="str">
        <f>_xlfn.IFNA(SQRT((VLOOKUP(AL$1,DATA!$A$3:$F$301,2,FALSE)-VLOOKUP($A59,DATA!$A$3:$F$301,2,FALSE))^2+(VLOOKUP(AL$1,DATA!$A$3:$F$301,3,FALSE)-VLOOKUP($A59,DATA!$A$3:$F$301,3,FALSE))^2),"")</f>
        <v/>
      </c>
      <c r="AM59" s="14" t="str">
        <f>_xlfn.IFNA(SQRT((VLOOKUP(AM$1,DATA!$A$3:$F$301,2,FALSE)-VLOOKUP($A59,DATA!$A$3:$F$301,2,FALSE))^2+(VLOOKUP(AM$1,DATA!$A$3:$F$301,3,FALSE)-VLOOKUP($A59,DATA!$A$3:$F$301,3,FALSE))^2),"")</f>
        <v/>
      </c>
      <c r="AN59" s="14" t="str">
        <f>_xlfn.IFNA(SQRT((VLOOKUP(AN$1,DATA!$A$3:$F$301,2,FALSE)-VLOOKUP($A59,DATA!$A$3:$F$301,2,FALSE))^2+(VLOOKUP(AN$1,DATA!$A$3:$F$301,3,FALSE)-VLOOKUP($A59,DATA!$A$3:$F$301,3,FALSE))^2),"")</f>
        <v/>
      </c>
      <c r="AO59" s="14" t="str">
        <f>_xlfn.IFNA(SQRT((VLOOKUP(AO$1,DATA!$A$3:$F$301,2,FALSE)-VLOOKUP($A59,DATA!$A$3:$F$301,2,FALSE))^2+(VLOOKUP(AO$1,DATA!$A$3:$F$301,3,FALSE)-VLOOKUP($A59,DATA!$A$3:$F$301,3,FALSE))^2),"")</f>
        <v/>
      </c>
      <c r="AP59" s="14" t="str">
        <f>_xlfn.IFNA(SQRT((VLOOKUP(AP$1,DATA!$A$3:$F$301,2,FALSE)-VLOOKUP($A59,DATA!$A$3:$F$301,2,FALSE))^2+(VLOOKUP(AP$1,DATA!$A$3:$F$301,3,FALSE)-VLOOKUP($A59,DATA!$A$3:$F$301,3,FALSE))^2),"")</f>
        <v/>
      </c>
      <c r="AQ59" s="14" t="str">
        <f>_xlfn.IFNA(SQRT((VLOOKUP(AQ$1,DATA!$A$3:$F$301,2,FALSE)-VLOOKUP($A59,DATA!$A$3:$F$301,2,FALSE))^2+(VLOOKUP(AQ$1,DATA!$A$3:$F$301,3,FALSE)-VLOOKUP($A59,DATA!$A$3:$F$301,3,FALSE))^2),"")</f>
        <v/>
      </c>
      <c r="AR59" s="14" t="str">
        <f>_xlfn.IFNA(SQRT((VLOOKUP(AR$1,DATA!$A$3:$F$301,2,FALSE)-VLOOKUP($A59,DATA!$A$3:$F$301,2,FALSE))^2+(VLOOKUP(AR$1,DATA!$A$3:$F$301,3,FALSE)-VLOOKUP($A59,DATA!$A$3:$F$301,3,FALSE))^2),"")</f>
        <v/>
      </c>
      <c r="AS59" s="14" t="str">
        <f>_xlfn.IFNA(SQRT((VLOOKUP(AS$1,DATA!$A$3:$F$301,2,FALSE)-VLOOKUP($A59,DATA!$A$3:$F$301,2,FALSE))^2+(VLOOKUP(AS$1,DATA!$A$3:$F$301,3,FALSE)-VLOOKUP($A59,DATA!$A$3:$F$301,3,FALSE))^2),"")</f>
        <v/>
      </c>
      <c r="AT59" s="14" t="str">
        <f>_xlfn.IFNA(SQRT((VLOOKUP(AT$1,DATA!$A$3:$F$301,2,FALSE)-VLOOKUP($A59,DATA!$A$3:$F$301,2,FALSE))^2+(VLOOKUP(AT$1,DATA!$A$3:$F$301,3,FALSE)-VLOOKUP($A59,DATA!$A$3:$F$301,3,FALSE))^2),"")</f>
        <v/>
      </c>
      <c r="AU59" s="14" t="str">
        <f>_xlfn.IFNA(SQRT((VLOOKUP(AU$1,DATA!$A$3:$F$301,2,FALSE)-VLOOKUP($A59,DATA!$A$3:$F$301,2,FALSE))^2+(VLOOKUP(AU$1,DATA!$A$3:$F$301,3,FALSE)-VLOOKUP($A59,DATA!$A$3:$F$301,3,FALSE))^2),"")</f>
        <v/>
      </c>
      <c r="AV59" s="14" t="str">
        <f>_xlfn.IFNA(SQRT((VLOOKUP(AV$1,DATA!$A$3:$F$301,2,FALSE)-VLOOKUP($A59,DATA!$A$3:$F$301,2,FALSE))^2+(VLOOKUP(AV$1,DATA!$A$3:$F$301,3,FALSE)-VLOOKUP($A59,DATA!$A$3:$F$301,3,FALSE))^2),"")</f>
        <v/>
      </c>
      <c r="AW59" s="14" t="str">
        <f>_xlfn.IFNA(SQRT((VLOOKUP(AW$1,DATA!$A$3:$F$301,2,FALSE)-VLOOKUP($A59,DATA!$A$3:$F$301,2,FALSE))^2+(VLOOKUP(AW$1,DATA!$A$3:$F$301,3,FALSE)-VLOOKUP($A59,DATA!$A$3:$F$301,3,FALSE))^2),"")</f>
        <v/>
      </c>
      <c r="AX59" s="14" t="str">
        <f>_xlfn.IFNA(SQRT((VLOOKUP(AX$1,DATA!$A$3:$F$301,2,FALSE)-VLOOKUP($A59,DATA!$A$3:$F$301,2,FALSE))^2+(VLOOKUP(AX$1,DATA!$A$3:$F$301,3,FALSE)-VLOOKUP($A59,DATA!$A$3:$F$301,3,FALSE))^2),"")</f>
        <v/>
      </c>
      <c r="AY59" s="14" t="str">
        <f>_xlfn.IFNA(SQRT((VLOOKUP(AY$1,DATA!$A$3:$F$301,2,FALSE)-VLOOKUP($A59,DATA!$A$3:$F$301,2,FALSE))^2+(VLOOKUP(AY$1,DATA!$A$3:$F$301,3,FALSE)-VLOOKUP($A59,DATA!$A$3:$F$301,3,FALSE))^2),"")</f>
        <v/>
      </c>
      <c r="AZ59" s="14" t="str">
        <f>_xlfn.IFNA(SQRT((VLOOKUP(AZ$1,DATA!$A$3:$F$301,2,FALSE)-VLOOKUP($A59,DATA!$A$3:$F$301,2,FALSE))^2+(VLOOKUP(AZ$1,DATA!$A$3:$F$301,3,FALSE)-VLOOKUP($A59,DATA!$A$3:$F$301,3,FALSE))^2),"")</f>
        <v/>
      </c>
      <c r="BA59" s="14" t="str">
        <f>_xlfn.IFNA(SQRT((VLOOKUP(BA$1,DATA!$A$3:$F$301,2,FALSE)-VLOOKUP($A59,DATA!$A$3:$F$301,2,FALSE))^2+(VLOOKUP(BA$1,DATA!$A$3:$F$301,3,FALSE)-VLOOKUP($A59,DATA!$A$3:$F$301,3,FALSE))^2),"")</f>
        <v/>
      </c>
      <c r="BB59" s="14" t="str">
        <f>_xlfn.IFNA(SQRT((VLOOKUP(BB$1,DATA!$A$3:$F$301,2,FALSE)-VLOOKUP($A59,DATA!$A$3:$F$301,2,FALSE))^2+(VLOOKUP(BB$1,DATA!$A$3:$F$301,3,FALSE)-VLOOKUP($A59,DATA!$A$3:$F$301,3,FALSE))^2),"")</f>
        <v/>
      </c>
      <c r="BC59" s="14" t="str">
        <f>_xlfn.IFNA(SQRT((VLOOKUP(BC$1,DATA!$A$3:$F$301,2,FALSE)-VLOOKUP($A59,DATA!$A$3:$F$301,2,FALSE))^2+(VLOOKUP(BC$1,DATA!$A$3:$F$301,3,FALSE)-VLOOKUP($A59,DATA!$A$3:$F$301,3,FALSE))^2),"")</f>
        <v/>
      </c>
      <c r="BD59" s="14" t="str">
        <f>_xlfn.IFNA(SQRT((VLOOKUP(BD$1,DATA!$A$3:$F$301,2,FALSE)-VLOOKUP($A59,DATA!$A$3:$F$301,2,FALSE))^2+(VLOOKUP(BD$1,DATA!$A$3:$F$301,3,FALSE)-VLOOKUP($A59,DATA!$A$3:$F$301,3,FALSE))^2),"")</f>
        <v/>
      </c>
      <c r="BE59" s="14" t="str">
        <f>_xlfn.IFNA(SQRT((VLOOKUP(BE$1,DATA!$A$3:$F$301,2,FALSE)-VLOOKUP($A59,DATA!$A$3:$F$301,2,FALSE))^2+(VLOOKUP(BE$1,DATA!$A$3:$F$301,3,FALSE)-VLOOKUP($A59,DATA!$A$3:$F$301,3,FALSE))^2),"")</f>
        <v/>
      </c>
      <c r="BF59" s="14" t="str">
        <f>_xlfn.IFNA(SQRT((VLOOKUP(BF$1,DATA!$A$3:$F$301,2,FALSE)-VLOOKUP($A59,DATA!$A$3:$F$301,2,FALSE))^2+(VLOOKUP(BF$1,DATA!$A$3:$F$301,3,FALSE)-VLOOKUP($A59,DATA!$A$3:$F$301,3,FALSE))^2),"")</f>
        <v/>
      </c>
      <c r="BG59" s="14" t="str">
        <f>_xlfn.IFNA(SQRT((VLOOKUP(BG$1,DATA!$A$3:$F$301,2,FALSE)-VLOOKUP($A59,DATA!$A$3:$F$301,2,FALSE))^2+(VLOOKUP(BG$1,DATA!$A$3:$F$301,3,FALSE)-VLOOKUP($A59,DATA!$A$3:$F$301,3,FALSE))^2),"")</f>
        <v/>
      </c>
      <c r="BH59" s="14" t="str">
        <f>_xlfn.IFNA(SQRT((VLOOKUP(BH$1,DATA!$A$3:$F$301,2,FALSE)-VLOOKUP($A59,DATA!$A$3:$F$301,2,FALSE))^2+(VLOOKUP(BH$1,DATA!$A$3:$F$301,3,FALSE)-VLOOKUP($A59,DATA!$A$3:$F$301,3,FALSE))^2),"")</f>
        <v/>
      </c>
      <c r="BI59" s="14" t="str">
        <f>_xlfn.IFNA(SQRT((VLOOKUP(BI$1,DATA!$A$3:$F$301,2,FALSE)-VLOOKUP($A59,DATA!$A$3:$F$301,2,FALSE))^2+(VLOOKUP(BI$1,DATA!$A$3:$F$301,3,FALSE)-VLOOKUP($A59,DATA!$A$3:$F$301,3,FALSE))^2),"")</f>
        <v/>
      </c>
      <c r="BJ59" s="14" t="str">
        <f>_xlfn.IFNA(SQRT((VLOOKUP(BJ$1,DATA!$A$3:$F$301,2,FALSE)-VLOOKUP($A59,DATA!$A$3:$F$301,2,FALSE))^2+(VLOOKUP(BJ$1,DATA!$A$3:$F$301,3,FALSE)-VLOOKUP($A59,DATA!$A$3:$F$301,3,FALSE))^2),"")</f>
        <v/>
      </c>
      <c r="BK59" s="14" t="str">
        <f>_xlfn.IFNA(SQRT((VLOOKUP(BK$1,DATA!$A$3:$F$301,2,FALSE)-VLOOKUP($A59,DATA!$A$3:$F$301,2,FALSE))^2+(VLOOKUP(BK$1,DATA!$A$3:$F$301,3,FALSE)-VLOOKUP($A59,DATA!$A$3:$F$301,3,FALSE))^2),"")</f>
        <v/>
      </c>
      <c r="BL59" s="14" t="str">
        <f>_xlfn.IFNA(SQRT((VLOOKUP(BL$1,DATA!$A$3:$F$301,2,FALSE)-VLOOKUP($A59,DATA!$A$3:$F$301,2,FALSE))^2+(VLOOKUP(BL$1,DATA!$A$3:$F$301,3,FALSE)-VLOOKUP($A59,DATA!$A$3:$F$301,3,FALSE))^2),"")</f>
        <v/>
      </c>
      <c r="BM59" s="14" t="str">
        <f>_xlfn.IFNA(SQRT((VLOOKUP(BM$1,DATA!$A$3:$F$301,2,FALSE)-VLOOKUP($A59,DATA!$A$3:$F$301,2,FALSE))^2+(VLOOKUP(BM$1,DATA!$A$3:$F$301,3,FALSE)-VLOOKUP($A59,DATA!$A$3:$F$301,3,FALSE))^2),"")</f>
        <v/>
      </c>
      <c r="BN59" s="14" t="str">
        <f>_xlfn.IFNA(SQRT((VLOOKUP(BN$1,DATA!$A$3:$F$301,2,FALSE)-VLOOKUP($A59,DATA!$A$3:$F$301,2,FALSE))^2+(VLOOKUP(BN$1,DATA!$A$3:$F$301,3,FALSE)-VLOOKUP($A59,DATA!$A$3:$F$301,3,FALSE))^2),"")</f>
        <v/>
      </c>
      <c r="BO59" s="14" t="str">
        <f>_xlfn.IFNA(SQRT((VLOOKUP(BO$1,DATA!$A$3:$F$301,2,FALSE)-VLOOKUP($A59,DATA!$A$3:$F$301,2,FALSE))^2+(VLOOKUP(BO$1,DATA!$A$3:$F$301,3,FALSE)-VLOOKUP($A59,DATA!$A$3:$F$301,3,FALSE))^2),"")</f>
        <v/>
      </c>
      <c r="BP59" s="14" t="str">
        <f>_xlfn.IFNA(SQRT((VLOOKUP(BP$1,DATA!$A$3:$F$301,2,FALSE)-VLOOKUP($A59,DATA!$A$3:$F$301,2,FALSE))^2+(VLOOKUP(BP$1,DATA!$A$3:$F$301,3,FALSE)-VLOOKUP($A59,DATA!$A$3:$F$301,3,FALSE))^2),"")</f>
        <v/>
      </c>
      <c r="BQ59" s="14" t="str">
        <f>_xlfn.IFNA(SQRT((VLOOKUP(BQ$1,DATA!$A$3:$F$301,2,FALSE)-VLOOKUP($A59,DATA!$A$3:$F$301,2,FALSE))^2+(VLOOKUP(BQ$1,DATA!$A$3:$F$301,3,FALSE)-VLOOKUP($A59,DATA!$A$3:$F$301,3,FALSE))^2),"")</f>
        <v/>
      </c>
      <c r="BR59" s="14" t="str">
        <f>_xlfn.IFNA(SQRT((VLOOKUP(BR$1,DATA!$A$3:$F$301,2,FALSE)-VLOOKUP($A59,DATA!$A$3:$F$301,2,FALSE))^2+(VLOOKUP(BR$1,DATA!$A$3:$F$301,3,FALSE)-VLOOKUP($A59,DATA!$A$3:$F$301,3,FALSE))^2),"")</f>
        <v/>
      </c>
      <c r="BS59" s="14" t="str">
        <f>_xlfn.IFNA(SQRT((VLOOKUP(BS$1,DATA!$A$3:$F$301,2,FALSE)-VLOOKUP($A59,DATA!$A$3:$F$301,2,FALSE))^2+(VLOOKUP(BS$1,DATA!$A$3:$F$301,3,FALSE)-VLOOKUP($A59,DATA!$A$3:$F$301,3,FALSE))^2),"")</f>
        <v/>
      </c>
      <c r="BT59" s="14" t="str">
        <f>_xlfn.IFNA(SQRT((VLOOKUP(BT$1,DATA!$A$3:$F$301,2,FALSE)-VLOOKUP($A59,DATA!$A$3:$F$301,2,FALSE))^2+(VLOOKUP(BT$1,DATA!$A$3:$F$301,3,FALSE)-VLOOKUP($A59,DATA!$A$3:$F$301,3,FALSE))^2),"")</f>
        <v/>
      </c>
      <c r="BU59" s="14" t="str">
        <f>_xlfn.IFNA(SQRT((VLOOKUP(BU$1,DATA!$A$3:$F$301,2,FALSE)-VLOOKUP($A59,DATA!$A$3:$F$301,2,FALSE))^2+(VLOOKUP(BU$1,DATA!$A$3:$F$301,3,FALSE)-VLOOKUP($A59,DATA!$A$3:$F$301,3,FALSE))^2),"")</f>
        <v/>
      </c>
      <c r="BV59" s="14" t="str">
        <f>_xlfn.IFNA(SQRT((VLOOKUP(BV$1,DATA!$A$3:$F$301,2,FALSE)-VLOOKUP($A59,DATA!$A$3:$F$301,2,FALSE))^2+(VLOOKUP(BV$1,DATA!$A$3:$F$301,3,FALSE)-VLOOKUP($A59,DATA!$A$3:$F$301,3,FALSE))^2),"")</f>
        <v/>
      </c>
      <c r="BW59" s="14" t="str">
        <f>_xlfn.IFNA(SQRT((VLOOKUP(BW$1,DATA!$A$3:$F$301,2,FALSE)-VLOOKUP($A59,DATA!$A$3:$F$301,2,FALSE))^2+(VLOOKUP(BW$1,DATA!$A$3:$F$301,3,FALSE)-VLOOKUP($A59,DATA!$A$3:$F$301,3,FALSE))^2),"")</f>
        <v/>
      </c>
      <c r="BX59" s="14" t="str">
        <f>_xlfn.IFNA(SQRT((VLOOKUP(BX$1,DATA!$A$3:$F$301,2,FALSE)-VLOOKUP($A59,DATA!$A$3:$F$301,2,FALSE))^2+(VLOOKUP(BX$1,DATA!$A$3:$F$301,3,FALSE)-VLOOKUP($A59,DATA!$A$3:$F$301,3,FALSE))^2),"")</f>
        <v/>
      </c>
      <c r="BY59" s="14" t="str">
        <f>_xlfn.IFNA(SQRT((VLOOKUP(BY$1,DATA!$A$3:$F$301,2,FALSE)-VLOOKUP($A59,DATA!$A$3:$F$301,2,FALSE))^2+(VLOOKUP(BY$1,DATA!$A$3:$F$301,3,FALSE)-VLOOKUP($A59,DATA!$A$3:$F$301,3,FALSE))^2),"")</f>
        <v/>
      </c>
      <c r="BZ59" s="14" t="str">
        <f>_xlfn.IFNA(SQRT((VLOOKUP(BZ$1,DATA!$A$3:$F$301,2,FALSE)-VLOOKUP($A59,DATA!$A$3:$F$301,2,FALSE))^2+(VLOOKUP(BZ$1,DATA!$A$3:$F$301,3,FALSE)-VLOOKUP($A59,DATA!$A$3:$F$301,3,FALSE))^2),"")</f>
        <v/>
      </c>
      <c r="CA59" s="14" t="str">
        <f>_xlfn.IFNA(SQRT((VLOOKUP(CA$1,DATA!$A$3:$F$301,2,FALSE)-VLOOKUP($A59,DATA!$A$3:$F$301,2,FALSE))^2+(VLOOKUP(CA$1,DATA!$A$3:$F$301,3,FALSE)-VLOOKUP($A59,DATA!$A$3:$F$301,3,FALSE))^2),"")</f>
        <v/>
      </c>
      <c r="CB59" s="14" t="str">
        <f>_xlfn.IFNA(SQRT((VLOOKUP(CB$1,DATA!$A$3:$F$301,2,FALSE)-VLOOKUP($A59,DATA!$A$3:$F$301,2,FALSE))^2+(VLOOKUP(CB$1,DATA!$A$3:$F$301,3,FALSE)-VLOOKUP($A59,DATA!$A$3:$F$301,3,FALSE))^2),"")</f>
        <v/>
      </c>
      <c r="CC59" s="14" t="str">
        <f>_xlfn.IFNA(SQRT((VLOOKUP(CC$1,DATA!$A$3:$F$301,2,FALSE)-VLOOKUP($A59,DATA!$A$3:$F$301,2,FALSE))^2+(VLOOKUP(CC$1,DATA!$A$3:$F$301,3,FALSE)-VLOOKUP($A59,DATA!$A$3:$F$301,3,FALSE))^2),"")</f>
        <v/>
      </c>
      <c r="CD59" s="14" t="str">
        <f>_xlfn.IFNA(SQRT((VLOOKUP(CD$1,DATA!$A$3:$F$301,2,FALSE)-VLOOKUP($A59,DATA!$A$3:$F$301,2,FALSE))^2+(VLOOKUP(CD$1,DATA!$A$3:$F$301,3,FALSE)-VLOOKUP($A59,DATA!$A$3:$F$301,3,FALSE))^2),"")</f>
        <v/>
      </c>
      <c r="CE59" s="14" t="str">
        <f>_xlfn.IFNA(SQRT((VLOOKUP(CE$1,DATA!$A$3:$F$301,2,FALSE)-VLOOKUP($A59,DATA!$A$3:$F$301,2,FALSE))^2+(VLOOKUP(CE$1,DATA!$A$3:$F$301,3,FALSE)-VLOOKUP($A59,DATA!$A$3:$F$301,3,FALSE))^2),"")</f>
        <v/>
      </c>
      <c r="CF59" s="14" t="str">
        <f>_xlfn.IFNA(SQRT((VLOOKUP(CF$1,DATA!$A$3:$F$301,2,FALSE)-VLOOKUP($A59,DATA!$A$3:$F$301,2,FALSE))^2+(VLOOKUP(CF$1,DATA!$A$3:$F$301,3,FALSE)-VLOOKUP($A59,DATA!$A$3:$F$301,3,FALSE))^2),"")</f>
        <v/>
      </c>
      <c r="CG59" s="14" t="str">
        <f>_xlfn.IFNA(SQRT((VLOOKUP(CG$1,DATA!$A$3:$F$301,2,FALSE)-VLOOKUP($A59,DATA!$A$3:$F$301,2,FALSE))^2+(VLOOKUP(CG$1,DATA!$A$3:$F$301,3,FALSE)-VLOOKUP($A59,DATA!$A$3:$F$301,3,FALSE))^2),"")</f>
        <v/>
      </c>
      <c r="CH59" s="14" t="str">
        <f>_xlfn.IFNA(SQRT((VLOOKUP(CH$1,DATA!$A$3:$F$301,2,FALSE)-VLOOKUP($A59,DATA!$A$3:$F$301,2,FALSE))^2+(VLOOKUP(CH$1,DATA!$A$3:$F$301,3,FALSE)-VLOOKUP($A59,DATA!$A$3:$F$301,3,FALSE))^2),"")</f>
        <v/>
      </c>
      <c r="CI59" s="14" t="str">
        <f>_xlfn.IFNA(SQRT((VLOOKUP(CI$1,DATA!$A$3:$F$301,2,FALSE)-VLOOKUP($A59,DATA!$A$3:$F$301,2,FALSE))^2+(VLOOKUP(CI$1,DATA!$A$3:$F$301,3,FALSE)-VLOOKUP($A59,DATA!$A$3:$F$301,3,FALSE))^2),"")</f>
        <v/>
      </c>
      <c r="CJ59" s="14" t="str">
        <f>_xlfn.IFNA(SQRT((VLOOKUP(CJ$1,DATA!$A$3:$F$301,2,FALSE)-VLOOKUP($A59,DATA!$A$3:$F$301,2,FALSE))^2+(VLOOKUP(CJ$1,DATA!$A$3:$F$301,3,FALSE)-VLOOKUP($A59,DATA!$A$3:$F$301,3,FALSE))^2),"")</f>
        <v/>
      </c>
      <c r="CK59" s="14" t="str">
        <f>_xlfn.IFNA(SQRT((VLOOKUP(CK$1,DATA!$A$3:$F$301,2,FALSE)-VLOOKUP($A59,DATA!$A$3:$F$301,2,FALSE))^2+(VLOOKUP(CK$1,DATA!$A$3:$F$301,3,FALSE)-VLOOKUP($A59,DATA!$A$3:$F$301,3,FALSE))^2),"")</f>
        <v/>
      </c>
      <c r="CL59" s="14" t="str">
        <f>_xlfn.IFNA(SQRT((VLOOKUP(CL$1,DATA!$A$3:$F$301,2,FALSE)-VLOOKUP($A59,DATA!$A$3:$F$301,2,FALSE))^2+(VLOOKUP(CL$1,DATA!$A$3:$F$301,3,FALSE)-VLOOKUP($A59,DATA!$A$3:$F$301,3,FALSE))^2),"")</f>
        <v/>
      </c>
      <c r="CM59" s="14" t="str">
        <f>_xlfn.IFNA(SQRT((VLOOKUP(CM$1,DATA!$A$3:$F$301,2,FALSE)-VLOOKUP($A59,DATA!$A$3:$F$301,2,FALSE))^2+(VLOOKUP(CM$1,DATA!$A$3:$F$301,3,FALSE)-VLOOKUP($A59,DATA!$A$3:$F$301,3,FALSE))^2),"")</f>
        <v/>
      </c>
      <c r="CN59" s="14" t="str">
        <f>_xlfn.IFNA(SQRT((VLOOKUP(CN$1,DATA!$A$3:$F$301,2,FALSE)-VLOOKUP($A59,DATA!$A$3:$F$301,2,FALSE))^2+(VLOOKUP(CN$1,DATA!$A$3:$F$301,3,FALSE)-VLOOKUP($A59,DATA!$A$3:$F$301,3,FALSE))^2),"")</f>
        <v/>
      </c>
      <c r="CO59" s="14" t="str">
        <f>_xlfn.IFNA(SQRT((VLOOKUP(CO$1,DATA!$A$3:$F$301,2,FALSE)-VLOOKUP($A59,DATA!$A$3:$F$301,2,FALSE))^2+(VLOOKUP(CO$1,DATA!$A$3:$F$301,3,FALSE)-VLOOKUP($A59,DATA!$A$3:$F$301,3,FALSE))^2),"")</f>
        <v/>
      </c>
      <c r="CP59" s="14" t="str">
        <f>_xlfn.IFNA(SQRT((VLOOKUP(CP$1,DATA!$A$3:$F$301,2,FALSE)-VLOOKUP($A59,DATA!$A$3:$F$301,2,FALSE))^2+(VLOOKUP(CP$1,DATA!$A$3:$F$301,3,FALSE)-VLOOKUP($A59,DATA!$A$3:$F$301,3,FALSE))^2),"")</f>
        <v/>
      </c>
      <c r="CQ59" s="14" t="str">
        <f>_xlfn.IFNA(SQRT((VLOOKUP(CQ$1,DATA!$A$3:$F$301,2,FALSE)-VLOOKUP($A59,DATA!$A$3:$F$301,2,FALSE))^2+(VLOOKUP(CQ$1,DATA!$A$3:$F$301,3,FALSE)-VLOOKUP($A59,DATA!$A$3:$F$301,3,FALSE))^2),"")</f>
        <v/>
      </c>
      <c r="CR59" s="14" t="str">
        <f>_xlfn.IFNA(SQRT((VLOOKUP(CR$1,DATA!$A$3:$F$301,2,FALSE)-VLOOKUP($A59,DATA!$A$3:$F$301,2,FALSE))^2+(VLOOKUP(CR$1,DATA!$A$3:$F$301,3,FALSE)-VLOOKUP($A59,DATA!$A$3:$F$301,3,FALSE))^2),"")</f>
        <v/>
      </c>
      <c r="CS59" s="14" t="str">
        <f>_xlfn.IFNA(SQRT((VLOOKUP(CS$1,DATA!$A$3:$F$301,2,FALSE)-VLOOKUP($A59,DATA!$A$3:$F$301,2,FALSE))^2+(VLOOKUP(CS$1,DATA!$A$3:$F$301,3,FALSE)-VLOOKUP($A59,DATA!$A$3:$F$301,3,FALSE))^2),"")</f>
        <v/>
      </c>
      <c r="CT59" s="14" t="str">
        <f>_xlfn.IFNA(SQRT((VLOOKUP(CT$1,DATA!$A$3:$F$301,2,FALSE)-VLOOKUP($A59,DATA!$A$3:$F$301,2,FALSE))^2+(VLOOKUP(CT$1,DATA!$A$3:$F$301,3,FALSE)-VLOOKUP($A59,DATA!$A$3:$F$301,3,FALSE))^2),"")</f>
        <v/>
      </c>
      <c r="CU59" s="14" t="str">
        <f>_xlfn.IFNA(SQRT((VLOOKUP(CU$1,DATA!$A$3:$F$301,2,FALSE)-VLOOKUP($A59,DATA!$A$3:$F$301,2,FALSE))^2+(VLOOKUP(CU$1,DATA!$A$3:$F$301,3,FALSE)-VLOOKUP($A59,DATA!$A$3:$F$301,3,FALSE))^2),"")</f>
        <v/>
      </c>
      <c r="CV59" s="14" t="str">
        <f>_xlfn.IFNA(SQRT((VLOOKUP(CV$1,DATA!$A$3:$F$301,2,FALSE)-VLOOKUP($A59,DATA!$A$3:$F$301,2,FALSE))^2+(VLOOKUP(CV$1,DATA!$A$3:$F$301,3,FALSE)-VLOOKUP($A59,DATA!$A$3:$F$301,3,FALSE))^2),"")</f>
        <v/>
      </c>
      <c r="CW59" s="14" t="str">
        <f>_xlfn.IFNA(SQRT((VLOOKUP(CW$1,DATA!$A$3:$F$301,2,FALSE)-VLOOKUP($A59,DATA!$A$3:$F$301,2,FALSE))^2+(VLOOKUP(CW$1,DATA!$A$3:$F$301,3,FALSE)-VLOOKUP($A59,DATA!$A$3:$F$301,3,FALSE))^2),"")</f>
        <v/>
      </c>
      <c r="CX59" s="14" t="str">
        <f>_xlfn.IFNA(SQRT((VLOOKUP(CX$1,DATA!$A$3:$F$301,2,FALSE)-VLOOKUP($A59,DATA!$A$3:$F$301,2,FALSE))^2+(VLOOKUP(CX$1,DATA!$A$3:$F$301,3,FALSE)-VLOOKUP($A59,DATA!$A$3:$F$301,3,FALSE))^2),"")</f>
        <v/>
      </c>
    </row>
    <row r="60" spans="1:102">
      <c r="A60" s="13">
        <v>59</v>
      </c>
      <c r="B60" s="14" t="str">
        <f>_xlfn.IFNA(SQRT((VLOOKUP(B$1,DATA!$A$3:$F$301,2,FALSE)-VLOOKUP($A60,DATA!$A$3:$F$301,2,FALSE))^2+(VLOOKUP(B$1,DATA!$A$3:$F$301,3,FALSE)-VLOOKUP($A60,DATA!$A$3:$F$301,3,FALSE))^2),"")</f>
        <v/>
      </c>
      <c r="C60" s="14" t="str">
        <f>_xlfn.IFNA(SQRT((VLOOKUP(C$1,DATA!$A$3:$F$301,2,FALSE)-VLOOKUP($A60,DATA!$A$3:$F$301,2,FALSE))^2+(VLOOKUP(C$1,DATA!$A$3:$F$301,3,FALSE)-VLOOKUP($A60,DATA!$A$3:$F$301,3,FALSE))^2),"")</f>
        <v/>
      </c>
      <c r="D60" s="14" t="str">
        <f>_xlfn.IFNA(SQRT((VLOOKUP(D$1,DATA!$A$3:$F$301,2,FALSE)-VLOOKUP($A60,DATA!$A$3:$F$301,2,FALSE))^2+(VLOOKUP(D$1,DATA!$A$3:$F$301,3,FALSE)-VLOOKUP($A60,DATA!$A$3:$F$301,3,FALSE))^2),"")</f>
        <v/>
      </c>
      <c r="E60" s="14" t="str">
        <f>_xlfn.IFNA(SQRT((VLOOKUP(E$1,DATA!$A$3:$F$301,2,FALSE)-VLOOKUP($A60,DATA!$A$3:$F$301,2,FALSE))^2+(VLOOKUP(E$1,DATA!$A$3:$F$301,3,FALSE)-VLOOKUP($A60,DATA!$A$3:$F$301,3,FALSE))^2),"")</f>
        <v/>
      </c>
      <c r="F60" s="14" t="str">
        <f>_xlfn.IFNA(SQRT((VLOOKUP(F$1,DATA!$A$3:$F$301,2,FALSE)-VLOOKUP($A60,DATA!$A$3:$F$301,2,FALSE))^2+(VLOOKUP(F$1,DATA!$A$3:$F$301,3,FALSE)-VLOOKUP($A60,DATA!$A$3:$F$301,3,FALSE))^2),"")</f>
        <v/>
      </c>
      <c r="G60" s="14" t="str">
        <f>_xlfn.IFNA(SQRT((VLOOKUP(G$1,DATA!$A$3:$F$301,2,FALSE)-VLOOKUP($A60,DATA!$A$3:$F$301,2,FALSE))^2+(VLOOKUP(G$1,DATA!$A$3:$F$301,3,FALSE)-VLOOKUP($A60,DATA!$A$3:$F$301,3,FALSE))^2),"")</f>
        <v/>
      </c>
      <c r="H60" s="14" t="str">
        <f>_xlfn.IFNA(SQRT((VLOOKUP(H$1,DATA!$A$3:$F$301,2,FALSE)-VLOOKUP($A60,DATA!$A$3:$F$301,2,FALSE))^2+(VLOOKUP(H$1,DATA!$A$3:$F$301,3,FALSE)-VLOOKUP($A60,DATA!$A$3:$F$301,3,FALSE))^2),"")</f>
        <v/>
      </c>
      <c r="I60" s="14" t="str">
        <f>_xlfn.IFNA(SQRT((VLOOKUP(I$1,DATA!$A$3:$F$301,2,FALSE)-VLOOKUP($A60,DATA!$A$3:$F$301,2,FALSE))^2+(VLOOKUP(I$1,DATA!$A$3:$F$301,3,FALSE)-VLOOKUP($A60,DATA!$A$3:$F$301,3,FALSE))^2),"")</f>
        <v/>
      </c>
      <c r="J60" s="14" t="str">
        <f>_xlfn.IFNA(SQRT((VLOOKUP(J$1,DATA!$A$3:$F$301,2,FALSE)-VLOOKUP($A60,DATA!$A$3:$F$301,2,FALSE))^2+(VLOOKUP(J$1,DATA!$A$3:$F$301,3,FALSE)-VLOOKUP($A60,DATA!$A$3:$F$301,3,FALSE))^2),"")</f>
        <v/>
      </c>
      <c r="K60" s="14" t="str">
        <f>_xlfn.IFNA(SQRT((VLOOKUP(K$1,DATA!$A$3:$F$301,2,FALSE)-VLOOKUP($A60,DATA!$A$3:$F$301,2,FALSE))^2+(VLOOKUP(K$1,DATA!$A$3:$F$301,3,FALSE)-VLOOKUP($A60,DATA!$A$3:$F$301,3,FALSE))^2),"")</f>
        <v/>
      </c>
      <c r="L60" s="14" t="str">
        <f>_xlfn.IFNA(SQRT((VLOOKUP(L$1,DATA!$A$3:$F$301,2,FALSE)-VLOOKUP($A60,DATA!$A$3:$F$301,2,FALSE))^2+(VLOOKUP(L$1,DATA!$A$3:$F$301,3,FALSE)-VLOOKUP($A60,DATA!$A$3:$F$301,3,FALSE))^2),"")</f>
        <v/>
      </c>
      <c r="M60" s="14" t="str">
        <f>_xlfn.IFNA(SQRT((VLOOKUP(M$1,DATA!$A$3:$F$301,2,FALSE)-VLOOKUP($A60,DATA!$A$3:$F$301,2,FALSE))^2+(VLOOKUP(M$1,DATA!$A$3:$F$301,3,FALSE)-VLOOKUP($A60,DATA!$A$3:$F$301,3,FALSE))^2),"")</f>
        <v/>
      </c>
      <c r="N60" s="14" t="str">
        <f>_xlfn.IFNA(SQRT((VLOOKUP(N$1,DATA!$A$3:$F$301,2,FALSE)-VLOOKUP($A60,DATA!$A$3:$F$301,2,FALSE))^2+(VLOOKUP(N$1,DATA!$A$3:$F$301,3,FALSE)-VLOOKUP($A60,DATA!$A$3:$F$301,3,FALSE))^2),"")</f>
        <v/>
      </c>
      <c r="O60" s="14" t="str">
        <f>_xlfn.IFNA(SQRT((VLOOKUP(O$1,DATA!$A$3:$F$301,2,FALSE)-VLOOKUP($A60,DATA!$A$3:$F$301,2,FALSE))^2+(VLOOKUP(O$1,DATA!$A$3:$F$301,3,FALSE)-VLOOKUP($A60,DATA!$A$3:$F$301,3,FALSE))^2),"")</f>
        <v/>
      </c>
      <c r="P60" s="14" t="str">
        <f>_xlfn.IFNA(SQRT((VLOOKUP(P$1,DATA!$A$3:$F$301,2,FALSE)-VLOOKUP($A60,DATA!$A$3:$F$301,2,FALSE))^2+(VLOOKUP(P$1,DATA!$A$3:$F$301,3,FALSE)-VLOOKUP($A60,DATA!$A$3:$F$301,3,FALSE))^2),"")</f>
        <v/>
      </c>
      <c r="Q60" s="14" t="str">
        <f>_xlfn.IFNA(SQRT((VLOOKUP(Q$1,DATA!$A$3:$F$301,2,FALSE)-VLOOKUP($A60,DATA!$A$3:$F$301,2,FALSE))^2+(VLOOKUP(Q$1,DATA!$A$3:$F$301,3,FALSE)-VLOOKUP($A60,DATA!$A$3:$F$301,3,FALSE))^2),"")</f>
        <v/>
      </c>
      <c r="R60" s="14" t="str">
        <f>_xlfn.IFNA(SQRT((VLOOKUP(R$1,DATA!$A$3:$F$301,2,FALSE)-VLOOKUP($A60,DATA!$A$3:$F$301,2,FALSE))^2+(VLOOKUP(R$1,DATA!$A$3:$F$301,3,FALSE)-VLOOKUP($A60,DATA!$A$3:$F$301,3,FALSE))^2),"")</f>
        <v/>
      </c>
      <c r="S60" s="14" t="str">
        <f>_xlfn.IFNA(SQRT((VLOOKUP(S$1,DATA!$A$3:$F$301,2,FALSE)-VLOOKUP($A60,DATA!$A$3:$F$301,2,FALSE))^2+(VLOOKUP(S$1,DATA!$A$3:$F$301,3,FALSE)-VLOOKUP($A60,DATA!$A$3:$F$301,3,FALSE))^2),"")</f>
        <v/>
      </c>
      <c r="T60" s="14" t="str">
        <f>_xlfn.IFNA(SQRT((VLOOKUP(T$1,DATA!$A$3:$F$301,2,FALSE)-VLOOKUP($A60,DATA!$A$3:$F$301,2,FALSE))^2+(VLOOKUP(T$1,DATA!$A$3:$F$301,3,FALSE)-VLOOKUP($A60,DATA!$A$3:$F$301,3,FALSE))^2),"")</f>
        <v/>
      </c>
      <c r="U60" s="14" t="str">
        <f>_xlfn.IFNA(SQRT((VLOOKUP(U$1,DATA!$A$3:$F$301,2,FALSE)-VLOOKUP($A60,DATA!$A$3:$F$301,2,FALSE))^2+(VLOOKUP(U$1,DATA!$A$3:$F$301,3,FALSE)-VLOOKUP($A60,DATA!$A$3:$F$301,3,FALSE))^2),"")</f>
        <v/>
      </c>
      <c r="V60" s="14" t="str">
        <f>_xlfn.IFNA(SQRT((VLOOKUP(V$1,DATA!$A$3:$F$301,2,FALSE)-VLOOKUP($A60,DATA!$A$3:$F$301,2,FALSE))^2+(VLOOKUP(V$1,DATA!$A$3:$F$301,3,FALSE)-VLOOKUP($A60,DATA!$A$3:$F$301,3,FALSE))^2),"")</f>
        <v/>
      </c>
      <c r="W60" s="14" t="str">
        <f>_xlfn.IFNA(SQRT((VLOOKUP(W$1,DATA!$A$3:$F$301,2,FALSE)-VLOOKUP($A60,DATA!$A$3:$F$301,2,FALSE))^2+(VLOOKUP(W$1,DATA!$A$3:$F$301,3,FALSE)-VLOOKUP($A60,DATA!$A$3:$F$301,3,FALSE))^2),"")</f>
        <v/>
      </c>
      <c r="X60" s="14" t="str">
        <f>_xlfn.IFNA(SQRT((VLOOKUP(X$1,DATA!$A$3:$F$301,2,FALSE)-VLOOKUP($A60,DATA!$A$3:$F$301,2,FALSE))^2+(VLOOKUP(X$1,DATA!$A$3:$F$301,3,FALSE)-VLOOKUP($A60,DATA!$A$3:$F$301,3,FALSE))^2),"")</f>
        <v/>
      </c>
      <c r="Y60" s="14" t="str">
        <f>_xlfn.IFNA(SQRT((VLOOKUP(Y$1,DATA!$A$3:$F$301,2,FALSE)-VLOOKUP($A60,DATA!$A$3:$F$301,2,FALSE))^2+(VLOOKUP(Y$1,DATA!$A$3:$F$301,3,FALSE)-VLOOKUP($A60,DATA!$A$3:$F$301,3,FALSE))^2),"")</f>
        <v/>
      </c>
      <c r="Z60" s="14" t="str">
        <f>_xlfn.IFNA(SQRT((VLOOKUP(Z$1,DATA!$A$3:$F$301,2,FALSE)-VLOOKUP($A60,DATA!$A$3:$F$301,2,FALSE))^2+(VLOOKUP(Z$1,DATA!$A$3:$F$301,3,FALSE)-VLOOKUP($A60,DATA!$A$3:$F$301,3,FALSE))^2),"")</f>
        <v/>
      </c>
      <c r="AA60" s="14" t="str">
        <f>_xlfn.IFNA(SQRT((VLOOKUP(AA$1,DATA!$A$3:$F$301,2,FALSE)-VLOOKUP($A60,DATA!$A$3:$F$301,2,FALSE))^2+(VLOOKUP(AA$1,DATA!$A$3:$F$301,3,FALSE)-VLOOKUP($A60,DATA!$A$3:$F$301,3,FALSE))^2),"")</f>
        <v/>
      </c>
      <c r="AB60" s="14" t="str">
        <f>_xlfn.IFNA(SQRT((VLOOKUP(AB$1,DATA!$A$3:$F$301,2,FALSE)-VLOOKUP($A60,DATA!$A$3:$F$301,2,FALSE))^2+(VLOOKUP(AB$1,DATA!$A$3:$F$301,3,FALSE)-VLOOKUP($A60,DATA!$A$3:$F$301,3,FALSE))^2),"")</f>
        <v/>
      </c>
      <c r="AC60" s="14" t="str">
        <f>_xlfn.IFNA(SQRT((VLOOKUP(AC$1,DATA!$A$3:$F$301,2,FALSE)-VLOOKUP($A60,DATA!$A$3:$F$301,2,FALSE))^2+(VLOOKUP(AC$1,DATA!$A$3:$F$301,3,FALSE)-VLOOKUP($A60,DATA!$A$3:$F$301,3,FALSE))^2),"")</f>
        <v/>
      </c>
      <c r="AD60" s="14" t="str">
        <f>_xlfn.IFNA(SQRT((VLOOKUP(AD$1,DATA!$A$3:$F$301,2,FALSE)-VLOOKUP($A60,DATA!$A$3:$F$301,2,FALSE))^2+(VLOOKUP(AD$1,DATA!$A$3:$F$301,3,FALSE)-VLOOKUP($A60,DATA!$A$3:$F$301,3,FALSE))^2),"")</f>
        <v/>
      </c>
      <c r="AE60" s="14" t="str">
        <f>_xlfn.IFNA(SQRT((VLOOKUP(AE$1,DATA!$A$3:$F$301,2,FALSE)-VLOOKUP($A60,DATA!$A$3:$F$301,2,FALSE))^2+(VLOOKUP(AE$1,DATA!$A$3:$F$301,3,FALSE)-VLOOKUP($A60,DATA!$A$3:$F$301,3,FALSE))^2),"")</f>
        <v/>
      </c>
      <c r="AF60" s="14" t="str">
        <f>_xlfn.IFNA(SQRT((VLOOKUP(AF$1,DATA!$A$3:$F$301,2,FALSE)-VLOOKUP($A60,DATA!$A$3:$F$301,2,FALSE))^2+(VLOOKUP(AF$1,DATA!$A$3:$F$301,3,FALSE)-VLOOKUP($A60,DATA!$A$3:$F$301,3,FALSE))^2),"")</f>
        <v/>
      </c>
      <c r="AG60" s="14" t="str">
        <f>_xlfn.IFNA(SQRT((VLOOKUP(AG$1,DATA!$A$3:$F$301,2,FALSE)-VLOOKUP($A60,DATA!$A$3:$F$301,2,FALSE))^2+(VLOOKUP(AG$1,DATA!$A$3:$F$301,3,FALSE)-VLOOKUP($A60,DATA!$A$3:$F$301,3,FALSE))^2),"")</f>
        <v/>
      </c>
      <c r="AH60" s="14" t="str">
        <f>_xlfn.IFNA(SQRT((VLOOKUP(AH$1,DATA!$A$3:$F$301,2,FALSE)-VLOOKUP($A60,DATA!$A$3:$F$301,2,FALSE))^2+(VLOOKUP(AH$1,DATA!$A$3:$F$301,3,FALSE)-VLOOKUP($A60,DATA!$A$3:$F$301,3,FALSE))^2),"")</f>
        <v/>
      </c>
      <c r="AI60" s="14" t="str">
        <f>_xlfn.IFNA(SQRT((VLOOKUP(AI$1,DATA!$A$3:$F$301,2,FALSE)-VLOOKUP($A60,DATA!$A$3:$F$301,2,FALSE))^2+(VLOOKUP(AI$1,DATA!$A$3:$F$301,3,FALSE)-VLOOKUP($A60,DATA!$A$3:$F$301,3,FALSE))^2),"")</f>
        <v/>
      </c>
      <c r="AJ60" s="14" t="str">
        <f>_xlfn.IFNA(SQRT((VLOOKUP(AJ$1,DATA!$A$3:$F$301,2,FALSE)-VLOOKUP($A60,DATA!$A$3:$F$301,2,FALSE))^2+(VLOOKUP(AJ$1,DATA!$A$3:$F$301,3,FALSE)-VLOOKUP($A60,DATA!$A$3:$F$301,3,FALSE))^2),"")</f>
        <v/>
      </c>
      <c r="AK60" s="14" t="str">
        <f>_xlfn.IFNA(SQRT((VLOOKUP(AK$1,DATA!$A$3:$F$301,2,FALSE)-VLOOKUP($A60,DATA!$A$3:$F$301,2,FALSE))^2+(VLOOKUP(AK$1,DATA!$A$3:$F$301,3,FALSE)-VLOOKUP($A60,DATA!$A$3:$F$301,3,FALSE))^2),"")</f>
        <v/>
      </c>
      <c r="AL60" s="14" t="str">
        <f>_xlfn.IFNA(SQRT((VLOOKUP(AL$1,DATA!$A$3:$F$301,2,FALSE)-VLOOKUP($A60,DATA!$A$3:$F$301,2,FALSE))^2+(VLOOKUP(AL$1,DATA!$A$3:$F$301,3,FALSE)-VLOOKUP($A60,DATA!$A$3:$F$301,3,FALSE))^2),"")</f>
        <v/>
      </c>
      <c r="AM60" s="14" t="str">
        <f>_xlfn.IFNA(SQRT((VLOOKUP(AM$1,DATA!$A$3:$F$301,2,FALSE)-VLOOKUP($A60,DATA!$A$3:$F$301,2,FALSE))^2+(VLOOKUP(AM$1,DATA!$A$3:$F$301,3,FALSE)-VLOOKUP($A60,DATA!$A$3:$F$301,3,FALSE))^2),"")</f>
        <v/>
      </c>
      <c r="AN60" s="14" t="str">
        <f>_xlfn.IFNA(SQRT((VLOOKUP(AN$1,DATA!$A$3:$F$301,2,FALSE)-VLOOKUP($A60,DATA!$A$3:$F$301,2,FALSE))^2+(VLOOKUP(AN$1,DATA!$A$3:$F$301,3,FALSE)-VLOOKUP($A60,DATA!$A$3:$F$301,3,FALSE))^2),"")</f>
        <v/>
      </c>
      <c r="AO60" s="14" t="str">
        <f>_xlfn.IFNA(SQRT((VLOOKUP(AO$1,DATA!$A$3:$F$301,2,FALSE)-VLOOKUP($A60,DATA!$A$3:$F$301,2,FALSE))^2+(VLOOKUP(AO$1,DATA!$A$3:$F$301,3,FALSE)-VLOOKUP($A60,DATA!$A$3:$F$301,3,FALSE))^2),"")</f>
        <v/>
      </c>
      <c r="AP60" s="14" t="str">
        <f>_xlfn.IFNA(SQRT((VLOOKUP(AP$1,DATA!$A$3:$F$301,2,FALSE)-VLOOKUP($A60,DATA!$A$3:$F$301,2,FALSE))^2+(VLOOKUP(AP$1,DATA!$A$3:$F$301,3,FALSE)-VLOOKUP($A60,DATA!$A$3:$F$301,3,FALSE))^2),"")</f>
        <v/>
      </c>
      <c r="AQ60" s="14" t="str">
        <f>_xlfn.IFNA(SQRT((VLOOKUP(AQ$1,DATA!$A$3:$F$301,2,FALSE)-VLOOKUP($A60,DATA!$A$3:$F$301,2,FALSE))^2+(VLOOKUP(AQ$1,DATA!$A$3:$F$301,3,FALSE)-VLOOKUP($A60,DATA!$A$3:$F$301,3,FALSE))^2),"")</f>
        <v/>
      </c>
      <c r="AR60" s="14" t="str">
        <f>_xlfn.IFNA(SQRT((VLOOKUP(AR$1,DATA!$A$3:$F$301,2,FALSE)-VLOOKUP($A60,DATA!$A$3:$F$301,2,FALSE))^2+(VLOOKUP(AR$1,DATA!$A$3:$F$301,3,FALSE)-VLOOKUP($A60,DATA!$A$3:$F$301,3,FALSE))^2),"")</f>
        <v/>
      </c>
      <c r="AS60" s="14" t="str">
        <f>_xlfn.IFNA(SQRT((VLOOKUP(AS$1,DATA!$A$3:$F$301,2,FALSE)-VLOOKUP($A60,DATA!$A$3:$F$301,2,FALSE))^2+(VLOOKUP(AS$1,DATA!$A$3:$F$301,3,FALSE)-VLOOKUP($A60,DATA!$A$3:$F$301,3,FALSE))^2),"")</f>
        <v/>
      </c>
      <c r="AT60" s="14" t="str">
        <f>_xlfn.IFNA(SQRT((VLOOKUP(AT$1,DATA!$A$3:$F$301,2,FALSE)-VLOOKUP($A60,DATA!$A$3:$F$301,2,FALSE))^2+(VLOOKUP(AT$1,DATA!$A$3:$F$301,3,FALSE)-VLOOKUP($A60,DATA!$A$3:$F$301,3,FALSE))^2),"")</f>
        <v/>
      </c>
      <c r="AU60" s="14" t="str">
        <f>_xlfn.IFNA(SQRT((VLOOKUP(AU$1,DATA!$A$3:$F$301,2,FALSE)-VLOOKUP($A60,DATA!$A$3:$F$301,2,FALSE))^2+(VLOOKUP(AU$1,DATA!$A$3:$F$301,3,FALSE)-VLOOKUP($A60,DATA!$A$3:$F$301,3,FALSE))^2),"")</f>
        <v/>
      </c>
      <c r="AV60" s="14" t="str">
        <f>_xlfn.IFNA(SQRT((VLOOKUP(AV$1,DATA!$A$3:$F$301,2,FALSE)-VLOOKUP($A60,DATA!$A$3:$F$301,2,FALSE))^2+(VLOOKUP(AV$1,DATA!$A$3:$F$301,3,FALSE)-VLOOKUP($A60,DATA!$A$3:$F$301,3,FALSE))^2),"")</f>
        <v/>
      </c>
      <c r="AW60" s="14" t="str">
        <f>_xlfn.IFNA(SQRT((VLOOKUP(AW$1,DATA!$A$3:$F$301,2,FALSE)-VLOOKUP($A60,DATA!$A$3:$F$301,2,FALSE))^2+(VLOOKUP(AW$1,DATA!$A$3:$F$301,3,FALSE)-VLOOKUP($A60,DATA!$A$3:$F$301,3,FALSE))^2),"")</f>
        <v/>
      </c>
      <c r="AX60" s="14" t="str">
        <f>_xlfn.IFNA(SQRT((VLOOKUP(AX$1,DATA!$A$3:$F$301,2,FALSE)-VLOOKUP($A60,DATA!$A$3:$F$301,2,FALSE))^2+(VLOOKUP(AX$1,DATA!$A$3:$F$301,3,FALSE)-VLOOKUP($A60,DATA!$A$3:$F$301,3,FALSE))^2),"")</f>
        <v/>
      </c>
      <c r="AY60" s="14" t="str">
        <f>_xlfn.IFNA(SQRT((VLOOKUP(AY$1,DATA!$A$3:$F$301,2,FALSE)-VLOOKUP($A60,DATA!$A$3:$F$301,2,FALSE))^2+(VLOOKUP(AY$1,DATA!$A$3:$F$301,3,FALSE)-VLOOKUP($A60,DATA!$A$3:$F$301,3,FALSE))^2),"")</f>
        <v/>
      </c>
      <c r="AZ60" s="14" t="str">
        <f>_xlfn.IFNA(SQRT((VLOOKUP(AZ$1,DATA!$A$3:$F$301,2,FALSE)-VLOOKUP($A60,DATA!$A$3:$F$301,2,FALSE))^2+(VLOOKUP(AZ$1,DATA!$A$3:$F$301,3,FALSE)-VLOOKUP($A60,DATA!$A$3:$F$301,3,FALSE))^2),"")</f>
        <v/>
      </c>
      <c r="BA60" s="14" t="str">
        <f>_xlfn.IFNA(SQRT((VLOOKUP(BA$1,DATA!$A$3:$F$301,2,FALSE)-VLOOKUP($A60,DATA!$A$3:$F$301,2,FALSE))^2+(VLOOKUP(BA$1,DATA!$A$3:$F$301,3,FALSE)-VLOOKUP($A60,DATA!$A$3:$F$301,3,FALSE))^2),"")</f>
        <v/>
      </c>
      <c r="BB60" s="14" t="str">
        <f>_xlfn.IFNA(SQRT((VLOOKUP(BB$1,DATA!$A$3:$F$301,2,FALSE)-VLOOKUP($A60,DATA!$A$3:$F$301,2,FALSE))^2+(VLOOKUP(BB$1,DATA!$A$3:$F$301,3,FALSE)-VLOOKUP($A60,DATA!$A$3:$F$301,3,FALSE))^2),"")</f>
        <v/>
      </c>
      <c r="BC60" s="14" t="str">
        <f>_xlfn.IFNA(SQRT((VLOOKUP(BC$1,DATA!$A$3:$F$301,2,FALSE)-VLOOKUP($A60,DATA!$A$3:$F$301,2,FALSE))^2+(VLOOKUP(BC$1,DATA!$A$3:$F$301,3,FALSE)-VLOOKUP($A60,DATA!$A$3:$F$301,3,FALSE))^2),"")</f>
        <v/>
      </c>
      <c r="BD60" s="14" t="str">
        <f>_xlfn.IFNA(SQRT((VLOOKUP(BD$1,DATA!$A$3:$F$301,2,FALSE)-VLOOKUP($A60,DATA!$A$3:$F$301,2,FALSE))^2+(VLOOKUP(BD$1,DATA!$A$3:$F$301,3,FALSE)-VLOOKUP($A60,DATA!$A$3:$F$301,3,FALSE))^2),"")</f>
        <v/>
      </c>
      <c r="BE60" s="14" t="str">
        <f>_xlfn.IFNA(SQRT((VLOOKUP(BE$1,DATA!$A$3:$F$301,2,FALSE)-VLOOKUP($A60,DATA!$A$3:$F$301,2,FALSE))^2+(VLOOKUP(BE$1,DATA!$A$3:$F$301,3,FALSE)-VLOOKUP($A60,DATA!$A$3:$F$301,3,FALSE))^2),"")</f>
        <v/>
      </c>
      <c r="BF60" s="14" t="str">
        <f>_xlfn.IFNA(SQRT((VLOOKUP(BF$1,DATA!$A$3:$F$301,2,FALSE)-VLOOKUP($A60,DATA!$A$3:$F$301,2,FALSE))^2+(VLOOKUP(BF$1,DATA!$A$3:$F$301,3,FALSE)-VLOOKUP($A60,DATA!$A$3:$F$301,3,FALSE))^2),"")</f>
        <v/>
      </c>
      <c r="BG60" s="14" t="str">
        <f>_xlfn.IFNA(SQRT((VLOOKUP(BG$1,DATA!$A$3:$F$301,2,FALSE)-VLOOKUP($A60,DATA!$A$3:$F$301,2,FALSE))^2+(VLOOKUP(BG$1,DATA!$A$3:$F$301,3,FALSE)-VLOOKUP($A60,DATA!$A$3:$F$301,3,FALSE))^2),"")</f>
        <v/>
      </c>
      <c r="BH60" s="14" t="str">
        <f>_xlfn.IFNA(SQRT((VLOOKUP(BH$1,DATA!$A$3:$F$301,2,FALSE)-VLOOKUP($A60,DATA!$A$3:$F$301,2,FALSE))^2+(VLOOKUP(BH$1,DATA!$A$3:$F$301,3,FALSE)-VLOOKUP($A60,DATA!$A$3:$F$301,3,FALSE))^2),"")</f>
        <v/>
      </c>
      <c r="BI60" s="14" t="str">
        <f>_xlfn.IFNA(SQRT((VLOOKUP(BI$1,DATA!$A$3:$F$301,2,FALSE)-VLOOKUP($A60,DATA!$A$3:$F$301,2,FALSE))^2+(VLOOKUP(BI$1,DATA!$A$3:$F$301,3,FALSE)-VLOOKUP($A60,DATA!$A$3:$F$301,3,FALSE))^2),"")</f>
        <v/>
      </c>
      <c r="BJ60" s="14" t="str">
        <f>_xlfn.IFNA(SQRT((VLOOKUP(BJ$1,DATA!$A$3:$F$301,2,FALSE)-VLOOKUP($A60,DATA!$A$3:$F$301,2,FALSE))^2+(VLOOKUP(BJ$1,DATA!$A$3:$F$301,3,FALSE)-VLOOKUP($A60,DATA!$A$3:$F$301,3,FALSE))^2),"")</f>
        <v/>
      </c>
      <c r="BK60" s="14" t="str">
        <f>_xlfn.IFNA(SQRT((VLOOKUP(BK$1,DATA!$A$3:$F$301,2,FALSE)-VLOOKUP($A60,DATA!$A$3:$F$301,2,FALSE))^2+(VLOOKUP(BK$1,DATA!$A$3:$F$301,3,FALSE)-VLOOKUP($A60,DATA!$A$3:$F$301,3,FALSE))^2),"")</f>
        <v/>
      </c>
      <c r="BL60" s="14" t="str">
        <f>_xlfn.IFNA(SQRT((VLOOKUP(BL$1,DATA!$A$3:$F$301,2,FALSE)-VLOOKUP($A60,DATA!$A$3:$F$301,2,FALSE))^2+(VLOOKUP(BL$1,DATA!$A$3:$F$301,3,FALSE)-VLOOKUP($A60,DATA!$A$3:$F$301,3,FALSE))^2),"")</f>
        <v/>
      </c>
      <c r="BM60" s="14" t="str">
        <f>_xlfn.IFNA(SQRT((VLOOKUP(BM$1,DATA!$A$3:$F$301,2,FALSE)-VLOOKUP($A60,DATA!$A$3:$F$301,2,FALSE))^2+(VLOOKUP(BM$1,DATA!$A$3:$F$301,3,FALSE)-VLOOKUP($A60,DATA!$A$3:$F$301,3,FALSE))^2),"")</f>
        <v/>
      </c>
      <c r="BN60" s="14" t="str">
        <f>_xlfn.IFNA(SQRT((VLOOKUP(BN$1,DATA!$A$3:$F$301,2,FALSE)-VLOOKUP($A60,DATA!$A$3:$F$301,2,FALSE))^2+(VLOOKUP(BN$1,DATA!$A$3:$F$301,3,FALSE)-VLOOKUP($A60,DATA!$A$3:$F$301,3,FALSE))^2),"")</f>
        <v/>
      </c>
      <c r="BO60" s="14" t="str">
        <f>_xlfn.IFNA(SQRT((VLOOKUP(BO$1,DATA!$A$3:$F$301,2,FALSE)-VLOOKUP($A60,DATA!$A$3:$F$301,2,FALSE))^2+(VLOOKUP(BO$1,DATA!$A$3:$F$301,3,FALSE)-VLOOKUP($A60,DATA!$A$3:$F$301,3,FALSE))^2),"")</f>
        <v/>
      </c>
      <c r="BP60" s="14" t="str">
        <f>_xlfn.IFNA(SQRT((VLOOKUP(BP$1,DATA!$A$3:$F$301,2,FALSE)-VLOOKUP($A60,DATA!$A$3:$F$301,2,FALSE))^2+(VLOOKUP(BP$1,DATA!$A$3:$F$301,3,FALSE)-VLOOKUP($A60,DATA!$A$3:$F$301,3,FALSE))^2),"")</f>
        <v/>
      </c>
      <c r="BQ60" s="14" t="str">
        <f>_xlfn.IFNA(SQRT((VLOOKUP(BQ$1,DATA!$A$3:$F$301,2,FALSE)-VLOOKUP($A60,DATA!$A$3:$F$301,2,FALSE))^2+(VLOOKUP(BQ$1,DATA!$A$3:$F$301,3,FALSE)-VLOOKUP($A60,DATA!$A$3:$F$301,3,FALSE))^2),"")</f>
        <v/>
      </c>
      <c r="BR60" s="14" t="str">
        <f>_xlfn.IFNA(SQRT((VLOOKUP(BR$1,DATA!$A$3:$F$301,2,FALSE)-VLOOKUP($A60,DATA!$A$3:$F$301,2,FALSE))^2+(VLOOKUP(BR$1,DATA!$A$3:$F$301,3,FALSE)-VLOOKUP($A60,DATA!$A$3:$F$301,3,FALSE))^2),"")</f>
        <v/>
      </c>
      <c r="BS60" s="14" t="str">
        <f>_xlfn.IFNA(SQRT((VLOOKUP(BS$1,DATA!$A$3:$F$301,2,FALSE)-VLOOKUP($A60,DATA!$A$3:$F$301,2,FALSE))^2+(VLOOKUP(BS$1,DATA!$A$3:$F$301,3,FALSE)-VLOOKUP($A60,DATA!$A$3:$F$301,3,FALSE))^2),"")</f>
        <v/>
      </c>
      <c r="BT60" s="14" t="str">
        <f>_xlfn.IFNA(SQRT((VLOOKUP(BT$1,DATA!$A$3:$F$301,2,FALSE)-VLOOKUP($A60,DATA!$A$3:$F$301,2,FALSE))^2+(VLOOKUP(BT$1,DATA!$A$3:$F$301,3,FALSE)-VLOOKUP($A60,DATA!$A$3:$F$301,3,FALSE))^2),"")</f>
        <v/>
      </c>
      <c r="BU60" s="14" t="str">
        <f>_xlfn.IFNA(SQRT((VLOOKUP(BU$1,DATA!$A$3:$F$301,2,FALSE)-VLOOKUP($A60,DATA!$A$3:$F$301,2,FALSE))^2+(VLOOKUP(BU$1,DATA!$A$3:$F$301,3,FALSE)-VLOOKUP($A60,DATA!$A$3:$F$301,3,FALSE))^2),"")</f>
        <v/>
      </c>
      <c r="BV60" s="14" t="str">
        <f>_xlfn.IFNA(SQRT((VLOOKUP(BV$1,DATA!$A$3:$F$301,2,FALSE)-VLOOKUP($A60,DATA!$A$3:$F$301,2,FALSE))^2+(VLOOKUP(BV$1,DATA!$A$3:$F$301,3,FALSE)-VLOOKUP($A60,DATA!$A$3:$F$301,3,FALSE))^2),"")</f>
        <v/>
      </c>
      <c r="BW60" s="14" t="str">
        <f>_xlfn.IFNA(SQRT((VLOOKUP(BW$1,DATA!$A$3:$F$301,2,FALSE)-VLOOKUP($A60,DATA!$A$3:$F$301,2,FALSE))^2+(VLOOKUP(BW$1,DATA!$A$3:$F$301,3,FALSE)-VLOOKUP($A60,DATA!$A$3:$F$301,3,FALSE))^2),"")</f>
        <v/>
      </c>
      <c r="BX60" s="14" t="str">
        <f>_xlfn.IFNA(SQRT((VLOOKUP(BX$1,DATA!$A$3:$F$301,2,FALSE)-VLOOKUP($A60,DATA!$A$3:$F$301,2,FALSE))^2+(VLOOKUP(BX$1,DATA!$A$3:$F$301,3,FALSE)-VLOOKUP($A60,DATA!$A$3:$F$301,3,FALSE))^2),"")</f>
        <v/>
      </c>
      <c r="BY60" s="14" t="str">
        <f>_xlfn.IFNA(SQRT((VLOOKUP(BY$1,DATA!$A$3:$F$301,2,FALSE)-VLOOKUP($A60,DATA!$A$3:$F$301,2,FALSE))^2+(VLOOKUP(BY$1,DATA!$A$3:$F$301,3,FALSE)-VLOOKUP($A60,DATA!$A$3:$F$301,3,FALSE))^2),"")</f>
        <v/>
      </c>
      <c r="BZ60" s="14" t="str">
        <f>_xlfn.IFNA(SQRT((VLOOKUP(BZ$1,DATA!$A$3:$F$301,2,FALSE)-VLOOKUP($A60,DATA!$A$3:$F$301,2,FALSE))^2+(VLOOKUP(BZ$1,DATA!$A$3:$F$301,3,FALSE)-VLOOKUP($A60,DATA!$A$3:$F$301,3,FALSE))^2),"")</f>
        <v/>
      </c>
      <c r="CA60" s="14" t="str">
        <f>_xlfn.IFNA(SQRT((VLOOKUP(CA$1,DATA!$A$3:$F$301,2,FALSE)-VLOOKUP($A60,DATA!$A$3:$F$301,2,FALSE))^2+(VLOOKUP(CA$1,DATA!$A$3:$F$301,3,FALSE)-VLOOKUP($A60,DATA!$A$3:$F$301,3,FALSE))^2),"")</f>
        <v/>
      </c>
      <c r="CB60" s="14" t="str">
        <f>_xlfn.IFNA(SQRT((VLOOKUP(CB$1,DATA!$A$3:$F$301,2,FALSE)-VLOOKUP($A60,DATA!$A$3:$F$301,2,FALSE))^2+(VLOOKUP(CB$1,DATA!$A$3:$F$301,3,FALSE)-VLOOKUP($A60,DATA!$A$3:$F$301,3,FALSE))^2),"")</f>
        <v/>
      </c>
      <c r="CC60" s="14" t="str">
        <f>_xlfn.IFNA(SQRT((VLOOKUP(CC$1,DATA!$A$3:$F$301,2,FALSE)-VLOOKUP($A60,DATA!$A$3:$F$301,2,FALSE))^2+(VLOOKUP(CC$1,DATA!$A$3:$F$301,3,FALSE)-VLOOKUP($A60,DATA!$A$3:$F$301,3,FALSE))^2),"")</f>
        <v/>
      </c>
      <c r="CD60" s="14" t="str">
        <f>_xlfn.IFNA(SQRT((VLOOKUP(CD$1,DATA!$A$3:$F$301,2,FALSE)-VLOOKUP($A60,DATA!$A$3:$F$301,2,FALSE))^2+(VLOOKUP(CD$1,DATA!$A$3:$F$301,3,FALSE)-VLOOKUP($A60,DATA!$A$3:$F$301,3,FALSE))^2),"")</f>
        <v/>
      </c>
      <c r="CE60" s="14" t="str">
        <f>_xlfn.IFNA(SQRT((VLOOKUP(CE$1,DATA!$A$3:$F$301,2,FALSE)-VLOOKUP($A60,DATA!$A$3:$F$301,2,FALSE))^2+(VLOOKUP(CE$1,DATA!$A$3:$F$301,3,FALSE)-VLOOKUP($A60,DATA!$A$3:$F$301,3,FALSE))^2),"")</f>
        <v/>
      </c>
      <c r="CF60" s="14" t="str">
        <f>_xlfn.IFNA(SQRT((VLOOKUP(CF$1,DATA!$A$3:$F$301,2,FALSE)-VLOOKUP($A60,DATA!$A$3:$F$301,2,FALSE))^2+(VLOOKUP(CF$1,DATA!$A$3:$F$301,3,FALSE)-VLOOKUP($A60,DATA!$A$3:$F$301,3,FALSE))^2),"")</f>
        <v/>
      </c>
      <c r="CG60" s="14" t="str">
        <f>_xlfn.IFNA(SQRT((VLOOKUP(CG$1,DATA!$A$3:$F$301,2,FALSE)-VLOOKUP($A60,DATA!$A$3:$F$301,2,FALSE))^2+(VLOOKUP(CG$1,DATA!$A$3:$F$301,3,FALSE)-VLOOKUP($A60,DATA!$A$3:$F$301,3,FALSE))^2),"")</f>
        <v/>
      </c>
      <c r="CH60" s="14" t="str">
        <f>_xlfn.IFNA(SQRT((VLOOKUP(CH$1,DATA!$A$3:$F$301,2,FALSE)-VLOOKUP($A60,DATA!$A$3:$F$301,2,FALSE))^2+(VLOOKUP(CH$1,DATA!$A$3:$F$301,3,FALSE)-VLOOKUP($A60,DATA!$A$3:$F$301,3,FALSE))^2),"")</f>
        <v/>
      </c>
      <c r="CI60" s="14" t="str">
        <f>_xlfn.IFNA(SQRT((VLOOKUP(CI$1,DATA!$A$3:$F$301,2,FALSE)-VLOOKUP($A60,DATA!$A$3:$F$301,2,FALSE))^2+(VLOOKUP(CI$1,DATA!$A$3:$F$301,3,FALSE)-VLOOKUP($A60,DATA!$A$3:$F$301,3,FALSE))^2),"")</f>
        <v/>
      </c>
      <c r="CJ60" s="14" t="str">
        <f>_xlfn.IFNA(SQRT((VLOOKUP(CJ$1,DATA!$A$3:$F$301,2,FALSE)-VLOOKUP($A60,DATA!$A$3:$F$301,2,FALSE))^2+(VLOOKUP(CJ$1,DATA!$A$3:$F$301,3,FALSE)-VLOOKUP($A60,DATA!$A$3:$F$301,3,FALSE))^2),"")</f>
        <v/>
      </c>
      <c r="CK60" s="14" t="str">
        <f>_xlfn.IFNA(SQRT((VLOOKUP(CK$1,DATA!$A$3:$F$301,2,FALSE)-VLOOKUP($A60,DATA!$A$3:$F$301,2,FALSE))^2+(VLOOKUP(CK$1,DATA!$A$3:$F$301,3,FALSE)-VLOOKUP($A60,DATA!$A$3:$F$301,3,FALSE))^2),"")</f>
        <v/>
      </c>
      <c r="CL60" s="14" t="str">
        <f>_xlfn.IFNA(SQRT((VLOOKUP(CL$1,DATA!$A$3:$F$301,2,FALSE)-VLOOKUP($A60,DATA!$A$3:$F$301,2,FALSE))^2+(VLOOKUP(CL$1,DATA!$A$3:$F$301,3,FALSE)-VLOOKUP($A60,DATA!$A$3:$F$301,3,FALSE))^2),"")</f>
        <v/>
      </c>
      <c r="CM60" s="14" t="str">
        <f>_xlfn.IFNA(SQRT((VLOOKUP(CM$1,DATA!$A$3:$F$301,2,FALSE)-VLOOKUP($A60,DATA!$A$3:$F$301,2,FALSE))^2+(VLOOKUP(CM$1,DATA!$A$3:$F$301,3,FALSE)-VLOOKUP($A60,DATA!$A$3:$F$301,3,FALSE))^2),"")</f>
        <v/>
      </c>
      <c r="CN60" s="14" t="str">
        <f>_xlfn.IFNA(SQRT((VLOOKUP(CN$1,DATA!$A$3:$F$301,2,FALSE)-VLOOKUP($A60,DATA!$A$3:$F$301,2,FALSE))^2+(VLOOKUP(CN$1,DATA!$A$3:$F$301,3,FALSE)-VLOOKUP($A60,DATA!$A$3:$F$301,3,FALSE))^2),"")</f>
        <v/>
      </c>
      <c r="CO60" s="14" t="str">
        <f>_xlfn.IFNA(SQRT((VLOOKUP(CO$1,DATA!$A$3:$F$301,2,FALSE)-VLOOKUP($A60,DATA!$A$3:$F$301,2,FALSE))^2+(VLOOKUP(CO$1,DATA!$A$3:$F$301,3,FALSE)-VLOOKUP($A60,DATA!$A$3:$F$301,3,FALSE))^2),"")</f>
        <v/>
      </c>
      <c r="CP60" s="14" t="str">
        <f>_xlfn.IFNA(SQRT((VLOOKUP(CP$1,DATA!$A$3:$F$301,2,FALSE)-VLOOKUP($A60,DATA!$A$3:$F$301,2,FALSE))^2+(VLOOKUP(CP$1,DATA!$A$3:$F$301,3,FALSE)-VLOOKUP($A60,DATA!$A$3:$F$301,3,FALSE))^2),"")</f>
        <v/>
      </c>
      <c r="CQ60" s="14" t="str">
        <f>_xlfn.IFNA(SQRT((VLOOKUP(CQ$1,DATA!$A$3:$F$301,2,FALSE)-VLOOKUP($A60,DATA!$A$3:$F$301,2,FALSE))^2+(VLOOKUP(CQ$1,DATA!$A$3:$F$301,3,FALSE)-VLOOKUP($A60,DATA!$A$3:$F$301,3,FALSE))^2),"")</f>
        <v/>
      </c>
      <c r="CR60" s="14" t="str">
        <f>_xlfn.IFNA(SQRT((VLOOKUP(CR$1,DATA!$A$3:$F$301,2,FALSE)-VLOOKUP($A60,DATA!$A$3:$F$301,2,FALSE))^2+(VLOOKUP(CR$1,DATA!$A$3:$F$301,3,FALSE)-VLOOKUP($A60,DATA!$A$3:$F$301,3,FALSE))^2),"")</f>
        <v/>
      </c>
      <c r="CS60" s="14" t="str">
        <f>_xlfn.IFNA(SQRT((VLOOKUP(CS$1,DATA!$A$3:$F$301,2,FALSE)-VLOOKUP($A60,DATA!$A$3:$F$301,2,FALSE))^2+(VLOOKUP(CS$1,DATA!$A$3:$F$301,3,FALSE)-VLOOKUP($A60,DATA!$A$3:$F$301,3,FALSE))^2),"")</f>
        <v/>
      </c>
      <c r="CT60" s="14" t="str">
        <f>_xlfn.IFNA(SQRT((VLOOKUP(CT$1,DATA!$A$3:$F$301,2,FALSE)-VLOOKUP($A60,DATA!$A$3:$F$301,2,FALSE))^2+(VLOOKUP(CT$1,DATA!$A$3:$F$301,3,FALSE)-VLOOKUP($A60,DATA!$A$3:$F$301,3,FALSE))^2),"")</f>
        <v/>
      </c>
      <c r="CU60" s="14" t="str">
        <f>_xlfn.IFNA(SQRT((VLOOKUP(CU$1,DATA!$A$3:$F$301,2,FALSE)-VLOOKUP($A60,DATA!$A$3:$F$301,2,FALSE))^2+(VLOOKUP(CU$1,DATA!$A$3:$F$301,3,FALSE)-VLOOKUP($A60,DATA!$A$3:$F$301,3,FALSE))^2),"")</f>
        <v/>
      </c>
      <c r="CV60" s="14" t="str">
        <f>_xlfn.IFNA(SQRT((VLOOKUP(CV$1,DATA!$A$3:$F$301,2,FALSE)-VLOOKUP($A60,DATA!$A$3:$F$301,2,FALSE))^2+(VLOOKUP(CV$1,DATA!$A$3:$F$301,3,FALSE)-VLOOKUP($A60,DATA!$A$3:$F$301,3,FALSE))^2),"")</f>
        <v/>
      </c>
      <c r="CW60" s="14" t="str">
        <f>_xlfn.IFNA(SQRT((VLOOKUP(CW$1,DATA!$A$3:$F$301,2,FALSE)-VLOOKUP($A60,DATA!$A$3:$F$301,2,FALSE))^2+(VLOOKUP(CW$1,DATA!$A$3:$F$301,3,FALSE)-VLOOKUP($A60,DATA!$A$3:$F$301,3,FALSE))^2),"")</f>
        <v/>
      </c>
      <c r="CX60" s="14" t="str">
        <f>_xlfn.IFNA(SQRT((VLOOKUP(CX$1,DATA!$A$3:$F$301,2,FALSE)-VLOOKUP($A60,DATA!$A$3:$F$301,2,FALSE))^2+(VLOOKUP(CX$1,DATA!$A$3:$F$301,3,FALSE)-VLOOKUP($A60,DATA!$A$3:$F$301,3,FALSE))^2),"")</f>
        <v/>
      </c>
    </row>
    <row r="61" spans="1:102">
      <c r="A61" s="13">
        <v>60</v>
      </c>
      <c r="B61" s="14" t="str">
        <f>_xlfn.IFNA(SQRT((VLOOKUP(B$1,DATA!$A$3:$F$301,2,FALSE)-VLOOKUP($A61,DATA!$A$3:$F$301,2,FALSE))^2+(VLOOKUP(B$1,DATA!$A$3:$F$301,3,FALSE)-VLOOKUP($A61,DATA!$A$3:$F$301,3,FALSE))^2),"")</f>
        <v/>
      </c>
      <c r="C61" s="14" t="str">
        <f>_xlfn.IFNA(SQRT((VLOOKUP(C$1,DATA!$A$3:$F$301,2,FALSE)-VLOOKUP($A61,DATA!$A$3:$F$301,2,FALSE))^2+(VLOOKUP(C$1,DATA!$A$3:$F$301,3,FALSE)-VLOOKUP($A61,DATA!$A$3:$F$301,3,FALSE))^2),"")</f>
        <v/>
      </c>
      <c r="D61" s="14" t="str">
        <f>_xlfn.IFNA(SQRT((VLOOKUP(D$1,DATA!$A$3:$F$301,2,FALSE)-VLOOKUP($A61,DATA!$A$3:$F$301,2,FALSE))^2+(VLOOKUP(D$1,DATA!$A$3:$F$301,3,FALSE)-VLOOKUP($A61,DATA!$A$3:$F$301,3,FALSE))^2),"")</f>
        <v/>
      </c>
      <c r="E61" s="14" t="str">
        <f>_xlfn.IFNA(SQRT((VLOOKUP(E$1,DATA!$A$3:$F$301,2,FALSE)-VLOOKUP($A61,DATA!$A$3:$F$301,2,FALSE))^2+(VLOOKUP(E$1,DATA!$A$3:$F$301,3,FALSE)-VLOOKUP($A61,DATA!$A$3:$F$301,3,FALSE))^2),"")</f>
        <v/>
      </c>
      <c r="F61" s="14" t="str">
        <f>_xlfn.IFNA(SQRT((VLOOKUP(F$1,DATA!$A$3:$F$301,2,FALSE)-VLOOKUP($A61,DATA!$A$3:$F$301,2,FALSE))^2+(VLOOKUP(F$1,DATA!$A$3:$F$301,3,FALSE)-VLOOKUP($A61,DATA!$A$3:$F$301,3,FALSE))^2),"")</f>
        <v/>
      </c>
      <c r="G61" s="14" t="str">
        <f>_xlfn.IFNA(SQRT((VLOOKUP(G$1,DATA!$A$3:$F$301,2,FALSE)-VLOOKUP($A61,DATA!$A$3:$F$301,2,FALSE))^2+(VLOOKUP(G$1,DATA!$A$3:$F$301,3,FALSE)-VLOOKUP($A61,DATA!$A$3:$F$301,3,FALSE))^2),"")</f>
        <v/>
      </c>
      <c r="H61" s="14" t="str">
        <f>_xlfn.IFNA(SQRT((VLOOKUP(H$1,DATA!$A$3:$F$301,2,FALSE)-VLOOKUP($A61,DATA!$A$3:$F$301,2,FALSE))^2+(VLOOKUP(H$1,DATA!$A$3:$F$301,3,FALSE)-VLOOKUP($A61,DATA!$A$3:$F$301,3,FALSE))^2),"")</f>
        <v/>
      </c>
      <c r="I61" s="14" t="str">
        <f>_xlfn.IFNA(SQRT((VLOOKUP(I$1,DATA!$A$3:$F$301,2,FALSE)-VLOOKUP($A61,DATA!$A$3:$F$301,2,FALSE))^2+(VLOOKUP(I$1,DATA!$A$3:$F$301,3,FALSE)-VLOOKUP($A61,DATA!$A$3:$F$301,3,FALSE))^2),"")</f>
        <v/>
      </c>
      <c r="J61" s="14" t="str">
        <f>_xlfn.IFNA(SQRT((VLOOKUP(J$1,DATA!$A$3:$F$301,2,FALSE)-VLOOKUP($A61,DATA!$A$3:$F$301,2,FALSE))^2+(VLOOKUP(J$1,DATA!$A$3:$F$301,3,FALSE)-VLOOKUP($A61,DATA!$A$3:$F$301,3,FALSE))^2),"")</f>
        <v/>
      </c>
      <c r="K61" s="14" t="str">
        <f>_xlfn.IFNA(SQRT((VLOOKUP(K$1,DATA!$A$3:$F$301,2,FALSE)-VLOOKUP($A61,DATA!$A$3:$F$301,2,FALSE))^2+(VLOOKUP(K$1,DATA!$A$3:$F$301,3,FALSE)-VLOOKUP($A61,DATA!$A$3:$F$301,3,FALSE))^2),"")</f>
        <v/>
      </c>
      <c r="L61" s="14" t="str">
        <f>_xlfn.IFNA(SQRT((VLOOKUP(L$1,DATA!$A$3:$F$301,2,FALSE)-VLOOKUP($A61,DATA!$A$3:$F$301,2,FALSE))^2+(VLOOKUP(L$1,DATA!$A$3:$F$301,3,FALSE)-VLOOKUP($A61,DATA!$A$3:$F$301,3,FALSE))^2),"")</f>
        <v/>
      </c>
      <c r="M61" s="14" t="str">
        <f>_xlfn.IFNA(SQRT((VLOOKUP(M$1,DATA!$A$3:$F$301,2,FALSE)-VLOOKUP($A61,DATA!$A$3:$F$301,2,FALSE))^2+(VLOOKUP(M$1,DATA!$A$3:$F$301,3,FALSE)-VLOOKUP($A61,DATA!$A$3:$F$301,3,FALSE))^2),"")</f>
        <v/>
      </c>
      <c r="N61" s="14" t="str">
        <f>_xlfn.IFNA(SQRT((VLOOKUP(N$1,DATA!$A$3:$F$301,2,FALSE)-VLOOKUP($A61,DATA!$A$3:$F$301,2,FALSE))^2+(VLOOKUP(N$1,DATA!$A$3:$F$301,3,FALSE)-VLOOKUP($A61,DATA!$A$3:$F$301,3,FALSE))^2),"")</f>
        <v/>
      </c>
      <c r="O61" s="14" t="str">
        <f>_xlfn.IFNA(SQRT((VLOOKUP(O$1,DATA!$A$3:$F$301,2,FALSE)-VLOOKUP($A61,DATA!$A$3:$F$301,2,FALSE))^2+(VLOOKUP(O$1,DATA!$A$3:$F$301,3,FALSE)-VLOOKUP($A61,DATA!$A$3:$F$301,3,FALSE))^2),"")</f>
        <v/>
      </c>
      <c r="P61" s="14" t="str">
        <f>_xlfn.IFNA(SQRT((VLOOKUP(P$1,DATA!$A$3:$F$301,2,FALSE)-VLOOKUP($A61,DATA!$A$3:$F$301,2,FALSE))^2+(VLOOKUP(P$1,DATA!$A$3:$F$301,3,FALSE)-VLOOKUP($A61,DATA!$A$3:$F$301,3,FALSE))^2),"")</f>
        <v/>
      </c>
      <c r="Q61" s="14" t="str">
        <f>_xlfn.IFNA(SQRT((VLOOKUP(Q$1,DATA!$A$3:$F$301,2,FALSE)-VLOOKUP($A61,DATA!$A$3:$F$301,2,FALSE))^2+(VLOOKUP(Q$1,DATA!$A$3:$F$301,3,FALSE)-VLOOKUP($A61,DATA!$A$3:$F$301,3,FALSE))^2),"")</f>
        <v/>
      </c>
      <c r="R61" s="14" t="str">
        <f>_xlfn.IFNA(SQRT((VLOOKUP(R$1,DATA!$A$3:$F$301,2,FALSE)-VLOOKUP($A61,DATA!$A$3:$F$301,2,FALSE))^2+(VLOOKUP(R$1,DATA!$A$3:$F$301,3,FALSE)-VLOOKUP($A61,DATA!$A$3:$F$301,3,FALSE))^2),"")</f>
        <v/>
      </c>
      <c r="S61" s="14" t="str">
        <f>_xlfn.IFNA(SQRT((VLOOKUP(S$1,DATA!$A$3:$F$301,2,FALSE)-VLOOKUP($A61,DATA!$A$3:$F$301,2,FALSE))^2+(VLOOKUP(S$1,DATA!$A$3:$F$301,3,FALSE)-VLOOKUP($A61,DATA!$A$3:$F$301,3,FALSE))^2),"")</f>
        <v/>
      </c>
      <c r="T61" s="14" t="str">
        <f>_xlfn.IFNA(SQRT((VLOOKUP(T$1,DATA!$A$3:$F$301,2,FALSE)-VLOOKUP($A61,DATA!$A$3:$F$301,2,FALSE))^2+(VLOOKUP(T$1,DATA!$A$3:$F$301,3,FALSE)-VLOOKUP($A61,DATA!$A$3:$F$301,3,FALSE))^2),"")</f>
        <v/>
      </c>
      <c r="U61" s="14" t="str">
        <f>_xlfn.IFNA(SQRT((VLOOKUP(U$1,DATA!$A$3:$F$301,2,FALSE)-VLOOKUP($A61,DATA!$A$3:$F$301,2,FALSE))^2+(VLOOKUP(U$1,DATA!$A$3:$F$301,3,FALSE)-VLOOKUP($A61,DATA!$A$3:$F$301,3,FALSE))^2),"")</f>
        <v/>
      </c>
      <c r="V61" s="14" t="str">
        <f>_xlfn.IFNA(SQRT((VLOOKUP(V$1,DATA!$A$3:$F$301,2,FALSE)-VLOOKUP($A61,DATA!$A$3:$F$301,2,FALSE))^2+(VLOOKUP(V$1,DATA!$A$3:$F$301,3,FALSE)-VLOOKUP($A61,DATA!$A$3:$F$301,3,FALSE))^2),"")</f>
        <v/>
      </c>
      <c r="W61" s="14" t="str">
        <f>_xlfn.IFNA(SQRT((VLOOKUP(W$1,DATA!$A$3:$F$301,2,FALSE)-VLOOKUP($A61,DATA!$A$3:$F$301,2,FALSE))^2+(VLOOKUP(W$1,DATA!$A$3:$F$301,3,FALSE)-VLOOKUP($A61,DATA!$A$3:$F$301,3,FALSE))^2),"")</f>
        <v/>
      </c>
      <c r="X61" s="14" t="str">
        <f>_xlfn.IFNA(SQRT((VLOOKUP(X$1,DATA!$A$3:$F$301,2,FALSE)-VLOOKUP($A61,DATA!$A$3:$F$301,2,FALSE))^2+(VLOOKUP(X$1,DATA!$A$3:$F$301,3,FALSE)-VLOOKUP($A61,DATA!$A$3:$F$301,3,FALSE))^2),"")</f>
        <v/>
      </c>
      <c r="Y61" s="14" t="str">
        <f>_xlfn.IFNA(SQRT((VLOOKUP(Y$1,DATA!$A$3:$F$301,2,FALSE)-VLOOKUP($A61,DATA!$A$3:$F$301,2,FALSE))^2+(VLOOKUP(Y$1,DATA!$A$3:$F$301,3,FALSE)-VLOOKUP($A61,DATA!$A$3:$F$301,3,FALSE))^2),"")</f>
        <v/>
      </c>
      <c r="Z61" s="14" t="str">
        <f>_xlfn.IFNA(SQRT((VLOOKUP(Z$1,DATA!$A$3:$F$301,2,FALSE)-VLOOKUP($A61,DATA!$A$3:$F$301,2,FALSE))^2+(VLOOKUP(Z$1,DATA!$A$3:$F$301,3,FALSE)-VLOOKUP($A61,DATA!$A$3:$F$301,3,FALSE))^2),"")</f>
        <v/>
      </c>
      <c r="AA61" s="14" t="str">
        <f>_xlfn.IFNA(SQRT((VLOOKUP(AA$1,DATA!$A$3:$F$301,2,FALSE)-VLOOKUP($A61,DATA!$A$3:$F$301,2,FALSE))^2+(VLOOKUP(AA$1,DATA!$A$3:$F$301,3,FALSE)-VLOOKUP($A61,DATA!$A$3:$F$301,3,FALSE))^2),"")</f>
        <v/>
      </c>
      <c r="AB61" s="14" t="str">
        <f>_xlfn.IFNA(SQRT((VLOOKUP(AB$1,DATA!$A$3:$F$301,2,FALSE)-VLOOKUP($A61,DATA!$A$3:$F$301,2,FALSE))^2+(VLOOKUP(AB$1,DATA!$A$3:$F$301,3,FALSE)-VLOOKUP($A61,DATA!$A$3:$F$301,3,FALSE))^2),"")</f>
        <v/>
      </c>
      <c r="AC61" s="14" t="str">
        <f>_xlfn.IFNA(SQRT((VLOOKUP(AC$1,DATA!$A$3:$F$301,2,FALSE)-VLOOKUP($A61,DATA!$A$3:$F$301,2,FALSE))^2+(VLOOKUP(AC$1,DATA!$A$3:$F$301,3,FALSE)-VLOOKUP($A61,DATA!$A$3:$F$301,3,FALSE))^2),"")</f>
        <v/>
      </c>
      <c r="AD61" s="14" t="str">
        <f>_xlfn.IFNA(SQRT((VLOOKUP(AD$1,DATA!$A$3:$F$301,2,FALSE)-VLOOKUP($A61,DATA!$A$3:$F$301,2,FALSE))^2+(VLOOKUP(AD$1,DATA!$A$3:$F$301,3,FALSE)-VLOOKUP($A61,DATA!$A$3:$F$301,3,FALSE))^2),"")</f>
        <v/>
      </c>
      <c r="AE61" s="14" t="str">
        <f>_xlfn.IFNA(SQRT((VLOOKUP(AE$1,DATA!$A$3:$F$301,2,FALSE)-VLOOKUP($A61,DATA!$A$3:$F$301,2,FALSE))^2+(VLOOKUP(AE$1,DATA!$A$3:$F$301,3,FALSE)-VLOOKUP($A61,DATA!$A$3:$F$301,3,FALSE))^2),"")</f>
        <v/>
      </c>
      <c r="AF61" s="14" t="str">
        <f>_xlfn.IFNA(SQRT((VLOOKUP(AF$1,DATA!$A$3:$F$301,2,FALSE)-VLOOKUP($A61,DATA!$A$3:$F$301,2,FALSE))^2+(VLOOKUP(AF$1,DATA!$A$3:$F$301,3,FALSE)-VLOOKUP($A61,DATA!$A$3:$F$301,3,FALSE))^2),"")</f>
        <v/>
      </c>
      <c r="AG61" s="14" t="str">
        <f>_xlfn.IFNA(SQRT((VLOOKUP(AG$1,DATA!$A$3:$F$301,2,FALSE)-VLOOKUP($A61,DATA!$A$3:$F$301,2,FALSE))^2+(VLOOKUP(AG$1,DATA!$A$3:$F$301,3,FALSE)-VLOOKUP($A61,DATA!$A$3:$F$301,3,FALSE))^2),"")</f>
        <v/>
      </c>
      <c r="AH61" s="14" t="str">
        <f>_xlfn.IFNA(SQRT((VLOOKUP(AH$1,DATA!$A$3:$F$301,2,FALSE)-VLOOKUP($A61,DATA!$A$3:$F$301,2,FALSE))^2+(VLOOKUP(AH$1,DATA!$A$3:$F$301,3,FALSE)-VLOOKUP($A61,DATA!$A$3:$F$301,3,FALSE))^2),"")</f>
        <v/>
      </c>
      <c r="AI61" s="14" t="str">
        <f>_xlfn.IFNA(SQRT((VLOOKUP(AI$1,DATA!$A$3:$F$301,2,FALSE)-VLOOKUP($A61,DATA!$A$3:$F$301,2,FALSE))^2+(VLOOKUP(AI$1,DATA!$A$3:$F$301,3,FALSE)-VLOOKUP($A61,DATA!$A$3:$F$301,3,FALSE))^2),"")</f>
        <v/>
      </c>
      <c r="AJ61" s="14" t="str">
        <f>_xlfn.IFNA(SQRT((VLOOKUP(AJ$1,DATA!$A$3:$F$301,2,FALSE)-VLOOKUP($A61,DATA!$A$3:$F$301,2,FALSE))^2+(VLOOKUP(AJ$1,DATA!$A$3:$F$301,3,FALSE)-VLOOKUP($A61,DATA!$A$3:$F$301,3,FALSE))^2),"")</f>
        <v/>
      </c>
      <c r="AK61" s="14" t="str">
        <f>_xlfn.IFNA(SQRT((VLOOKUP(AK$1,DATA!$A$3:$F$301,2,FALSE)-VLOOKUP($A61,DATA!$A$3:$F$301,2,FALSE))^2+(VLOOKUP(AK$1,DATA!$A$3:$F$301,3,FALSE)-VLOOKUP($A61,DATA!$A$3:$F$301,3,FALSE))^2),"")</f>
        <v/>
      </c>
      <c r="AL61" s="14" t="str">
        <f>_xlfn.IFNA(SQRT((VLOOKUP(AL$1,DATA!$A$3:$F$301,2,FALSE)-VLOOKUP($A61,DATA!$A$3:$F$301,2,FALSE))^2+(VLOOKUP(AL$1,DATA!$A$3:$F$301,3,FALSE)-VLOOKUP($A61,DATA!$A$3:$F$301,3,FALSE))^2),"")</f>
        <v/>
      </c>
      <c r="AM61" s="14" t="str">
        <f>_xlfn.IFNA(SQRT((VLOOKUP(AM$1,DATA!$A$3:$F$301,2,FALSE)-VLOOKUP($A61,DATA!$A$3:$F$301,2,FALSE))^2+(VLOOKUP(AM$1,DATA!$A$3:$F$301,3,FALSE)-VLOOKUP($A61,DATA!$A$3:$F$301,3,FALSE))^2),"")</f>
        <v/>
      </c>
      <c r="AN61" s="14" t="str">
        <f>_xlfn.IFNA(SQRT((VLOOKUP(AN$1,DATA!$A$3:$F$301,2,FALSE)-VLOOKUP($A61,DATA!$A$3:$F$301,2,FALSE))^2+(VLOOKUP(AN$1,DATA!$A$3:$F$301,3,FALSE)-VLOOKUP($A61,DATA!$A$3:$F$301,3,FALSE))^2),"")</f>
        <v/>
      </c>
      <c r="AO61" s="14" t="str">
        <f>_xlfn.IFNA(SQRT((VLOOKUP(AO$1,DATA!$A$3:$F$301,2,FALSE)-VLOOKUP($A61,DATA!$A$3:$F$301,2,FALSE))^2+(VLOOKUP(AO$1,DATA!$A$3:$F$301,3,FALSE)-VLOOKUP($A61,DATA!$A$3:$F$301,3,FALSE))^2),"")</f>
        <v/>
      </c>
      <c r="AP61" s="14" t="str">
        <f>_xlfn.IFNA(SQRT((VLOOKUP(AP$1,DATA!$A$3:$F$301,2,FALSE)-VLOOKUP($A61,DATA!$A$3:$F$301,2,FALSE))^2+(VLOOKUP(AP$1,DATA!$A$3:$F$301,3,FALSE)-VLOOKUP($A61,DATA!$A$3:$F$301,3,FALSE))^2),"")</f>
        <v/>
      </c>
      <c r="AQ61" s="14" t="str">
        <f>_xlfn.IFNA(SQRT((VLOOKUP(AQ$1,DATA!$A$3:$F$301,2,FALSE)-VLOOKUP($A61,DATA!$A$3:$F$301,2,FALSE))^2+(VLOOKUP(AQ$1,DATA!$A$3:$F$301,3,FALSE)-VLOOKUP($A61,DATA!$A$3:$F$301,3,FALSE))^2),"")</f>
        <v/>
      </c>
      <c r="AR61" s="14" t="str">
        <f>_xlfn.IFNA(SQRT((VLOOKUP(AR$1,DATA!$A$3:$F$301,2,FALSE)-VLOOKUP($A61,DATA!$A$3:$F$301,2,FALSE))^2+(VLOOKUP(AR$1,DATA!$A$3:$F$301,3,FALSE)-VLOOKUP($A61,DATA!$A$3:$F$301,3,FALSE))^2),"")</f>
        <v/>
      </c>
      <c r="AS61" s="14" t="str">
        <f>_xlfn.IFNA(SQRT((VLOOKUP(AS$1,DATA!$A$3:$F$301,2,FALSE)-VLOOKUP($A61,DATA!$A$3:$F$301,2,FALSE))^2+(VLOOKUP(AS$1,DATA!$A$3:$F$301,3,FALSE)-VLOOKUP($A61,DATA!$A$3:$F$301,3,FALSE))^2),"")</f>
        <v/>
      </c>
      <c r="AT61" s="14" t="str">
        <f>_xlfn.IFNA(SQRT((VLOOKUP(AT$1,DATA!$A$3:$F$301,2,FALSE)-VLOOKUP($A61,DATA!$A$3:$F$301,2,FALSE))^2+(VLOOKUP(AT$1,DATA!$A$3:$F$301,3,FALSE)-VLOOKUP($A61,DATA!$A$3:$F$301,3,FALSE))^2),"")</f>
        <v/>
      </c>
      <c r="AU61" s="14" t="str">
        <f>_xlfn.IFNA(SQRT((VLOOKUP(AU$1,DATA!$A$3:$F$301,2,FALSE)-VLOOKUP($A61,DATA!$A$3:$F$301,2,FALSE))^2+(VLOOKUP(AU$1,DATA!$A$3:$F$301,3,FALSE)-VLOOKUP($A61,DATA!$A$3:$F$301,3,FALSE))^2),"")</f>
        <v/>
      </c>
      <c r="AV61" s="14" t="str">
        <f>_xlfn.IFNA(SQRT((VLOOKUP(AV$1,DATA!$A$3:$F$301,2,FALSE)-VLOOKUP($A61,DATA!$A$3:$F$301,2,FALSE))^2+(VLOOKUP(AV$1,DATA!$A$3:$F$301,3,FALSE)-VLOOKUP($A61,DATA!$A$3:$F$301,3,FALSE))^2),"")</f>
        <v/>
      </c>
      <c r="AW61" s="14" t="str">
        <f>_xlfn.IFNA(SQRT((VLOOKUP(AW$1,DATA!$A$3:$F$301,2,FALSE)-VLOOKUP($A61,DATA!$A$3:$F$301,2,FALSE))^2+(VLOOKUP(AW$1,DATA!$A$3:$F$301,3,FALSE)-VLOOKUP($A61,DATA!$A$3:$F$301,3,FALSE))^2),"")</f>
        <v/>
      </c>
      <c r="AX61" s="14" t="str">
        <f>_xlfn.IFNA(SQRT((VLOOKUP(AX$1,DATA!$A$3:$F$301,2,FALSE)-VLOOKUP($A61,DATA!$A$3:$F$301,2,FALSE))^2+(VLOOKUP(AX$1,DATA!$A$3:$F$301,3,FALSE)-VLOOKUP($A61,DATA!$A$3:$F$301,3,FALSE))^2),"")</f>
        <v/>
      </c>
      <c r="AY61" s="14" t="str">
        <f>_xlfn.IFNA(SQRT((VLOOKUP(AY$1,DATA!$A$3:$F$301,2,FALSE)-VLOOKUP($A61,DATA!$A$3:$F$301,2,FALSE))^2+(VLOOKUP(AY$1,DATA!$A$3:$F$301,3,FALSE)-VLOOKUP($A61,DATA!$A$3:$F$301,3,FALSE))^2),"")</f>
        <v/>
      </c>
      <c r="AZ61" s="14" t="str">
        <f>_xlfn.IFNA(SQRT((VLOOKUP(AZ$1,DATA!$A$3:$F$301,2,FALSE)-VLOOKUP($A61,DATA!$A$3:$F$301,2,FALSE))^2+(VLOOKUP(AZ$1,DATA!$A$3:$F$301,3,FALSE)-VLOOKUP($A61,DATA!$A$3:$F$301,3,FALSE))^2),"")</f>
        <v/>
      </c>
      <c r="BA61" s="14" t="str">
        <f>_xlfn.IFNA(SQRT((VLOOKUP(BA$1,DATA!$A$3:$F$301,2,FALSE)-VLOOKUP($A61,DATA!$A$3:$F$301,2,FALSE))^2+(VLOOKUP(BA$1,DATA!$A$3:$F$301,3,FALSE)-VLOOKUP($A61,DATA!$A$3:$F$301,3,FALSE))^2),"")</f>
        <v/>
      </c>
      <c r="BB61" s="14" t="str">
        <f>_xlfn.IFNA(SQRT((VLOOKUP(BB$1,DATA!$A$3:$F$301,2,FALSE)-VLOOKUP($A61,DATA!$A$3:$F$301,2,FALSE))^2+(VLOOKUP(BB$1,DATA!$A$3:$F$301,3,FALSE)-VLOOKUP($A61,DATA!$A$3:$F$301,3,FALSE))^2),"")</f>
        <v/>
      </c>
      <c r="BC61" s="14" t="str">
        <f>_xlfn.IFNA(SQRT((VLOOKUP(BC$1,DATA!$A$3:$F$301,2,FALSE)-VLOOKUP($A61,DATA!$A$3:$F$301,2,FALSE))^2+(VLOOKUP(BC$1,DATA!$A$3:$F$301,3,FALSE)-VLOOKUP($A61,DATA!$A$3:$F$301,3,FALSE))^2),"")</f>
        <v/>
      </c>
      <c r="BD61" s="14" t="str">
        <f>_xlfn.IFNA(SQRT((VLOOKUP(BD$1,DATA!$A$3:$F$301,2,FALSE)-VLOOKUP($A61,DATA!$A$3:$F$301,2,FALSE))^2+(VLOOKUP(BD$1,DATA!$A$3:$F$301,3,FALSE)-VLOOKUP($A61,DATA!$A$3:$F$301,3,FALSE))^2),"")</f>
        <v/>
      </c>
      <c r="BE61" s="14" t="str">
        <f>_xlfn.IFNA(SQRT((VLOOKUP(BE$1,DATA!$A$3:$F$301,2,FALSE)-VLOOKUP($A61,DATA!$A$3:$F$301,2,FALSE))^2+(VLOOKUP(BE$1,DATA!$A$3:$F$301,3,FALSE)-VLOOKUP($A61,DATA!$A$3:$F$301,3,FALSE))^2),"")</f>
        <v/>
      </c>
      <c r="BF61" s="14" t="str">
        <f>_xlfn.IFNA(SQRT((VLOOKUP(BF$1,DATA!$A$3:$F$301,2,FALSE)-VLOOKUP($A61,DATA!$A$3:$F$301,2,FALSE))^2+(VLOOKUP(BF$1,DATA!$A$3:$F$301,3,FALSE)-VLOOKUP($A61,DATA!$A$3:$F$301,3,FALSE))^2),"")</f>
        <v/>
      </c>
      <c r="BG61" s="14" t="str">
        <f>_xlfn.IFNA(SQRT((VLOOKUP(BG$1,DATA!$A$3:$F$301,2,FALSE)-VLOOKUP($A61,DATA!$A$3:$F$301,2,FALSE))^2+(VLOOKUP(BG$1,DATA!$A$3:$F$301,3,FALSE)-VLOOKUP($A61,DATA!$A$3:$F$301,3,FALSE))^2),"")</f>
        <v/>
      </c>
      <c r="BH61" s="14" t="str">
        <f>_xlfn.IFNA(SQRT((VLOOKUP(BH$1,DATA!$A$3:$F$301,2,FALSE)-VLOOKUP($A61,DATA!$A$3:$F$301,2,FALSE))^2+(VLOOKUP(BH$1,DATA!$A$3:$F$301,3,FALSE)-VLOOKUP($A61,DATA!$A$3:$F$301,3,FALSE))^2),"")</f>
        <v/>
      </c>
      <c r="BI61" s="14" t="str">
        <f>_xlfn.IFNA(SQRT((VLOOKUP(BI$1,DATA!$A$3:$F$301,2,FALSE)-VLOOKUP($A61,DATA!$A$3:$F$301,2,FALSE))^2+(VLOOKUP(BI$1,DATA!$A$3:$F$301,3,FALSE)-VLOOKUP($A61,DATA!$A$3:$F$301,3,FALSE))^2),"")</f>
        <v/>
      </c>
      <c r="BJ61" s="14" t="str">
        <f>_xlfn.IFNA(SQRT((VLOOKUP(BJ$1,DATA!$A$3:$F$301,2,FALSE)-VLOOKUP($A61,DATA!$A$3:$F$301,2,FALSE))^2+(VLOOKUP(BJ$1,DATA!$A$3:$F$301,3,FALSE)-VLOOKUP($A61,DATA!$A$3:$F$301,3,FALSE))^2),"")</f>
        <v/>
      </c>
      <c r="BK61" s="14" t="str">
        <f>_xlfn.IFNA(SQRT((VLOOKUP(BK$1,DATA!$A$3:$F$301,2,FALSE)-VLOOKUP($A61,DATA!$A$3:$F$301,2,FALSE))^2+(VLOOKUP(BK$1,DATA!$A$3:$F$301,3,FALSE)-VLOOKUP($A61,DATA!$A$3:$F$301,3,FALSE))^2),"")</f>
        <v/>
      </c>
      <c r="BL61" s="14" t="str">
        <f>_xlfn.IFNA(SQRT((VLOOKUP(BL$1,DATA!$A$3:$F$301,2,FALSE)-VLOOKUP($A61,DATA!$A$3:$F$301,2,FALSE))^2+(VLOOKUP(BL$1,DATA!$A$3:$F$301,3,FALSE)-VLOOKUP($A61,DATA!$A$3:$F$301,3,FALSE))^2),"")</f>
        <v/>
      </c>
      <c r="BM61" s="14" t="str">
        <f>_xlfn.IFNA(SQRT((VLOOKUP(BM$1,DATA!$A$3:$F$301,2,FALSE)-VLOOKUP($A61,DATA!$A$3:$F$301,2,FALSE))^2+(VLOOKUP(BM$1,DATA!$A$3:$F$301,3,FALSE)-VLOOKUP($A61,DATA!$A$3:$F$301,3,FALSE))^2),"")</f>
        <v/>
      </c>
      <c r="BN61" s="14" t="str">
        <f>_xlfn.IFNA(SQRT((VLOOKUP(BN$1,DATA!$A$3:$F$301,2,FALSE)-VLOOKUP($A61,DATA!$A$3:$F$301,2,FALSE))^2+(VLOOKUP(BN$1,DATA!$A$3:$F$301,3,FALSE)-VLOOKUP($A61,DATA!$A$3:$F$301,3,FALSE))^2),"")</f>
        <v/>
      </c>
      <c r="BO61" s="14" t="str">
        <f>_xlfn.IFNA(SQRT((VLOOKUP(BO$1,DATA!$A$3:$F$301,2,FALSE)-VLOOKUP($A61,DATA!$A$3:$F$301,2,FALSE))^2+(VLOOKUP(BO$1,DATA!$A$3:$F$301,3,FALSE)-VLOOKUP($A61,DATA!$A$3:$F$301,3,FALSE))^2),"")</f>
        <v/>
      </c>
      <c r="BP61" s="14" t="str">
        <f>_xlfn.IFNA(SQRT((VLOOKUP(BP$1,DATA!$A$3:$F$301,2,FALSE)-VLOOKUP($A61,DATA!$A$3:$F$301,2,FALSE))^2+(VLOOKUP(BP$1,DATA!$A$3:$F$301,3,FALSE)-VLOOKUP($A61,DATA!$A$3:$F$301,3,FALSE))^2),"")</f>
        <v/>
      </c>
      <c r="BQ61" s="14" t="str">
        <f>_xlfn.IFNA(SQRT((VLOOKUP(BQ$1,DATA!$A$3:$F$301,2,FALSE)-VLOOKUP($A61,DATA!$A$3:$F$301,2,FALSE))^2+(VLOOKUP(BQ$1,DATA!$A$3:$F$301,3,FALSE)-VLOOKUP($A61,DATA!$A$3:$F$301,3,FALSE))^2),"")</f>
        <v/>
      </c>
      <c r="BR61" s="14" t="str">
        <f>_xlfn.IFNA(SQRT((VLOOKUP(BR$1,DATA!$A$3:$F$301,2,FALSE)-VLOOKUP($A61,DATA!$A$3:$F$301,2,FALSE))^2+(VLOOKUP(BR$1,DATA!$A$3:$F$301,3,FALSE)-VLOOKUP($A61,DATA!$A$3:$F$301,3,FALSE))^2),"")</f>
        <v/>
      </c>
      <c r="BS61" s="14" t="str">
        <f>_xlfn.IFNA(SQRT((VLOOKUP(BS$1,DATA!$A$3:$F$301,2,FALSE)-VLOOKUP($A61,DATA!$A$3:$F$301,2,FALSE))^2+(VLOOKUP(BS$1,DATA!$A$3:$F$301,3,FALSE)-VLOOKUP($A61,DATA!$A$3:$F$301,3,FALSE))^2),"")</f>
        <v/>
      </c>
      <c r="BT61" s="14" t="str">
        <f>_xlfn.IFNA(SQRT((VLOOKUP(BT$1,DATA!$A$3:$F$301,2,FALSE)-VLOOKUP($A61,DATA!$A$3:$F$301,2,FALSE))^2+(VLOOKUP(BT$1,DATA!$A$3:$F$301,3,FALSE)-VLOOKUP($A61,DATA!$A$3:$F$301,3,FALSE))^2),"")</f>
        <v/>
      </c>
      <c r="BU61" s="14" t="str">
        <f>_xlfn.IFNA(SQRT((VLOOKUP(BU$1,DATA!$A$3:$F$301,2,FALSE)-VLOOKUP($A61,DATA!$A$3:$F$301,2,FALSE))^2+(VLOOKUP(BU$1,DATA!$A$3:$F$301,3,FALSE)-VLOOKUP($A61,DATA!$A$3:$F$301,3,FALSE))^2),"")</f>
        <v/>
      </c>
      <c r="BV61" s="14" t="str">
        <f>_xlfn.IFNA(SQRT((VLOOKUP(BV$1,DATA!$A$3:$F$301,2,FALSE)-VLOOKUP($A61,DATA!$A$3:$F$301,2,FALSE))^2+(VLOOKUP(BV$1,DATA!$A$3:$F$301,3,FALSE)-VLOOKUP($A61,DATA!$A$3:$F$301,3,FALSE))^2),"")</f>
        <v/>
      </c>
      <c r="BW61" s="14" t="str">
        <f>_xlfn.IFNA(SQRT((VLOOKUP(BW$1,DATA!$A$3:$F$301,2,FALSE)-VLOOKUP($A61,DATA!$A$3:$F$301,2,FALSE))^2+(VLOOKUP(BW$1,DATA!$A$3:$F$301,3,FALSE)-VLOOKUP($A61,DATA!$A$3:$F$301,3,FALSE))^2),"")</f>
        <v/>
      </c>
      <c r="BX61" s="14" t="str">
        <f>_xlfn.IFNA(SQRT((VLOOKUP(BX$1,DATA!$A$3:$F$301,2,FALSE)-VLOOKUP($A61,DATA!$A$3:$F$301,2,FALSE))^2+(VLOOKUP(BX$1,DATA!$A$3:$F$301,3,FALSE)-VLOOKUP($A61,DATA!$A$3:$F$301,3,FALSE))^2),"")</f>
        <v/>
      </c>
      <c r="BY61" s="14" t="str">
        <f>_xlfn.IFNA(SQRT((VLOOKUP(BY$1,DATA!$A$3:$F$301,2,FALSE)-VLOOKUP($A61,DATA!$A$3:$F$301,2,FALSE))^2+(VLOOKUP(BY$1,DATA!$A$3:$F$301,3,FALSE)-VLOOKUP($A61,DATA!$A$3:$F$301,3,FALSE))^2),"")</f>
        <v/>
      </c>
      <c r="BZ61" s="14" t="str">
        <f>_xlfn.IFNA(SQRT((VLOOKUP(BZ$1,DATA!$A$3:$F$301,2,FALSE)-VLOOKUP($A61,DATA!$A$3:$F$301,2,FALSE))^2+(VLOOKUP(BZ$1,DATA!$A$3:$F$301,3,FALSE)-VLOOKUP($A61,DATA!$A$3:$F$301,3,FALSE))^2),"")</f>
        <v/>
      </c>
      <c r="CA61" s="14" t="str">
        <f>_xlfn.IFNA(SQRT((VLOOKUP(CA$1,DATA!$A$3:$F$301,2,FALSE)-VLOOKUP($A61,DATA!$A$3:$F$301,2,FALSE))^2+(VLOOKUP(CA$1,DATA!$A$3:$F$301,3,FALSE)-VLOOKUP($A61,DATA!$A$3:$F$301,3,FALSE))^2),"")</f>
        <v/>
      </c>
      <c r="CB61" s="14" t="str">
        <f>_xlfn.IFNA(SQRT((VLOOKUP(CB$1,DATA!$A$3:$F$301,2,FALSE)-VLOOKUP($A61,DATA!$A$3:$F$301,2,FALSE))^2+(VLOOKUP(CB$1,DATA!$A$3:$F$301,3,FALSE)-VLOOKUP($A61,DATA!$A$3:$F$301,3,FALSE))^2),"")</f>
        <v/>
      </c>
      <c r="CC61" s="14" t="str">
        <f>_xlfn.IFNA(SQRT((VLOOKUP(CC$1,DATA!$A$3:$F$301,2,FALSE)-VLOOKUP($A61,DATA!$A$3:$F$301,2,FALSE))^2+(VLOOKUP(CC$1,DATA!$A$3:$F$301,3,FALSE)-VLOOKUP($A61,DATA!$A$3:$F$301,3,FALSE))^2),"")</f>
        <v/>
      </c>
      <c r="CD61" s="14" t="str">
        <f>_xlfn.IFNA(SQRT((VLOOKUP(CD$1,DATA!$A$3:$F$301,2,FALSE)-VLOOKUP($A61,DATA!$A$3:$F$301,2,FALSE))^2+(VLOOKUP(CD$1,DATA!$A$3:$F$301,3,FALSE)-VLOOKUP($A61,DATA!$A$3:$F$301,3,FALSE))^2),"")</f>
        <v/>
      </c>
      <c r="CE61" s="14" t="str">
        <f>_xlfn.IFNA(SQRT((VLOOKUP(CE$1,DATA!$A$3:$F$301,2,FALSE)-VLOOKUP($A61,DATA!$A$3:$F$301,2,FALSE))^2+(VLOOKUP(CE$1,DATA!$A$3:$F$301,3,FALSE)-VLOOKUP($A61,DATA!$A$3:$F$301,3,FALSE))^2),"")</f>
        <v/>
      </c>
      <c r="CF61" s="14" t="str">
        <f>_xlfn.IFNA(SQRT((VLOOKUP(CF$1,DATA!$A$3:$F$301,2,FALSE)-VLOOKUP($A61,DATA!$A$3:$F$301,2,FALSE))^2+(VLOOKUP(CF$1,DATA!$A$3:$F$301,3,FALSE)-VLOOKUP($A61,DATA!$A$3:$F$301,3,FALSE))^2),"")</f>
        <v/>
      </c>
      <c r="CG61" s="14" t="str">
        <f>_xlfn.IFNA(SQRT((VLOOKUP(CG$1,DATA!$A$3:$F$301,2,FALSE)-VLOOKUP($A61,DATA!$A$3:$F$301,2,FALSE))^2+(VLOOKUP(CG$1,DATA!$A$3:$F$301,3,FALSE)-VLOOKUP($A61,DATA!$A$3:$F$301,3,FALSE))^2),"")</f>
        <v/>
      </c>
      <c r="CH61" s="14" t="str">
        <f>_xlfn.IFNA(SQRT((VLOOKUP(CH$1,DATA!$A$3:$F$301,2,FALSE)-VLOOKUP($A61,DATA!$A$3:$F$301,2,FALSE))^2+(VLOOKUP(CH$1,DATA!$A$3:$F$301,3,FALSE)-VLOOKUP($A61,DATA!$A$3:$F$301,3,FALSE))^2),"")</f>
        <v/>
      </c>
      <c r="CI61" s="14" t="str">
        <f>_xlfn.IFNA(SQRT((VLOOKUP(CI$1,DATA!$A$3:$F$301,2,FALSE)-VLOOKUP($A61,DATA!$A$3:$F$301,2,FALSE))^2+(VLOOKUP(CI$1,DATA!$A$3:$F$301,3,FALSE)-VLOOKUP($A61,DATA!$A$3:$F$301,3,FALSE))^2),"")</f>
        <v/>
      </c>
      <c r="CJ61" s="14" t="str">
        <f>_xlfn.IFNA(SQRT((VLOOKUP(CJ$1,DATA!$A$3:$F$301,2,FALSE)-VLOOKUP($A61,DATA!$A$3:$F$301,2,FALSE))^2+(VLOOKUP(CJ$1,DATA!$A$3:$F$301,3,FALSE)-VLOOKUP($A61,DATA!$A$3:$F$301,3,FALSE))^2),"")</f>
        <v/>
      </c>
      <c r="CK61" s="14" t="str">
        <f>_xlfn.IFNA(SQRT((VLOOKUP(CK$1,DATA!$A$3:$F$301,2,FALSE)-VLOOKUP($A61,DATA!$A$3:$F$301,2,FALSE))^2+(VLOOKUP(CK$1,DATA!$A$3:$F$301,3,FALSE)-VLOOKUP($A61,DATA!$A$3:$F$301,3,FALSE))^2),"")</f>
        <v/>
      </c>
      <c r="CL61" s="14" t="str">
        <f>_xlfn.IFNA(SQRT((VLOOKUP(CL$1,DATA!$A$3:$F$301,2,FALSE)-VLOOKUP($A61,DATA!$A$3:$F$301,2,FALSE))^2+(VLOOKUP(CL$1,DATA!$A$3:$F$301,3,FALSE)-VLOOKUP($A61,DATA!$A$3:$F$301,3,FALSE))^2),"")</f>
        <v/>
      </c>
      <c r="CM61" s="14" t="str">
        <f>_xlfn.IFNA(SQRT((VLOOKUP(CM$1,DATA!$A$3:$F$301,2,FALSE)-VLOOKUP($A61,DATA!$A$3:$F$301,2,FALSE))^2+(VLOOKUP(CM$1,DATA!$A$3:$F$301,3,FALSE)-VLOOKUP($A61,DATA!$A$3:$F$301,3,FALSE))^2),"")</f>
        <v/>
      </c>
      <c r="CN61" s="14" t="str">
        <f>_xlfn.IFNA(SQRT((VLOOKUP(CN$1,DATA!$A$3:$F$301,2,FALSE)-VLOOKUP($A61,DATA!$A$3:$F$301,2,FALSE))^2+(VLOOKUP(CN$1,DATA!$A$3:$F$301,3,FALSE)-VLOOKUP($A61,DATA!$A$3:$F$301,3,FALSE))^2),"")</f>
        <v/>
      </c>
      <c r="CO61" s="14" t="str">
        <f>_xlfn.IFNA(SQRT((VLOOKUP(CO$1,DATA!$A$3:$F$301,2,FALSE)-VLOOKUP($A61,DATA!$A$3:$F$301,2,FALSE))^2+(VLOOKUP(CO$1,DATA!$A$3:$F$301,3,FALSE)-VLOOKUP($A61,DATA!$A$3:$F$301,3,FALSE))^2),"")</f>
        <v/>
      </c>
      <c r="CP61" s="14" t="str">
        <f>_xlfn.IFNA(SQRT((VLOOKUP(CP$1,DATA!$A$3:$F$301,2,FALSE)-VLOOKUP($A61,DATA!$A$3:$F$301,2,FALSE))^2+(VLOOKUP(CP$1,DATA!$A$3:$F$301,3,FALSE)-VLOOKUP($A61,DATA!$A$3:$F$301,3,FALSE))^2),"")</f>
        <v/>
      </c>
      <c r="CQ61" s="14" t="str">
        <f>_xlfn.IFNA(SQRT((VLOOKUP(CQ$1,DATA!$A$3:$F$301,2,FALSE)-VLOOKUP($A61,DATA!$A$3:$F$301,2,FALSE))^2+(VLOOKUP(CQ$1,DATA!$A$3:$F$301,3,FALSE)-VLOOKUP($A61,DATA!$A$3:$F$301,3,FALSE))^2),"")</f>
        <v/>
      </c>
      <c r="CR61" s="14" t="str">
        <f>_xlfn.IFNA(SQRT((VLOOKUP(CR$1,DATA!$A$3:$F$301,2,FALSE)-VLOOKUP($A61,DATA!$A$3:$F$301,2,FALSE))^2+(VLOOKUP(CR$1,DATA!$A$3:$F$301,3,FALSE)-VLOOKUP($A61,DATA!$A$3:$F$301,3,FALSE))^2),"")</f>
        <v/>
      </c>
      <c r="CS61" s="14" t="str">
        <f>_xlfn.IFNA(SQRT((VLOOKUP(CS$1,DATA!$A$3:$F$301,2,FALSE)-VLOOKUP($A61,DATA!$A$3:$F$301,2,FALSE))^2+(VLOOKUP(CS$1,DATA!$A$3:$F$301,3,FALSE)-VLOOKUP($A61,DATA!$A$3:$F$301,3,FALSE))^2),"")</f>
        <v/>
      </c>
      <c r="CT61" s="14" t="str">
        <f>_xlfn.IFNA(SQRT((VLOOKUP(CT$1,DATA!$A$3:$F$301,2,FALSE)-VLOOKUP($A61,DATA!$A$3:$F$301,2,FALSE))^2+(VLOOKUP(CT$1,DATA!$A$3:$F$301,3,FALSE)-VLOOKUP($A61,DATA!$A$3:$F$301,3,FALSE))^2),"")</f>
        <v/>
      </c>
      <c r="CU61" s="14" t="str">
        <f>_xlfn.IFNA(SQRT((VLOOKUP(CU$1,DATA!$A$3:$F$301,2,FALSE)-VLOOKUP($A61,DATA!$A$3:$F$301,2,FALSE))^2+(VLOOKUP(CU$1,DATA!$A$3:$F$301,3,FALSE)-VLOOKUP($A61,DATA!$A$3:$F$301,3,FALSE))^2),"")</f>
        <v/>
      </c>
      <c r="CV61" s="14" t="str">
        <f>_xlfn.IFNA(SQRT((VLOOKUP(CV$1,DATA!$A$3:$F$301,2,FALSE)-VLOOKUP($A61,DATA!$A$3:$F$301,2,FALSE))^2+(VLOOKUP(CV$1,DATA!$A$3:$F$301,3,FALSE)-VLOOKUP($A61,DATA!$A$3:$F$301,3,FALSE))^2),"")</f>
        <v/>
      </c>
      <c r="CW61" s="14" t="str">
        <f>_xlfn.IFNA(SQRT((VLOOKUP(CW$1,DATA!$A$3:$F$301,2,FALSE)-VLOOKUP($A61,DATA!$A$3:$F$301,2,FALSE))^2+(VLOOKUP(CW$1,DATA!$A$3:$F$301,3,FALSE)-VLOOKUP($A61,DATA!$A$3:$F$301,3,FALSE))^2),"")</f>
        <v/>
      </c>
      <c r="CX61" s="14" t="str">
        <f>_xlfn.IFNA(SQRT((VLOOKUP(CX$1,DATA!$A$3:$F$301,2,FALSE)-VLOOKUP($A61,DATA!$A$3:$F$301,2,FALSE))^2+(VLOOKUP(CX$1,DATA!$A$3:$F$301,3,FALSE)-VLOOKUP($A61,DATA!$A$3:$F$301,3,FALSE))^2),"")</f>
        <v/>
      </c>
    </row>
    <row r="62" spans="1:102">
      <c r="A62" s="13">
        <v>61</v>
      </c>
      <c r="B62" s="14" t="str">
        <f>_xlfn.IFNA(SQRT((VLOOKUP(B$1,DATA!$A$3:$F$301,2,FALSE)-VLOOKUP($A62,DATA!$A$3:$F$301,2,FALSE))^2+(VLOOKUP(B$1,DATA!$A$3:$F$301,3,FALSE)-VLOOKUP($A62,DATA!$A$3:$F$301,3,FALSE))^2),"")</f>
        <v/>
      </c>
      <c r="C62" s="14" t="str">
        <f>_xlfn.IFNA(SQRT((VLOOKUP(C$1,DATA!$A$3:$F$301,2,FALSE)-VLOOKUP($A62,DATA!$A$3:$F$301,2,FALSE))^2+(VLOOKUP(C$1,DATA!$A$3:$F$301,3,FALSE)-VLOOKUP($A62,DATA!$A$3:$F$301,3,FALSE))^2),"")</f>
        <v/>
      </c>
      <c r="D62" s="14" t="str">
        <f>_xlfn.IFNA(SQRT((VLOOKUP(D$1,DATA!$A$3:$F$301,2,FALSE)-VLOOKUP($A62,DATA!$A$3:$F$301,2,FALSE))^2+(VLOOKUP(D$1,DATA!$A$3:$F$301,3,FALSE)-VLOOKUP($A62,DATA!$A$3:$F$301,3,FALSE))^2),"")</f>
        <v/>
      </c>
      <c r="E62" s="14" t="str">
        <f>_xlfn.IFNA(SQRT((VLOOKUP(E$1,DATA!$A$3:$F$301,2,FALSE)-VLOOKUP($A62,DATA!$A$3:$F$301,2,FALSE))^2+(VLOOKUP(E$1,DATA!$A$3:$F$301,3,FALSE)-VLOOKUP($A62,DATA!$A$3:$F$301,3,FALSE))^2),"")</f>
        <v/>
      </c>
      <c r="F62" s="14" t="str">
        <f>_xlfn.IFNA(SQRT((VLOOKUP(F$1,DATA!$A$3:$F$301,2,FALSE)-VLOOKUP($A62,DATA!$A$3:$F$301,2,FALSE))^2+(VLOOKUP(F$1,DATA!$A$3:$F$301,3,FALSE)-VLOOKUP($A62,DATA!$A$3:$F$301,3,FALSE))^2),"")</f>
        <v/>
      </c>
      <c r="G62" s="14" t="str">
        <f>_xlfn.IFNA(SQRT((VLOOKUP(G$1,DATA!$A$3:$F$301,2,FALSE)-VLOOKUP($A62,DATA!$A$3:$F$301,2,FALSE))^2+(VLOOKUP(G$1,DATA!$A$3:$F$301,3,FALSE)-VLOOKUP($A62,DATA!$A$3:$F$301,3,FALSE))^2),"")</f>
        <v/>
      </c>
      <c r="H62" s="14" t="str">
        <f>_xlfn.IFNA(SQRT((VLOOKUP(H$1,DATA!$A$3:$F$301,2,FALSE)-VLOOKUP($A62,DATA!$A$3:$F$301,2,FALSE))^2+(VLOOKUP(H$1,DATA!$A$3:$F$301,3,FALSE)-VLOOKUP($A62,DATA!$A$3:$F$301,3,FALSE))^2),"")</f>
        <v/>
      </c>
      <c r="I62" s="14" t="str">
        <f>_xlfn.IFNA(SQRT((VLOOKUP(I$1,DATA!$A$3:$F$301,2,FALSE)-VLOOKUP($A62,DATA!$A$3:$F$301,2,FALSE))^2+(VLOOKUP(I$1,DATA!$A$3:$F$301,3,FALSE)-VLOOKUP($A62,DATA!$A$3:$F$301,3,FALSE))^2),"")</f>
        <v/>
      </c>
      <c r="J62" s="14" t="str">
        <f>_xlfn.IFNA(SQRT((VLOOKUP(J$1,DATA!$A$3:$F$301,2,FALSE)-VLOOKUP($A62,DATA!$A$3:$F$301,2,FALSE))^2+(VLOOKUP(J$1,DATA!$A$3:$F$301,3,FALSE)-VLOOKUP($A62,DATA!$A$3:$F$301,3,FALSE))^2),"")</f>
        <v/>
      </c>
      <c r="K62" s="14" t="str">
        <f>_xlfn.IFNA(SQRT((VLOOKUP(K$1,DATA!$A$3:$F$301,2,FALSE)-VLOOKUP($A62,DATA!$A$3:$F$301,2,FALSE))^2+(VLOOKUP(K$1,DATA!$A$3:$F$301,3,FALSE)-VLOOKUP($A62,DATA!$A$3:$F$301,3,FALSE))^2),"")</f>
        <v/>
      </c>
      <c r="L62" s="14" t="str">
        <f>_xlfn.IFNA(SQRT((VLOOKUP(L$1,DATA!$A$3:$F$301,2,FALSE)-VLOOKUP($A62,DATA!$A$3:$F$301,2,FALSE))^2+(VLOOKUP(L$1,DATA!$A$3:$F$301,3,FALSE)-VLOOKUP($A62,DATA!$A$3:$F$301,3,FALSE))^2),"")</f>
        <v/>
      </c>
      <c r="M62" s="14" t="str">
        <f>_xlfn.IFNA(SQRT((VLOOKUP(M$1,DATA!$A$3:$F$301,2,FALSE)-VLOOKUP($A62,DATA!$A$3:$F$301,2,FALSE))^2+(VLOOKUP(M$1,DATA!$A$3:$F$301,3,FALSE)-VLOOKUP($A62,DATA!$A$3:$F$301,3,FALSE))^2),"")</f>
        <v/>
      </c>
      <c r="N62" s="14" t="str">
        <f>_xlfn.IFNA(SQRT((VLOOKUP(N$1,DATA!$A$3:$F$301,2,FALSE)-VLOOKUP($A62,DATA!$A$3:$F$301,2,FALSE))^2+(VLOOKUP(N$1,DATA!$A$3:$F$301,3,FALSE)-VLOOKUP($A62,DATA!$A$3:$F$301,3,FALSE))^2),"")</f>
        <v/>
      </c>
      <c r="O62" s="14" t="str">
        <f>_xlfn.IFNA(SQRT((VLOOKUP(O$1,DATA!$A$3:$F$301,2,FALSE)-VLOOKUP($A62,DATA!$A$3:$F$301,2,FALSE))^2+(VLOOKUP(O$1,DATA!$A$3:$F$301,3,FALSE)-VLOOKUP($A62,DATA!$A$3:$F$301,3,FALSE))^2),"")</f>
        <v/>
      </c>
      <c r="P62" s="14" t="str">
        <f>_xlfn.IFNA(SQRT((VLOOKUP(P$1,DATA!$A$3:$F$301,2,FALSE)-VLOOKUP($A62,DATA!$A$3:$F$301,2,FALSE))^2+(VLOOKUP(P$1,DATA!$A$3:$F$301,3,FALSE)-VLOOKUP($A62,DATA!$A$3:$F$301,3,FALSE))^2),"")</f>
        <v/>
      </c>
      <c r="Q62" s="14" t="str">
        <f>_xlfn.IFNA(SQRT((VLOOKUP(Q$1,DATA!$A$3:$F$301,2,FALSE)-VLOOKUP($A62,DATA!$A$3:$F$301,2,FALSE))^2+(VLOOKUP(Q$1,DATA!$A$3:$F$301,3,FALSE)-VLOOKUP($A62,DATA!$A$3:$F$301,3,FALSE))^2),"")</f>
        <v/>
      </c>
      <c r="R62" s="14" t="str">
        <f>_xlfn.IFNA(SQRT((VLOOKUP(R$1,DATA!$A$3:$F$301,2,FALSE)-VLOOKUP($A62,DATA!$A$3:$F$301,2,FALSE))^2+(VLOOKUP(R$1,DATA!$A$3:$F$301,3,FALSE)-VLOOKUP($A62,DATA!$A$3:$F$301,3,FALSE))^2),"")</f>
        <v/>
      </c>
      <c r="S62" s="14" t="str">
        <f>_xlfn.IFNA(SQRT((VLOOKUP(S$1,DATA!$A$3:$F$301,2,FALSE)-VLOOKUP($A62,DATA!$A$3:$F$301,2,FALSE))^2+(VLOOKUP(S$1,DATA!$A$3:$F$301,3,FALSE)-VLOOKUP($A62,DATA!$A$3:$F$301,3,FALSE))^2),"")</f>
        <v/>
      </c>
      <c r="T62" s="14" t="str">
        <f>_xlfn.IFNA(SQRT((VLOOKUP(T$1,DATA!$A$3:$F$301,2,FALSE)-VLOOKUP($A62,DATA!$A$3:$F$301,2,FALSE))^2+(VLOOKUP(T$1,DATA!$A$3:$F$301,3,FALSE)-VLOOKUP($A62,DATA!$A$3:$F$301,3,FALSE))^2),"")</f>
        <v/>
      </c>
      <c r="U62" s="14" t="str">
        <f>_xlfn.IFNA(SQRT((VLOOKUP(U$1,DATA!$A$3:$F$301,2,FALSE)-VLOOKUP($A62,DATA!$A$3:$F$301,2,FALSE))^2+(VLOOKUP(U$1,DATA!$A$3:$F$301,3,FALSE)-VLOOKUP($A62,DATA!$A$3:$F$301,3,FALSE))^2),"")</f>
        <v/>
      </c>
      <c r="V62" s="14" t="str">
        <f>_xlfn.IFNA(SQRT((VLOOKUP(V$1,DATA!$A$3:$F$301,2,FALSE)-VLOOKUP($A62,DATA!$A$3:$F$301,2,FALSE))^2+(VLOOKUP(V$1,DATA!$A$3:$F$301,3,FALSE)-VLOOKUP($A62,DATA!$A$3:$F$301,3,FALSE))^2),"")</f>
        <v/>
      </c>
      <c r="W62" s="14" t="str">
        <f>_xlfn.IFNA(SQRT((VLOOKUP(W$1,DATA!$A$3:$F$301,2,FALSE)-VLOOKUP($A62,DATA!$A$3:$F$301,2,FALSE))^2+(VLOOKUP(W$1,DATA!$A$3:$F$301,3,FALSE)-VLOOKUP($A62,DATA!$A$3:$F$301,3,FALSE))^2),"")</f>
        <v/>
      </c>
      <c r="X62" s="14" t="str">
        <f>_xlfn.IFNA(SQRT((VLOOKUP(X$1,DATA!$A$3:$F$301,2,FALSE)-VLOOKUP($A62,DATA!$A$3:$F$301,2,FALSE))^2+(VLOOKUP(X$1,DATA!$A$3:$F$301,3,FALSE)-VLOOKUP($A62,DATA!$A$3:$F$301,3,FALSE))^2),"")</f>
        <v/>
      </c>
      <c r="Y62" s="14" t="str">
        <f>_xlfn.IFNA(SQRT((VLOOKUP(Y$1,DATA!$A$3:$F$301,2,FALSE)-VLOOKUP($A62,DATA!$A$3:$F$301,2,FALSE))^2+(VLOOKUP(Y$1,DATA!$A$3:$F$301,3,FALSE)-VLOOKUP($A62,DATA!$A$3:$F$301,3,FALSE))^2),"")</f>
        <v/>
      </c>
      <c r="Z62" s="14" t="str">
        <f>_xlfn.IFNA(SQRT((VLOOKUP(Z$1,DATA!$A$3:$F$301,2,FALSE)-VLOOKUP($A62,DATA!$A$3:$F$301,2,FALSE))^2+(VLOOKUP(Z$1,DATA!$A$3:$F$301,3,FALSE)-VLOOKUP($A62,DATA!$A$3:$F$301,3,FALSE))^2),"")</f>
        <v/>
      </c>
      <c r="AA62" s="14" t="str">
        <f>_xlfn.IFNA(SQRT((VLOOKUP(AA$1,DATA!$A$3:$F$301,2,FALSE)-VLOOKUP($A62,DATA!$A$3:$F$301,2,FALSE))^2+(VLOOKUP(AA$1,DATA!$A$3:$F$301,3,FALSE)-VLOOKUP($A62,DATA!$A$3:$F$301,3,FALSE))^2),"")</f>
        <v/>
      </c>
      <c r="AB62" s="14" t="str">
        <f>_xlfn.IFNA(SQRT((VLOOKUP(AB$1,DATA!$A$3:$F$301,2,FALSE)-VLOOKUP($A62,DATA!$A$3:$F$301,2,FALSE))^2+(VLOOKUP(AB$1,DATA!$A$3:$F$301,3,FALSE)-VLOOKUP($A62,DATA!$A$3:$F$301,3,FALSE))^2),"")</f>
        <v/>
      </c>
      <c r="AC62" s="14" t="str">
        <f>_xlfn.IFNA(SQRT((VLOOKUP(AC$1,DATA!$A$3:$F$301,2,FALSE)-VLOOKUP($A62,DATA!$A$3:$F$301,2,FALSE))^2+(VLOOKUP(AC$1,DATA!$A$3:$F$301,3,FALSE)-VLOOKUP($A62,DATA!$A$3:$F$301,3,FALSE))^2),"")</f>
        <v/>
      </c>
      <c r="AD62" s="14" t="str">
        <f>_xlfn.IFNA(SQRT((VLOOKUP(AD$1,DATA!$A$3:$F$301,2,FALSE)-VLOOKUP($A62,DATA!$A$3:$F$301,2,FALSE))^2+(VLOOKUP(AD$1,DATA!$A$3:$F$301,3,FALSE)-VLOOKUP($A62,DATA!$A$3:$F$301,3,FALSE))^2),"")</f>
        <v/>
      </c>
      <c r="AE62" s="14" t="str">
        <f>_xlfn.IFNA(SQRT((VLOOKUP(AE$1,DATA!$A$3:$F$301,2,FALSE)-VLOOKUP($A62,DATA!$A$3:$F$301,2,FALSE))^2+(VLOOKUP(AE$1,DATA!$A$3:$F$301,3,FALSE)-VLOOKUP($A62,DATA!$A$3:$F$301,3,FALSE))^2),"")</f>
        <v/>
      </c>
      <c r="AF62" s="14" t="str">
        <f>_xlfn.IFNA(SQRT((VLOOKUP(AF$1,DATA!$A$3:$F$301,2,FALSE)-VLOOKUP($A62,DATA!$A$3:$F$301,2,FALSE))^2+(VLOOKUP(AF$1,DATA!$A$3:$F$301,3,FALSE)-VLOOKUP($A62,DATA!$A$3:$F$301,3,FALSE))^2),"")</f>
        <v/>
      </c>
      <c r="AG62" s="14" t="str">
        <f>_xlfn.IFNA(SQRT((VLOOKUP(AG$1,DATA!$A$3:$F$301,2,FALSE)-VLOOKUP($A62,DATA!$A$3:$F$301,2,FALSE))^2+(VLOOKUP(AG$1,DATA!$A$3:$F$301,3,FALSE)-VLOOKUP($A62,DATA!$A$3:$F$301,3,FALSE))^2),"")</f>
        <v/>
      </c>
      <c r="AH62" s="14" t="str">
        <f>_xlfn.IFNA(SQRT((VLOOKUP(AH$1,DATA!$A$3:$F$301,2,FALSE)-VLOOKUP($A62,DATA!$A$3:$F$301,2,FALSE))^2+(VLOOKUP(AH$1,DATA!$A$3:$F$301,3,FALSE)-VLOOKUP($A62,DATA!$A$3:$F$301,3,FALSE))^2),"")</f>
        <v/>
      </c>
      <c r="AI62" s="14" t="str">
        <f>_xlfn.IFNA(SQRT((VLOOKUP(AI$1,DATA!$A$3:$F$301,2,FALSE)-VLOOKUP($A62,DATA!$A$3:$F$301,2,FALSE))^2+(VLOOKUP(AI$1,DATA!$A$3:$F$301,3,FALSE)-VLOOKUP($A62,DATA!$A$3:$F$301,3,FALSE))^2),"")</f>
        <v/>
      </c>
      <c r="AJ62" s="14" t="str">
        <f>_xlfn.IFNA(SQRT((VLOOKUP(AJ$1,DATA!$A$3:$F$301,2,FALSE)-VLOOKUP($A62,DATA!$A$3:$F$301,2,FALSE))^2+(VLOOKUP(AJ$1,DATA!$A$3:$F$301,3,FALSE)-VLOOKUP($A62,DATA!$A$3:$F$301,3,FALSE))^2),"")</f>
        <v/>
      </c>
      <c r="AK62" s="14" t="str">
        <f>_xlfn.IFNA(SQRT((VLOOKUP(AK$1,DATA!$A$3:$F$301,2,FALSE)-VLOOKUP($A62,DATA!$A$3:$F$301,2,FALSE))^2+(VLOOKUP(AK$1,DATA!$A$3:$F$301,3,FALSE)-VLOOKUP($A62,DATA!$A$3:$F$301,3,FALSE))^2),"")</f>
        <v/>
      </c>
      <c r="AL62" s="14" t="str">
        <f>_xlfn.IFNA(SQRT((VLOOKUP(AL$1,DATA!$A$3:$F$301,2,FALSE)-VLOOKUP($A62,DATA!$A$3:$F$301,2,FALSE))^2+(VLOOKUP(AL$1,DATA!$A$3:$F$301,3,FALSE)-VLOOKUP($A62,DATA!$A$3:$F$301,3,FALSE))^2),"")</f>
        <v/>
      </c>
      <c r="AM62" s="14" t="str">
        <f>_xlfn.IFNA(SQRT((VLOOKUP(AM$1,DATA!$A$3:$F$301,2,FALSE)-VLOOKUP($A62,DATA!$A$3:$F$301,2,FALSE))^2+(VLOOKUP(AM$1,DATA!$A$3:$F$301,3,FALSE)-VLOOKUP($A62,DATA!$A$3:$F$301,3,FALSE))^2),"")</f>
        <v/>
      </c>
      <c r="AN62" s="14" t="str">
        <f>_xlfn.IFNA(SQRT((VLOOKUP(AN$1,DATA!$A$3:$F$301,2,FALSE)-VLOOKUP($A62,DATA!$A$3:$F$301,2,FALSE))^2+(VLOOKUP(AN$1,DATA!$A$3:$F$301,3,FALSE)-VLOOKUP($A62,DATA!$A$3:$F$301,3,FALSE))^2),"")</f>
        <v/>
      </c>
      <c r="AO62" s="14" t="str">
        <f>_xlfn.IFNA(SQRT((VLOOKUP(AO$1,DATA!$A$3:$F$301,2,FALSE)-VLOOKUP($A62,DATA!$A$3:$F$301,2,FALSE))^2+(VLOOKUP(AO$1,DATA!$A$3:$F$301,3,FALSE)-VLOOKUP($A62,DATA!$A$3:$F$301,3,FALSE))^2),"")</f>
        <v/>
      </c>
      <c r="AP62" s="14" t="str">
        <f>_xlfn.IFNA(SQRT((VLOOKUP(AP$1,DATA!$A$3:$F$301,2,FALSE)-VLOOKUP($A62,DATA!$A$3:$F$301,2,FALSE))^2+(VLOOKUP(AP$1,DATA!$A$3:$F$301,3,FALSE)-VLOOKUP($A62,DATA!$A$3:$F$301,3,FALSE))^2),"")</f>
        <v/>
      </c>
      <c r="AQ62" s="14" t="str">
        <f>_xlfn.IFNA(SQRT((VLOOKUP(AQ$1,DATA!$A$3:$F$301,2,FALSE)-VLOOKUP($A62,DATA!$A$3:$F$301,2,FALSE))^2+(VLOOKUP(AQ$1,DATA!$A$3:$F$301,3,FALSE)-VLOOKUP($A62,DATA!$A$3:$F$301,3,FALSE))^2),"")</f>
        <v/>
      </c>
      <c r="AR62" s="14" t="str">
        <f>_xlfn.IFNA(SQRT((VLOOKUP(AR$1,DATA!$A$3:$F$301,2,FALSE)-VLOOKUP($A62,DATA!$A$3:$F$301,2,FALSE))^2+(VLOOKUP(AR$1,DATA!$A$3:$F$301,3,FALSE)-VLOOKUP($A62,DATA!$A$3:$F$301,3,FALSE))^2),"")</f>
        <v/>
      </c>
      <c r="AS62" s="14" t="str">
        <f>_xlfn.IFNA(SQRT((VLOOKUP(AS$1,DATA!$A$3:$F$301,2,FALSE)-VLOOKUP($A62,DATA!$A$3:$F$301,2,FALSE))^2+(VLOOKUP(AS$1,DATA!$A$3:$F$301,3,FALSE)-VLOOKUP($A62,DATA!$A$3:$F$301,3,FALSE))^2),"")</f>
        <v/>
      </c>
      <c r="AT62" s="14" t="str">
        <f>_xlfn.IFNA(SQRT((VLOOKUP(AT$1,DATA!$A$3:$F$301,2,FALSE)-VLOOKUP($A62,DATA!$A$3:$F$301,2,FALSE))^2+(VLOOKUP(AT$1,DATA!$A$3:$F$301,3,FALSE)-VLOOKUP($A62,DATA!$A$3:$F$301,3,FALSE))^2),"")</f>
        <v/>
      </c>
      <c r="AU62" s="14" t="str">
        <f>_xlfn.IFNA(SQRT((VLOOKUP(AU$1,DATA!$A$3:$F$301,2,FALSE)-VLOOKUP($A62,DATA!$A$3:$F$301,2,FALSE))^2+(VLOOKUP(AU$1,DATA!$A$3:$F$301,3,FALSE)-VLOOKUP($A62,DATA!$A$3:$F$301,3,FALSE))^2),"")</f>
        <v/>
      </c>
      <c r="AV62" s="14" t="str">
        <f>_xlfn.IFNA(SQRT((VLOOKUP(AV$1,DATA!$A$3:$F$301,2,FALSE)-VLOOKUP($A62,DATA!$A$3:$F$301,2,FALSE))^2+(VLOOKUP(AV$1,DATA!$A$3:$F$301,3,FALSE)-VLOOKUP($A62,DATA!$A$3:$F$301,3,FALSE))^2),"")</f>
        <v/>
      </c>
      <c r="AW62" s="14" t="str">
        <f>_xlfn.IFNA(SQRT((VLOOKUP(AW$1,DATA!$A$3:$F$301,2,FALSE)-VLOOKUP($A62,DATA!$A$3:$F$301,2,FALSE))^2+(VLOOKUP(AW$1,DATA!$A$3:$F$301,3,FALSE)-VLOOKUP($A62,DATA!$A$3:$F$301,3,FALSE))^2),"")</f>
        <v/>
      </c>
      <c r="AX62" s="14" t="str">
        <f>_xlfn.IFNA(SQRT((VLOOKUP(AX$1,DATA!$A$3:$F$301,2,FALSE)-VLOOKUP($A62,DATA!$A$3:$F$301,2,FALSE))^2+(VLOOKUP(AX$1,DATA!$A$3:$F$301,3,FALSE)-VLOOKUP($A62,DATA!$A$3:$F$301,3,FALSE))^2),"")</f>
        <v/>
      </c>
      <c r="AY62" s="14" t="str">
        <f>_xlfn.IFNA(SQRT((VLOOKUP(AY$1,DATA!$A$3:$F$301,2,FALSE)-VLOOKUP($A62,DATA!$A$3:$F$301,2,FALSE))^2+(VLOOKUP(AY$1,DATA!$A$3:$F$301,3,FALSE)-VLOOKUP($A62,DATA!$A$3:$F$301,3,FALSE))^2),"")</f>
        <v/>
      </c>
      <c r="AZ62" s="14" t="str">
        <f>_xlfn.IFNA(SQRT((VLOOKUP(AZ$1,DATA!$A$3:$F$301,2,FALSE)-VLOOKUP($A62,DATA!$A$3:$F$301,2,FALSE))^2+(VLOOKUP(AZ$1,DATA!$A$3:$F$301,3,FALSE)-VLOOKUP($A62,DATA!$A$3:$F$301,3,FALSE))^2),"")</f>
        <v/>
      </c>
      <c r="BA62" s="14" t="str">
        <f>_xlfn.IFNA(SQRT((VLOOKUP(BA$1,DATA!$A$3:$F$301,2,FALSE)-VLOOKUP($A62,DATA!$A$3:$F$301,2,FALSE))^2+(VLOOKUP(BA$1,DATA!$A$3:$F$301,3,FALSE)-VLOOKUP($A62,DATA!$A$3:$F$301,3,FALSE))^2),"")</f>
        <v/>
      </c>
      <c r="BB62" s="14" t="str">
        <f>_xlfn.IFNA(SQRT((VLOOKUP(BB$1,DATA!$A$3:$F$301,2,FALSE)-VLOOKUP($A62,DATA!$A$3:$F$301,2,FALSE))^2+(VLOOKUP(BB$1,DATA!$A$3:$F$301,3,FALSE)-VLOOKUP($A62,DATA!$A$3:$F$301,3,FALSE))^2),"")</f>
        <v/>
      </c>
      <c r="BC62" s="14" t="str">
        <f>_xlfn.IFNA(SQRT((VLOOKUP(BC$1,DATA!$A$3:$F$301,2,FALSE)-VLOOKUP($A62,DATA!$A$3:$F$301,2,FALSE))^2+(VLOOKUP(BC$1,DATA!$A$3:$F$301,3,FALSE)-VLOOKUP($A62,DATA!$A$3:$F$301,3,FALSE))^2),"")</f>
        <v/>
      </c>
      <c r="BD62" s="14" t="str">
        <f>_xlfn.IFNA(SQRT((VLOOKUP(BD$1,DATA!$A$3:$F$301,2,FALSE)-VLOOKUP($A62,DATA!$A$3:$F$301,2,FALSE))^2+(VLOOKUP(BD$1,DATA!$A$3:$F$301,3,FALSE)-VLOOKUP($A62,DATA!$A$3:$F$301,3,FALSE))^2),"")</f>
        <v/>
      </c>
      <c r="BE62" s="14" t="str">
        <f>_xlfn.IFNA(SQRT((VLOOKUP(BE$1,DATA!$A$3:$F$301,2,FALSE)-VLOOKUP($A62,DATA!$A$3:$F$301,2,FALSE))^2+(VLOOKUP(BE$1,DATA!$A$3:$F$301,3,FALSE)-VLOOKUP($A62,DATA!$A$3:$F$301,3,FALSE))^2),"")</f>
        <v/>
      </c>
      <c r="BF62" s="14" t="str">
        <f>_xlfn.IFNA(SQRT((VLOOKUP(BF$1,DATA!$A$3:$F$301,2,FALSE)-VLOOKUP($A62,DATA!$A$3:$F$301,2,FALSE))^2+(VLOOKUP(BF$1,DATA!$A$3:$F$301,3,FALSE)-VLOOKUP($A62,DATA!$A$3:$F$301,3,FALSE))^2),"")</f>
        <v/>
      </c>
      <c r="BG62" s="14" t="str">
        <f>_xlfn.IFNA(SQRT((VLOOKUP(BG$1,DATA!$A$3:$F$301,2,FALSE)-VLOOKUP($A62,DATA!$A$3:$F$301,2,FALSE))^2+(VLOOKUP(BG$1,DATA!$A$3:$F$301,3,FALSE)-VLOOKUP($A62,DATA!$A$3:$F$301,3,FALSE))^2),"")</f>
        <v/>
      </c>
      <c r="BH62" s="14" t="str">
        <f>_xlfn.IFNA(SQRT((VLOOKUP(BH$1,DATA!$A$3:$F$301,2,FALSE)-VLOOKUP($A62,DATA!$A$3:$F$301,2,FALSE))^2+(VLOOKUP(BH$1,DATA!$A$3:$F$301,3,FALSE)-VLOOKUP($A62,DATA!$A$3:$F$301,3,FALSE))^2),"")</f>
        <v/>
      </c>
      <c r="BI62" s="14" t="str">
        <f>_xlfn.IFNA(SQRT((VLOOKUP(BI$1,DATA!$A$3:$F$301,2,FALSE)-VLOOKUP($A62,DATA!$A$3:$F$301,2,FALSE))^2+(VLOOKUP(BI$1,DATA!$A$3:$F$301,3,FALSE)-VLOOKUP($A62,DATA!$A$3:$F$301,3,FALSE))^2),"")</f>
        <v/>
      </c>
      <c r="BJ62" s="14" t="str">
        <f>_xlfn.IFNA(SQRT((VLOOKUP(BJ$1,DATA!$A$3:$F$301,2,FALSE)-VLOOKUP($A62,DATA!$A$3:$F$301,2,FALSE))^2+(VLOOKUP(BJ$1,DATA!$A$3:$F$301,3,FALSE)-VLOOKUP($A62,DATA!$A$3:$F$301,3,FALSE))^2),"")</f>
        <v/>
      </c>
      <c r="BK62" s="14" t="str">
        <f>_xlfn.IFNA(SQRT((VLOOKUP(BK$1,DATA!$A$3:$F$301,2,FALSE)-VLOOKUP($A62,DATA!$A$3:$F$301,2,FALSE))^2+(VLOOKUP(BK$1,DATA!$A$3:$F$301,3,FALSE)-VLOOKUP($A62,DATA!$A$3:$F$301,3,FALSE))^2),"")</f>
        <v/>
      </c>
      <c r="BL62" s="14" t="str">
        <f>_xlfn.IFNA(SQRT((VLOOKUP(BL$1,DATA!$A$3:$F$301,2,FALSE)-VLOOKUP($A62,DATA!$A$3:$F$301,2,FALSE))^2+(VLOOKUP(BL$1,DATA!$A$3:$F$301,3,FALSE)-VLOOKUP($A62,DATA!$A$3:$F$301,3,FALSE))^2),"")</f>
        <v/>
      </c>
      <c r="BM62" s="14" t="str">
        <f>_xlfn.IFNA(SQRT((VLOOKUP(BM$1,DATA!$A$3:$F$301,2,FALSE)-VLOOKUP($A62,DATA!$A$3:$F$301,2,FALSE))^2+(VLOOKUP(BM$1,DATA!$A$3:$F$301,3,FALSE)-VLOOKUP($A62,DATA!$A$3:$F$301,3,FALSE))^2),"")</f>
        <v/>
      </c>
      <c r="BN62" s="14" t="str">
        <f>_xlfn.IFNA(SQRT((VLOOKUP(BN$1,DATA!$A$3:$F$301,2,FALSE)-VLOOKUP($A62,DATA!$A$3:$F$301,2,FALSE))^2+(VLOOKUP(BN$1,DATA!$A$3:$F$301,3,FALSE)-VLOOKUP($A62,DATA!$A$3:$F$301,3,FALSE))^2),"")</f>
        <v/>
      </c>
      <c r="BO62" s="14" t="str">
        <f>_xlfn.IFNA(SQRT((VLOOKUP(BO$1,DATA!$A$3:$F$301,2,FALSE)-VLOOKUP($A62,DATA!$A$3:$F$301,2,FALSE))^2+(VLOOKUP(BO$1,DATA!$A$3:$F$301,3,FALSE)-VLOOKUP($A62,DATA!$A$3:$F$301,3,FALSE))^2),"")</f>
        <v/>
      </c>
      <c r="BP62" s="14" t="str">
        <f>_xlfn.IFNA(SQRT((VLOOKUP(BP$1,DATA!$A$3:$F$301,2,FALSE)-VLOOKUP($A62,DATA!$A$3:$F$301,2,FALSE))^2+(VLOOKUP(BP$1,DATA!$A$3:$F$301,3,FALSE)-VLOOKUP($A62,DATA!$A$3:$F$301,3,FALSE))^2),"")</f>
        <v/>
      </c>
      <c r="BQ62" s="14" t="str">
        <f>_xlfn.IFNA(SQRT((VLOOKUP(BQ$1,DATA!$A$3:$F$301,2,FALSE)-VLOOKUP($A62,DATA!$A$3:$F$301,2,FALSE))^2+(VLOOKUP(BQ$1,DATA!$A$3:$F$301,3,FALSE)-VLOOKUP($A62,DATA!$A$3:$F$301,3,FALSE))^2),"")</f>
        <v/>
      </c>
      <c r="BR62" s="14" t="str">
        <f>_xlfn.IFNA(SQRT((VLOOKUP(BR$1,DATA!$A$3:$F$301,2,FALSE)-VLOOKUP($A62,DATA!$A$3:$F$301,2,FALSE))^2+(VLOOKUP(BR$1,DATA!$A$3:$F$301,3,FALSE)-VLOOKUP($A62,DATA!$A$3:$F$301,3,FALSE))^2),"")</f>
        <v/>
      </c>
      <c r="BS62" s="14" t="str">
        <f>_xlfn.IFNA(SQRT((VLOOKUP(BS$1,DATA!$A$3:$F$301,2,FALSE)-VLOOKUP($A62,DATA!$A$3:$F$301,2,FALSE))^2+(VLOOKUP(BS$1,DATA!$A$3:$F$301,3,FALSE)-VLOOKUP($A62,DATA!$A$3:$F$301,3,FALSE))^2),"")</f>
        <v/>
      </c>
      <c r="BT62" s="14" t="str">
        <f>_xlfn.IFNA(SQRT((VLOOKUP(BT$1,DATA!$A$3:$F$301,2,FALSE)-VLOOKUP($A62,DATA!$A$3:$F$301,2,FALSE))^2+(VLOOKUP(BT$1,DATA!$A$3:$F$301,3,FALSE)-VLOOKUP($A62,DATA!$A$3:$F$301,3,FALSE))^2),"")</f>
        <v/>
      </c>
      <c r="BU62" s="14" t="str">
        <f>_xlfn.IFNA(SQRT((VLOOKUP(BU$1,DATA!$A$3:$F$301,2,FALSE)-VLOOKUP($A62,DATA!$A$3:$F$301,2,FALSE))^2+(VLOOKUP(BU$1,DATA!$A$3:$F$301,3,FALSE)-VLOOKUP($A62,DATA!$A$3:$F$301,3,FALSE))^2),"")</f>
        <v/>
      </c>
      <c r="BV62" s="14" t="str">
        <f>_xlfn.IFNA(SQRT((VLOOKUP(BV$1,DATA!$A$3:$F$301,2,FALSE)-VLOOKUP($A62,DATA!$A$3:$F$301,2,FALSE))^2+(VLOOKUP(BV$1,DATA!$A$3:$F$301,3,FALSE)-VLOOKUP($A62,DATA!$A$3:$F$301,3,FALSE))^2),"")</f>
        <v/>
      </c>
      <c r="BW62" s="14" t="str">
        <f>_xlfn.IFNA(SQRT((VLOOKUP(BW$1,DATA!$A$3:$F$301,2,FALSE)-VLOOKUP($A62,DATA!$A$3:$F$301,2,FALSE))^2+(VLOOKUP(BW$1,DATA!$A$3:$F$301,3,FALSE)-VLOOKUP($A62,DATA!$A$3:$F$301,3,FALSE))^2),"")</f>
        <v/>
      </c>
      <c r="BX62" s="14" t="str">
        <f>_xlfn.IFNA(SQRT((VLOOKUP(BX$1,DATA!$A$3:$F$301,2,FALSE)-VLOOKUP($A62,DATA!$A$3:$F$301,2,FALSE))^2+(VLOOKUP(BX$1,DATA!$A$3:$F$301,3,FALSE)-VLOOKUP($A62,DATA!$A$3:$F$301,3,FALSE))^2),"")</f>
        <v/>
      </c>
      <c r="BY62" s="14" t="str">
        <f>_xlfn.IFNA(SQRT((VLOOKUP(BY$1,DATA!$A$3:$F$301,2,FALSE)-VLOOKUP($A62,DATA!$A$3:$F$301,2,FALSE))^2+(VLOOKUP(BY$1,DATA!$A$3:$F$301,3,FALSE)-VLOOKUP($A62,DATA!$A$3:$F$301,3,FALSE))^2),"")</f>
        <v/>
      </c>
      <c r="BZ62" s="14" t="str">
        <f>_xlfn.IFNA(SQRT((VLOOKUP(BZ$1,DATA!$A$3:$F$301,2,FALSE)-VLOOKUP($A62,DATA!$A$3:$F$301,2,FALSE))^2+(VLOOKUP(BZ$1,DATA!$A$3:$F$301,3,FALSE)-VLOOKUP($A62,DATA!$A$3:$F$301,3,FALSE))^2),"")</f>
        <v/>
      </c>
      <c r="CA62" s="14" t="str">
        <f>_xlfn.IFNA(SQRT((VLOOKUP(CA$1,DATA!$A$3:$F$301,2,FALSE)-VLOOKUP($A62,DATA!$A$3:$F$301,2,FALSE))^2+(VLOOKUP(CA$1,DATA!$A$3:$F$301,3,FALSE)-VLOOKUP($A62,DATA!$A$3:$F$301,3,FALSE))^2),"")</f>
        <v/>
      </c>
      <c r="CB62" s="14" t="str">
        <f>_xlfn.IFNA(SQRT((VLOOKUP(CB$1,DATA!$A$3:$F$301,2,FALSE)-VLOOKUP($A62,DATA!$A$3:$F$301,2,FALSE))^2+(VLOOKUP(CB$1,DATA!$A$3:$F$301,3,FALSE)-VLOOKUP($A62,DATA!$A$3:$F$301,3,FALSE))^2),"")</f>
        <v/>
      </c>
      <c r="CC62" s="14" t="str">
        <f>_xlfn.IFNA(SQRT((VLOOKUP(CC$1,DATA!$A$3:$F$301,2,FALSE)-VLOOKUP($A62,DATA!$A$3:$F$301,2,FALSE))^2+(VLOOKUP(CC$1,DATA!$A$3:$F$301,3,FALSE)-VLOOKUP($A62,DATA!$A$3:$F$301,3,FALSE))^2),"")</f>
        <v/>
      </c>
      <c r="CD62" s="14" t="str">
        <f>_xlfn.IFNA(SQRT((VLOOKUP(CD$1,DATA!$A$3:$F$301,2,FALSE)-VLOOKUP($A62,DATA!$A$3:$F$301,2,FALSE))^2+(VLOOKUP(CD$1,DATA!$A$3:$F$301,3,FALSE)-VLOOKUP($A62,DATA!$A$3:$F$301,3,FALSE))^2),"")</f>
        <v/>
      </c>
      <c r="CE62" s="14" t="str">
        <f>_xlfn.IFNA(SQRT((VLOOKUP(CE$1,DATA!$A$3:$F$301,2,FALSE)-VLOOKUP($A62,DATA!$A$3:$F$301,2,FALSE))^2+(VLOOKUP(CE$1,DATA!$A$3:$F$301,3,FALSE)-VLOOKUP($A62,DATA!$A$3:$F$301,3,FALSE))^2),"")</f>
        <v/>
      </c>
      <c r="CF62" s="14" t="str">
        <f>_xlfn.IFNA(SQRT((VLOOKUP(CF$1,DATA!$A$3:$F$301,2,FALSE)-VLOOKUP($A62,DATA!$A$3:$F$301,2,FALSE))^2+(VLOOKUP(CF$1,DATA!$A$3:$F$301,3,FALSE)-VLOOKUP($A62,DATA!$A$3:$F$301,3,FALSE))^2),"")</f>
        <v/>
      </c>
      <c r="CG62" s="14" t="str">
        <f>_xlfn.IFNA(SQRT((VLOOKUP(CG$1,DATA!$A$3:$F$301,2,FALSE)-VLOOKUP($A62,DATA!$A$3:$F$301,2,FALSE))^2+(VLOOKUP(CG$1,DATA!$A$3:$F$301,3,FALSE)-VLOOKUP($A62,DATA!$A$3:$F$301,3,FALSE))^2),"")</f>
        <v/>
      </c>
      <c r="CH62" s="14" t="str">
        <f>_xlfn.IFNA(SQRT((VLOOKUP(CH$1,DATA!$A$3:$F$301,2,FALSE)-VLOOKUP($A62,DATA!$A$3:$F$301,2,FALSE))^2+(VLOOKUP(CH$1,DATA!$A$3:$F$301,3,FALSE)-VLOOKUP($A62,DATA!$A$3:$F$301,3,FALSE))^2),"")</f>
        <v/>
      </c>
      <c r="CI62" s="14" t="str">
        <f>_xlfn.IFNA(SQRT((VLOOKUP(CI$1,DATA!$A$3:$F$301,2,FALSE)-VLOOKUP($A62,DATA!$A$3:$F$301,2,FALSE))^2+(VLOOKUP(CI$1,DATA!$A$3:$F$301,3,FALSE)-VLOOKUP($A62,DATA!$A$3:$F$301,3,FALSE))^2),"")</f>
        <v/>
      </c>
      <c r="CJ62" s="14" t="str">
        <f>_xlfn.IFNA(SQRT((VLOOKUP(CJ$1,DATA!$A$3:$F$301,2,FALSE)-VLOOKUP($A62,DATA!$A$3:$F$301,2,FALSE))^2+(VLOOKUP(CJ$1,DATA!$A$3:$F$301,3,FALSE)-VLOOKUP($A62,DATA!$A$3:$F$301,3,FALSE))^2),"")</f>
        <v/>
      </c>
      <c r="CK62" s="14" t="str">
        <f>_xlfn.IFNA(SQRT((VLOOKUP(CK$1,DATA!$A$3:$F$301,2,FALSE)-VLOOKUP($A62,DATA!$A$3:$F$301,2,FALSE))^2+(VLOOKUP(CK$1,DATA!$A$3:$F$301,3,FALSE)-VLOOKUP($A62,DATA!$A$3:$F$301,3,FALSE))^2),"")</f>
        <v/>
      </c>
      <c r="CL62" s="14" t="str">
        <f>_xlfn.IFNA(SQRT((VLOOKUP(CL$1,DATA!$A$3:$F$301,2,FALSE)-VLOOKUP($A62,DATA!$A$3:$F$301,2,FALSE))^2+(VLOOKUP(CL$1,DATA!$A$3:$F$301,3,FALSE)-VLOOKUP($A62,DATA!$A$3:$F$301,3,FALSE))^2),"")</f>
        <v/>
      </c>
      <c r="CM62" s="14" t="str">
        <f>_xlfn.IFNA(SQRT((VLOOKUP(CM$1,DATA!$A$3:$F$301,2,FALSE)-VLOOKUP($A62,DATA!$A$3:$F$301,2,FALSE))^2+(VLOOKUP(CM$1,DATA!$A$3:$F$301,3,FALSE)-VLOOKUP($A62,DATA!$A$3:$F$301,3,FALSE))^2),"")</f>
        <v/>
      </c>
      <c r="CN62" s="14" t="str">
        <f>_xlfn.IFNA(SQRT((VLOOKUP(CN$1,DATA!$A$3:$F$301,2,FALSE)-VLOOKUP($A62,DATA!$A$3:$F$301,2,FALSE))^2+(VLOOKUP(CN$1,DATA!$A$3:$F$301,3,FALSE)-VLOOKUP($A62,DATA!$A$3:$F$301,3,FALSE))^2),"")</f>
        <v/>
      </c>
      <c r="CO62" s="14" t="str">
        <f>_xlfn.IFNA(SQRT((VLOOKUP(CO$1,DATA!$A$3:$F$301,2,FALSE)-VLOOKUP($A62,DATA!$A$3:$F$301,2,FALSE))^2+(VLOOKUP(CO$1,DATA!$A$3:$F$301,3,FALSE)-VLOOKUP($A62,DATA!$A$3:$F$301,3,FALSE))^2),"")</f>
        <v/>
      </c>
      <c r="CP62" s="14" t="str">
        <f>_xlfn.IFNA(SQRT((VLOOKUP(CP$1,DATA!$A$3:$F$301,2,FALSE)-VLOOKUP($A62,DATA!$A$3:$F$301,2,FALSE))^2+(VLOOKUP(CP$1,DATA!$A$3:$F$301,3,FALSE)-VLOOKUP($A62,DATA!$A$3:$F$301,3,FALSE))^2),"")</f>
        <v/>
      </c>
      <c r="CQ62" s="14" t="str">
        <f>_xlfn.IFNA(SQRT((VLOOKUP(CQ$1,DATA!$A$3:$F$301,2,FALSE)-VLOOKUP($A62,DATA!$A$3:$F$301,2,FALSE))^2+(VLOOKUP(CQ$1,DATA!$A$3:$F$301,3,FALSE)-VLOOKUP($A62,DATA!$A$3:$F$301,3,FALSE))^2),"")</f>
        <v/>
      </c>
      <c r="CR62" s="14" t="str">
        <f>_xlfn.IFNA(SQRT((VLOOKUP(CR$1,DATA!$A$3:$F$301,2,FALSE)-VLOOKUP($A62,DATA!$A$3:$F$301,2,FALSE))^2+(VLOOKUP(CR$1,DATA!$A$3:$F$301,3,FALSE)-VLOOKUP($A62,DATA!$A$3:$F$301,3,FALSE))^2),"")</f>
        <v/>
      </c>
      <c r="CS62" s="14" t="str">
        <f>_xlfn.IFNA(SQRT((VLOOKUP(CS$1,DATA!$A$3:$F$301,2,FALSE)-VLOOKUP($A62,DATA!$A$3:$F$301,2,FALSE))^2+(VLOOKUP(CS$1,DATA!$A$3:$F$301,3,FALSE)-VLOOKUP($A62,DATA!$A$3:$F$301,3,FALSE))^2),"")</f>
        <v/>
      </c>
      <c r="CT62" s="14" t="str">
        <f>_xlfn.IFNA(SQRT((VLOOKUP(CT$1,DATA!$A$3:$F$301,2,FALSE)-VLOOKUP($A62,DATA!$A$3:$F$301,2,FALSE))^2+(VLOOKUP(CT$1,DATA!$A$3:$F$301,3,FALSE)-VLOOKUP($A62,DATA!$A$3:$F$301,3,FALSE))^2),"")</f>
        <v/>
      </c>
      <c r="CU62" s="14" t="str">
        <f>_xlfn.IFNA(SQRT((VLOOKUP(CU$1,DATA!$A$3:$F$301,2,FALSE)-VLOOKUP($A62,DATA!$A$3:$F$301,2,FALSE))^2+(VLOOKUP(CU$1,DATA!$A$3:$F$301,3,FALSE)-VLOOKUP($A62,DATA!$A$3:$F$301,3,FALSE))^2),"")</f>
        <v/>
      </c>
      <c r="CV62" s="14" t="str">
        <f>_xlfn.IFNA(SQRT((VLOOKUP(CV$1,DATA!$A$3:$F$301,2,FALSE)-VLOOKUP($A62,DATA!$A$3:$F$301,2,FALSE))^2+(VLOOKUP(CV$1,DATA!$A$3:$F$301,3,FALSE)-VLOOKUP($A62,DATA!$A$3:$F$301,3,FALSE))^2),"")</f>
        <v/>
      </c>
      <c r="CW62" s="14" t="str">
        <f>_xlfn.IFNA(SQRT((VLOOKUP(CW$1,DATA!$A$3:$F$301,2,FALSE)-VLOOKUP($A62,DATA!$A$3:$F$301,2,FALSE))^2+(VLOOKUP(CW$1,DATA!$A$3:$F$301,3,FALSE)-VLOOKUP($A62,DATA!$A$3:$F$301,3,FALSE))^2),"")</f>
        <v/>
      </c>
      <c r="CX62" s="14" t="str">
        <f>_xlfn.IFNA(SQRT((VLOOKUP(CX$1,DATA!$A$3:$F$301,2,FALSE)-VLOOKUP($A62,DATA!$A$3:$F$301,2,FALSE))^2+(VLOOKUP(CX$1,DATA!$A$3:$F$301,3,FALSE)-VLOOKUP($A62,DATA!$A$3:$F$301,3,FALSE))^2),"")</f>
        <v/>
      </c>
    </row>
    <row r="63" spans="1:102">
      <c r="A63" s="13">
        <v>62</v>
      </c>
      <c r="B63" s="14" t="str">
        <f>_xlfn.IFNA(SQRT((VLOOKUP(B$1,DATA!$A$3:$F$301,2,FALSE)-VLOOKUP($A63,DATA!$A$3:$F$301,2,FALSE))^2+(VLOOKUP(B$1,DATA!$A$3:$F$301,3,FALSE)-VLOOKUP($A63,DATA!$A$3:$F$301,3,FALSE))^2),"")</f>
        <v/>
      </c>
      <c r="C63" s="14" t="str">
        <f>_xlfn.IFNA(SQRT((VLOOKUP(C$1,DATA!$A$3:$F$301,2,FALSE)-VLOOKUP($A63,DATA!$A$3:$F$301,2,FALSE))^2+(VLOOKUP(C$1,DATA!$A$3:$F$301,3,FALSE)-VLOOKUP($A63,DATA!$A$3:$F$301,3,FALSE))^2),"")</f>
        <v/>
      </c>
      <c r="D63" s="14" t="str">
        <f>_xlfn.IFNA(SQRT((VLOOKUP(D$1,DATA!$A$3:$F$301,2,FALSE)-VLOOKUP($A63,DATA!$A$3:$F$301,2,FALSE))^2+(VLOOKUP(D$1,DATA!$A$3:$F$301,3,FALSE)-VLOOKUP($A63,DATA!$A$3:$F$301,3,FALSE))^2),"")</f>
        <v/>
      </c>
      <c r="E63" s="14" t="str">
        <f>_xlfn.IFNA(SQRT((VLOOKUP(E$1,DATA!$A$3:$F$301,2,FALSE)-VLOOKUP($A63,DATA!$A$3:$F$301,2,FALSE))^2+(VLOOKUP(E$1,DATA!$A$3:$F$301,3,FALSE)-VLOOKUP($A63,DATA!$A$3:$F$301,3,FALSE))^2),"")</f>
        <v/>
      </c>
      <c r="F63" s="14" t="str">
        <f>_xlfn.IFNA(SQRT((VLOOKUP(F$1,DATA!$A$3:$F$301,2,FALSE)-VLOOKUP($A63,DATA!$A$3:$F$301,2,FALSE))^2+(VLOOKUP(F$1,DATA!$A$3:$F$301,3,FALSE)-VLOOKUP($A63,DATA!$A$3:$F$301,3,FALSE))^2),"")</f>
        <v/>
      </c>
      <c r="G63" s="14" t="str">
        <f>_xlfn.IFNA(SQRT((VLOOKUP(G$1,DATA!$A$3:$F$301,2,FALSE)-VLOOKUP($A63,DATA!$A$3:$F$301,2,FALSE))^2+(VLOOKUP(G$1,DATA!$A$3:$F$301,3,FALSE)-VLOOKUP($A63,DATA!$A$3:$F$301,3,FALSE))^2),"")</f>
        <v/>
      </c>
      <c r="H63" s="14" t="str">
        <f>_xlfn.IFNA(SQRT((VLOOKUP(H$1,DATA!$A$3:$F$301,2,FALSE)-VLOOKUP($A63,DATA!$A$3:$F$301,2,FALSE))^2+(VLOOKUP(H$1,DATA!$A$3:$F$301,3,FALSE)-VLOOKUP($A63,DATA!$A$3:$F$301,3,FALSE))^2),"")</f>
        <v/>
      </c>
      <c r="I63" s="14" t="str">
        <f>_xlfn.IFNA(SQRT((VLOOKUP(I$1,DATA!$A$3:$F$301,2,FALSE)-VLOOKUP($A63,DATA!$A$3:$F$301,2,FALSE))^2+(VLOOKUP(I$1,DATA!$A$3:$F$301,3,FALSE)-VLOOKUP($A63,DATA!$A$3:$F$301,3,FALSE))^2),"")</f>
        <v/>
      </c>
      <c r="J63" s="14" t="str">
        <f>_xlfn.IFNA(SQRT((VLOOKUP(J$1,DATA!$A$3:$F$301,2,FALSE)-VLOOKUP($A63,DATA!$A$3:$F$301,2,FALSE))^2+(VLOOKUP(J$1,DATA!$A$3:$F$301,3,FALSE)-VLOOKUP($A63,DATA!$A$3:$F$301,3,FALSE))^2),"")</f>
        <v/>
      </c>
      <c r="K63" s="14" t="str">
        <f>_xlfn.IFNA(SQRT((VLOOKUP(K$1,DATA!$A$3:$F$301,2,FALSE)-VLOOKUP($A63,DATA!$A$3:$F$301,2,FALSE))^2+(VLOOKUP(K$1,DATA!$A$3:$F$301,3,FALSE)-VLOOKUP($A63,DATA!$A$3:$F$301,3,FALSE))^2),"")</f>
        <v/>
      </c>
      <c r="L63" s="14" t="str">
        <f>_xlfn.IFNA(SQRT((VLOOKUP(L$1,DATA!$A$3:$F$301,2,FALSE)-VLOOKUP($A63,DATA!$A$3:$F$301,2,FALSE))^2+(VLOOKUP(L$1,DATA!$A$3:$F$301,3,FALSE)-VLOOKUP($A63,DATA!$A$3:$F$301,3,FALSE))^2),"")</f>
        <v/>
      </c>
      <c r="M63" s="14" t="str">
        <f>_xlfn.IFNA(SQRT((VLOOKUP(M$1,DATA!$A$3:$F$301,2,FALSE)-VLOOKUP($A63,DATA!$A$3:$F$301,2,FALSE))^2+(VLOOKUP(M$1,DATA!$A$3:$F$301,3,FALSE)-VLOOKUP($A63,DATA!$A$3:$F$301,3,FALSE))^2),"")</f>
        <v/>
      </c>
      <c r="N63" s="14" t="str">
        <f>_xlfn.IFNA(SQRT((VLOOKUP(N$1,DATA!$A$3:$F$301,2,FALSE)-VLOOKUP($A63,DATA!$A$3:$F$301,2,FALSE))^2+(VLOOKUP(N$1,DATA!$A$3:$F$301,3,FALSE)-VLOOKUP($A63,DATA!$A$3:$F$301,3,FALSE))^2),"")</f>
        <v/>
      </c>
      <c r="O63" s="14" t="str">
        <f>_xlfn.IFNA(SQRT((VLOOKUP(O$1,DATA!$A$3:$F$301,2,FALSE)-VLOOKUP($A63,DATA!$A$3:$F$301,2,FALSE))^2+(VLOOKUP(O$1,DATA!$A$3:$F$301,3,FALSE)-VLOOKUP($A63,DATA!$A$3:$F$301,3,FALSE))^2),"")</f>
        <v/>
      </c>
      <c r="P63" s="14" t="str">
        <f>_xlfn.IFNA(SQRT((VLOOKUP(P$1,DATA!$A$3:$F$301,2,FALSE)-VLOOKUP($A63,DATA!$A$3:$F$301,2,FALSE))^2+(VLOOKUP(P$1,DATA!$A$3:$F$301,3,FALSE)-VLOOKUP($A63,DATA!$A$3:$F$301,3,FALSE))^2),"")</f>
        <v/>
      </c>
      <c r="Q63" s="14" t="str">
        <f>_xlfn.IFNA(SQRT((VLOOKUP(Q$1,DATA!$A$3:$F$301,2,FALSE)-VLOOKUP($A63,DATA!$A$3:$F$301,2,FALSE))^2+(VLOOKUP(Q$1,DATA!$A$3:$F$301,3,FALSE)-VLOOKUP($A63,DATA!$A$3:$F$301,3,FALSE))^2),"")</f>
        <v/>
      </c>
      <c r="R63" s="14" t="str">
        <f>_xlfn.IFNA(SQRT((VLOOKUP(R$1,DATA!$A$3:$F$301,2,FALSE)-VLOOKUP($A63,DATA!$A$3:$F$301,2,FALSE))^2+(VLOOKUP(R$1,DATA!$A$3:$F$301,3,FALSE)-VLOOKUP($A63,DATA!$A$3:$F$301,3,FALSE))^2),"")</f>
        <v/>
      </c>
      <c r="S63" s="14" t="str">
        <f>_xlfn.IFNA(SQRT((VLOOKUP(S$1,DATA!$A$3:$F$301,2,FALSE)-VLOOKUP($A63,DATA!$A$3:$F$301,2,FALSE))^2+(VLOOKUP(S$1,DATA!$A$3:$F$301,3,FALSE)-VLOOKUP($A63,DATA!$A$3:$F$301,3,FALSE))^2),"")</f>
        <v/>
      </c>
      <c r="T63" s="14" t="str">
        <f>_xlfn.IFNA(SQRT((VLOOKUP(T$1,DATA!$A$3:$F$301,2,FALSE)-VLOOKUP($A63,DATA!$A$3:$F$301,2,FALSE))^2+(VLOOKUP(T$1,DATA!$A$3:$F$301,3,FALSE)-VLOOKUP($A63,DATA!$A$3:$F$301,3,FALSE))^2),"")</f>
        <v/>
      </c>
      <c r="U63" s="14" t="str">
        <f>_xlfn.IFNA(SQRT((VLOOKUP(U$1,DATA!$A$3:$F$301,2,FALSE)-VLOOKUP($A63,DATA!$A$3:$F$301,2,FALSE))^2+(VLOOKUP(U$1,DATA!$A$3:$F$301,3,FALSE)-VLOOKUP($A63,DATA!$A$3:$F$301,3,FALSE))^2),"")</f>
        <v/>
      </c>
      <c r="V63" s="14" t="str">
        <f>_xlfn.IFNA(SQRT((VLOOKUP(V$1,DATA!$A$3:$F$301,2,FALSE)-VLOOKUP($A63,DATA!$A$3:$F$301,2,FALSE))^2+(VLOOKUP(V$1,DATA!$A$3:$F$301,3,FALSE)-VLOOKUP($A63,DATA!$A$3:$F$301,3,FALSE))^2),"")</f>
        <v/>
      </c>
      <c r="W63" s="14" t="str">
        <f>_xlfn.IFNA(SQRT((VLOOKUP(W$1,DATA!$A$3:$F$301,2,FALSE)-VLOOKUP($A63,DATA!$A$3:$F$301,2,FALSE))^2+(VLOOKUP(W$1,DATA!$A$3:$F$301,3,FALSE)-VLOOKUP($A63,DATA!$A$3:$F$301,3,FALSE))^2),"")</f>
        <v/>
      </c>
      <c r="X63" s="14" t="str">
        <f>_xlfn.IFNA(SQRT((VLOOKUP(X$1,DATA!$A$3:$F$301,2,FALSE)-VLOOKUP($A63,DATA!$A$3:$F$301,2,FALSE))^2+(VLOOKUP(X$1,DATA!$A$3:$F$301,3,FALSE)-VLOOKUP($A63,DATA!$A$3:$F$301,3,FALSE))^2),"")</f>
        <v/>
      </c>
      <c r="Y63" s="14" t="str">
        <f>_xlfn.IFNA(SQRT((VLOOKUP(Y$1,DATA!$A$3:$F$301,2,FALSE)-VLOOKUP($A63,DATA!$A$3:$F$301,2,FALSE))^2+(VLOOKUP(Y$1,DATA!$A$3:$F$301,3,FALSE)-VLOOKUP($A63,DATA!$A$3:$F$301,3,FALSE))^2),"")</f>
        <v/>
      </c>
      <c r="Z63" s="14" t="str">
        <f>_xlfn.IFNA(SQRT((VLOOKUP(Z$1,DATA!$A$3:$F$301,2,FALSE)-VLOOKUP($A63,DATA!$A$3:$F$301,2,FALSE))^2+(VLOOKUP(Z$1,DATA!$A$3:$F$301,3,FALSE)-VLOOKUP($A63,DATA!$A$3:$F$301,3,FALSE))^2),"")</f>
        <v/>
      </c>
      <c r="AA63" s="14" t="str">
        <f>_xlfn.IFNA(SQRT((VLOOKUP(AA$1,DATA!$A$3:$F$301,2,FALSE)-VLOOKUP($A63,DATA!$A$3:$F$301,2,FALSE))^2+(VLOOKUP(AA$1,DATA!$A$3:$F$301,3,FALSE)-VLOOKUP($A63,DATA!$A$3:$F$301,3,FALSE))^2),"")</f>
        <v/>
      </c>
      <c r="AB63" s="14" t="str">
        <f>_xlfn.IFNA(SQRT((VLOOKUP(AB$1,DATA!$A$3:$F$301,2,FALSE)-VLOOKUP($A63,DATA!$A$3:$F$301,2,FALSE))^2+(VLOOKUP(AB$1,DATA!$A$3:$F$301,3,FALSE)-VLOOKUP($A63,DATA!$A$3:$F$301,3,FALSE))^2),"")</f>
        <v/>
      </c>
      <c r="AC63" s="14" t="str">
        <f>_xlfn.IFNA(SQRT((VLOOKUP(AC$1,DATA!$A$3:$F$301,2,FALSE)-VLOOKUP($A63,DATA!$A$3:$F$301,2,FALSE))^2+(VLOOKUP(AC$1,DATA!$A$3:$F$301,3,FALSE)-VLOOKUP($A63,DATA!$A$3:$F$301,3,FALSE))^2),"")</f>
        <v/>
      </c>
      <c r="AD63" s="14" t="str">
        <f>_xlfn.IFNA(SQRT((VLOOKUP(AD$1,DATA!$A$3:$F$301,2,FALSE)-VLOOKUP($A63,DATA!$A$3:$F$301,2,FALSE))^2+(VLOOKUP(AD$1,DATA!$A$3:$F$301,3,FALSE)-VLOOKUP($A63,DATA!$A$3:$F$301,3,FALSE))^2),"")</f>
        <v/>
      </c>
      <c r="AE63" s="14" t="str">
        <f>_xlfn.IFNA(SQRT((VLOOKUP(AE$1,DATA!$A$3:$F$301,2,FALSE)-VLOOKUP($A63,DATA!$A$3:$F$301,2,FALSE))^2+(VLOOKUP(AE$1,DATA!$A$3:$F$301,3,FALSE)-VLOOKUP($A63,DATA!$A$3:$F$301,3,FALSE))^2),"")</f>
        <v/>
      </c>
      <c r="AF63" s="14" t="str">
        <f>_xlfn.IFNA(SQRT((VLOOKUP(AF$1,DATA!$A$3:$F$301,2,FALSE)-VLOOKUP($A63,DATA!$A$3:$F$301,2,FALSE))^2+(VLOOKUP(AF$1,DATA!$A$3:$F$301,3,FALSE)-VLOOKUP($A63,DATA!$A$3:$F$301,3,FALSE))^2),"")</f>
        <v/>
      </c>
      <c r="AG63" s="14" t="str">
        <f>_xlfn.IFNA(SQRT((VLOOKUP(AG$1,DATA!$A$3:$F$301,2,FALSE)-VLOOKUP($A63,DATA!$A$3:$F$301,2,FALSE))^2+(VLOOKUP(AG$1,DATA!$A$3:$F$301,3,FALSE)-VLOOKUP($A63,DATA!$A$3:$F$301,3,FALSE))^2),"")</f>
        <v/>
      </c>
      <c r="AH63" s="14" t="str">
        <f>_xlfn.IFNA(SQRT((VLOOKUP(AH$1,DATA!$A$3:$F$301,2,FALSE)-VLOOKUP($A63,DATA!$A$3:$F$301,2,FALSE))^2+(VLOOKUP(AH$1,DATA!$A$3:$F$301,3,FALSE)-VLOOKUP($A63,DATA!$A$3:$F$301,3,FALSE))^2),"")</f>
        <v/>
      </c>
      <c r="AI63" s="14" t="str">
        <f>_xlfn.IFNA(SQRT((VLOOKUP(AI$1,DATA!$A$3:$F$301,2,FALSE)-VLOOKUP($A63,DATA!$A$3:$F$301,2,FALSE))^2+(VLOOKUP(AI$1,DATA!$A$3:$F$301,3,FALSE)-VLOOKUP($A63,DATA!$A$3:$F$301,3,FALSE))^2),"")</f>
        <v/>
      </c>
      <c r="AJ63" s="14" t="str">
        <f>_xlfn.IFNA(SQRT((VLOOKUP(AJ$1,DATA!$A$3:$F$301,2,FALSE)-VLOOKUP($A63,DATA!$A$3:$F$301,2,FALSE))^2+(VLOOKUP(AJ$1,DATA!$A$3:$F$301,3,FALSE)-VLOOKUP($A63,DATA!$A$3:$F$301,3,FALSE))^2),"")</f>
        <v/>
      </c>
      <c r="AK63" s="14" t="str">
        <f>_xlfn.IFNA(SQRT((VLOOKUP(AK$1,DATA!$A$3:$F$301,2,FALSE)-VLOOKUP($A63,DATA!$A$3:$F$301,2,FALSE))^2+(VLOOKUP(AK$1,DATA!$A$3:$F$301,3,FALSE)-VLOOKUP($A63,DATA!$A$3:$F$301,3,FALSE))^2),"")</f>
        <v/>
      </c>
      <c r="AL63" s="14" t="str">
        <f>_xlfn.IFNA(SQRT((VLOOKUP(AL$1,DATA!$A$3:$F$301,2,FALSE)-VLOOKUP($A63,DATA!$A$3:$F$301,2,FALSE))^2+(VLOOKUP(AL$1,DATA!$A$3:$F$301,3,FALSE)-VLOOKUP($A63,DATA!$A$3:$F$301,3,FALSE))^2),"")</f>
        <v/>
      </c>
      <c r="AM63" s="14" t="str">
        <f>_xlfn.IFNA(SQRT((VLOOKUP(AM$1,DATA!$A$3:$F$301,2,FALSE)-VLOOKUP($A63,DATA!$A$3:$F$301,2,FALSE))^2+(VLOOKUP(AM$1,DATA!$A$3:$F$301,3,FALSE)-VLOOKUP($A63,DATA!$A$3:$F$301,3,FALSE))^2),"")</f>
        <v/>
      </c>
      <c r="AN63" s="14" t="str">
        <f>_xlfn.IFNA(SQRT((VLOOKUP(AN$1,DATA!$A$3:$F$301,2,FALSE)-VLOOKUP($A63,DATA!$A$3:$F$301,2,FALSE))^2+(VLOOKUP(AN$1,DATA!$A$3:$F$301,3,FALSE)-VLOOKUP($A63,DATA!$A$3:$F$301,3,FALSE))^2),"")</f>
        <v/>
      </c>
      <c r="AO63" s="14" t="str">
        <f>_xlfn.IFNA(SQRT((VLOOKUP(AO$1,DATA!$A$3:$F$301,2,FALSE)-VLOOKUP($A63,DATA!$A$3:$F$301,2,FALSE))^2+(VLOOKUP(AO$1,DATA!$A$3:$F$301,3,FALSE)-VLOOKUP($A63,DATA!$A$3:$F$301,3,FALSE))^2),"")</f>
        <v/>
      </c>
      <c r="AP63" s="14" t="str">
        <f>_xlfn.IFNA(SQRT((VLOOKUP(AP$1,DATA!$A$3:$F$301,2,FALSE)-VLOOKUP($A63,DATA!$A$3:$F$301,2,FALSE))^2+(VLOOKUP(AP$1,DATA!$A$3:$F$301,3,FALSE)-VLOOKUP($A63,DATA!$A$3:$F$301,3,FALSE))^2),"")</f>
        <v/>
      </c>
      <c r="AQ63" s="14" t="str">
        <f>_xlfn.IFNA(SQRT((VLOOKUP(AQ$1,DATA!$A$3:$F$301,2,FALSE)-VLOOKUP($A63,DATA!$A$3:$F$301,2,FALSE))^2+(VLOOKUP(AQ$1,DATA!$A$3:$F$301,3,FALSE)-VLOOKUP($A63,DATA!$A$3:$F$301,3,FALSE))^2),"")</f>
        <v/>
      </c>
      <c r="AR63" s="14" t="str">
        <f>_xlfn.IFNA(SQRT((VLOOKUP(AR$1,DATA!$A$3:$F$301,2,FALSE)-VLOOKUP($A63,DATA!$A$3:$F$301,2,FALSE))^2+(VLOOKUP(AR$1,DATA!$A$3:$F$301,3,FALSE)-VLOOKUP($A63,DATA!$A$3:$F$301,3,FALSE))^2),"")</f>
        <v/>
      </c>
      <c r="AS63" s="14" t="str">
        <f>_xlfn.IFNA(SQRT((VLOOKUP(AS$1,DATA!$A$3:$F$301,2,FALSE)-VLOOKUP($A63,DATA!$A$3:$F$301,2,FALSE))^2+(VLOOKUP(AS$1,DATA!$A$3:$F$301,3,FALSE)-VLOOKUP($A63,DATA!$A$3:$F$301,3,FALSE))^2),"")</f>
        <v/>
      </c>
      <c r="AT63" s="14" t="str">
        <f>_xlfn.IFNA(SQRT((VLOOKUP(AT$1,DATA!$A$3:$F$301,2,FALSE)-VLOOKUP($A63,DATA!$A$3:$F$301,2,FALSE))^2+(VLOOKUP(AT$1,DATA!$A$3:$F$301,3,FALSE)-VLOOKUP($A63,DATA!$A$3:$F$301,3,FALSE))^2),"")</f>
        <v/>
      </c>
      <c r="AU63" s="14" t="str">
        <f>_xlfn.IFNA(SQRT((VLOOKUP(AU$1,DATA!$A$3:$F$301,2,FALSE)-VLOOKUP($A63,DATA!$A$3:$F$301,2,FALSE))^2+(VLOOKUP(AU$1,DATA!$A$3:$F$301,3,FALSE)-VLOOKUP($A63,DATA!$A$3:$F$301,3,FALSE))^2),"")</f>
        <v/>
      </c>
      <c r="AV63" s="14" t="str">
        <f>_xlfn.IFNA(SQRT((VLOOKUP(AV$1,DATA!$A$3:$F$301,2,FALSE)-VLOOKUP($A63,DATA!$A$3:$F$301,2,FALSE))^2+(VLOOKUP(AV$1,DATA!$A$3:$F$301,3,FALSE)-VLOOKUP($A63,DATA!$A$3:$F$301,3,FALSE))^2),"")</f>
        <v/>
      </c>
      <c r="AW63" s="14" t="str">
        <f>_xlfn.IFNA(SQRT((VLOOKUP(AW$1,DATA!$A$3:$F$301,2,FALSE)-VLOOKUP($A63,DATA!$A$3:$F$301,2,FALSE))^2+(VLOOKUP(AW$1,DATA!$A$3:$F$301,3,FALSE)-VLOOKUP($A63,DATA!$A$3:$F$301,3,FALSE))^2),"")</f>
        <v/>
      </c>
      <c r="AX63" s="14" t="str">
        <f>_xlfn.IFNA(SQRT((VLOOKUP(AX$1,DATA!$A$3:$F$301,2,FALSE)-VLOOKUP($A63,DATA!$A$3:$F$301,2,FALSE))^2+(VLOOKUP(AX$1,DATA!$A$3:$F$301,3,FALSE)-VLOOKUP($A63,DATA!$A$3:$F$301,3,FALSE))^2),"")</f>
        <v/>
      </c>
      <c r="AY63" s="14" t="str">
        <f>_xlfn.IFNA(SQRT((VLOOKUP(AY$1,DATA!$A$3:$F$301,2,FALSE)-VLOOKUP($A63,DATA!$A$3:$F$301,2,FALSE))^2+(VLOOKUP(AY$1,DATA!$A$3:$F$301,3,FALSE)-VLOOKUP($A63,DATA!$A$3:$F$301,3,FALSE))^2),"")</f>
        <v/>
      </c>
      <c r="AZ63" s="14" t="str">
        <f>_xlfn.IFNA(SQRT((VLOOKUP(AZ$1,DATA!$A$3:$F$301,2,FALSE)-VLOOKUP($A63,DATA!$A$3:$F$301,2,FALSE))^2+(VLOOKUP(AZ$1,DATA!$A$3:$F$301,3,FALSE)-VLOOKUP($A63,DATA!$A$3:$F$301,3,FALSE))^2),"")</f>
        <v/>
      </c>
      <c r="BA63" s="14" t="str">
        <f>_xlfn.IFNA(SQRT((VLOOKUP(BA$1,DATA!$A$3:$F$301,2,FALSE)-VLOOKUP($A63,DATA!$A$3:$F$301,2,FALSE))^2+(VLOOKUP(BA$1,DATA!$A$3:$F$301,3,FALSE)-VLOOKUP($A63,DATA!$A$3:$F$301,3,FALSE))^2),"")</f>
        <v/>
      </c>
      <c r="BB63" s="14" t="str">
        <f>_xlfn.IFNA(SQRT((VLOOKUP(BB$1,DATA!$A$3:$F$301,2,FALSE)-VLOOKUP($A63,DATA!$A$3:$F$301,2,FALSE))^2+(VLOOKUP(BB$1,DATA!$A$3:$F$301,3,FALSE)-VLOOKUP($A63,DATA!$A$3:$F$301,3,FALSE))^2),"")</f>
        <v/>
      </c>
      <c r="BC63" s="14" t="str">
        <f>_xlfn.IFNA(SQRT((VLOOKUP(BC$1,DATA!$A$3:$F$301,2,FALSE)-VLOOKUP($A63,DATA!$A$3:$F$301,2,FALSE))^2+(VLOOKUP(BC$1,DATA!$A$3:$F$301,3,FALSE)-VLOOKUP($A63,DATA!$A$3:$F$301,3,FALSE))^2),"")</f>
        <v/>
      </c>
      <c r="BD63" s="14" t="str">
        <f>_xlfn.IFNA(SQRT((VLOOKUP(BD$1,DATA!$A$3:$F$301,2,FALSE)-VLOOKUP($A63,DATA!$A$3:$F$301,2,FALSE))^2+(VLOOKUP(BD$1,DATA!$A$3:$F$301,3,FALSE)-VLOOKUP($A63,DATA!$A$3:$F$301,3,FALSE))^2),"")</f>
        <v/>
      </c>
      <c r="BE63" s="14" t="str">
        <f>_xlfn.IFNA(SQRT((VLOOKUP(BE$1,DATA!$A$3:$F$301,2,FALSE)-VLOOKUP($A63,DATA!$A$3:$F$301,2,FALSE))^2+(VLOOKUP(BE$1,DATA!$A$3:$F$301,3,FALSE)-VLOOKUP($A63,DATA!$A$3:$F$301,3,FALSE))^2),"")</f>
        <v/>
      </c>
      <c r="BF63" s="14" t="str">
        <f>_xlfn.IFNA(SQRT((VLOOKUP(BF$1,DATA!$A$3:$F$301,2,FALSE)-VLOOKUP($A63,DATA!$A$3:$F$301,2,FALSE))^2+(VLOOKUP(BF$1,DATA!$A$3:$F$301,3,FALSE)-VLOOKUP($A63,DATA!$A$3:$F$301,3,FALSE))^2),"")</f>
        <v/>
      </c>
      <c r="BG63" s="14" t="str">
        <f>_xlfn.IFNA(SQRT((VLOOKUP(BG$1,DATA!$A$3:$F$301,2,FALSE)-VLOOKUP($A63,DATA!$A$3:$F$301,2,FALSE))^2+(VLOOKUP(BG$1,DATA!$A$3:$F$301,3,FALSE)-VLOOKUP($A63,DATA!$A$3:$F$301,3,FALSE))^2),"")</f>
        <v/>
      </c>
      <c r="BH63" s="14" t="str">
        <f>_xlfn.IFNA(SQRT((VLOOKUP(BH$1,DATA!$A$3:$F$301,2,FALSE)-VLOOKUP($A63,DATA!$A$3:$F$301,2,FALSE))^2+(VLOOKUP(BH$1,DATA!$A$3:$F$301,3,FALSE)-VLOOKUP($A63,DATA!$A$3:$F$301,3,FALSE))^2),"")</f>
        <v/>
      </c>
      <c r="BI63" s="14" t="str">
        <f>_xlfn.IFNA(SQRT((VLOOKUP(BI$1,DATA!$A$3:$F$301,2,FALSE)-VLOOKUP($A63,DATA!$A$3:$F$301,2,FALSE))^2+(VLOOKUP(BI$1,DATA!$A$3:$F$301,3,FALSE)-VLOOKUP($A63,DATA!$A$3:$F$301,3,FALSE))^2),"")</f>
        <v/>
      </c>
      <c r="BJ63" s="14" t="str">
        <f>_xlfn.IFNA(SQRT((VLOOKUP(BJ$1,DATA!$A$3:$F$301,2,FALSE)-VLOOKUP($A63,DATA!$A$3:$F$301,2,FALSE))^2+(VLOOKUP(BJ$1,DATA!$A$3:$F$301,3,FALSE)-VLOOKUP($A63,DATA!$A$3:$F$301,3,FALSE))^2),"")</f>
        <v/>
      </c>
      <c r="BK63" s="14" t="str">
        <f>_xlfn.IFNA(SQRT((VLOOKUP(BK$1,DATA!$A$3:$F$301,2,FALSE)-VLOOKUP($A63,DATA!$A$3:$F$301,2,FALSE))^2+(VLOOKUP(BK$1,DATA!$A$3:$F$301,3,FALSE)-VLOOKUP($A63,DATA!$A$3:$F$301,3,FALSE))^2),"")</f>
        <v/>
      </c>
      <c r="BL63" s="14" t="str">
        <f>_xlfn.IFNA(SQRT((VLOOKUP(BL$1,DATA!$A$3:$F$301,2,FALSE)-VLOOKUP($A63,DATA!$A$3:$F$301,2,FALSE))^2+(VLOOKUP(BL$1,DATA!$A$3:$F$301,3,FALSE)-VLOOKUP($A63,DATA!$A$3:$F$301,3,FALSE))^2),"")</f>
        <v/>
      </c>
      <c r="BM63" s="14" t="str">
        <f>_xlfn.IFNA(SQRT((VLOOKUP(BM$1,DATA!$A$3:$F$301,2,FALSE)-VLOOKUP($A63,DATA!$A$3:$F$301,2,FALSE))^2+(VLOOKUP(BM$1,DATA!$A$3:$F$301,3,FALSE)-VLOOKUP($A63,DATA!$A$3:$F$301,3,FALSE))^2),"")</f>
        <v/>
      </c>
      <c r="BN63" s="14" t="str">
        <f>_xlfn.IFNA(SQRT((VLOOKUP(BN$1,DATA!$A$3:$F$301,2,FALSE)-VLOOKUP($A63,DATA!$A$3:$F$301,2,FALSE))^2+(VLOOKUP(BN$1,DATA!$A$3:$F$301,3,FALSE)-VLOOKUP($A63,DATA!$A$3:$F$301,3,FALSE))^2),"")</f>
        <v/>
      </c>
      <c r="BO63" s="14" t="str">
        <f>_xlfn.IFNA(SQRT((VLOOKUP(BO$1,DATA!$A$3:$F$301,2,FALSE)-VLOOKUP($A63,DATA!$A$3:$F$301,2,FALSE))^2+(VLOOKUP(BO$1,DATA!$A$3:$F$301,3,FALSE)-VLOOKUP($A63,DATA!$A$3:$F$301,3,FALSE))^2),"")</f>
        <v/>
      </c>
      <c r="BP63" s="14" t="str">
        <f>_xlfn.IFNA(SQRT((VLOOKUP(BP$1,DATA!$A$3:$F$301,2,FALSE)-VLOOKUP($A63,DATA!$A$3:$F$301,2,FALSE))^2+(VLOOKUP(BP$1,DATA!$A$3:$F$301,3,FALSE)-VLOOKUP($A63,DATA!$A$3:$F$301,3,FALSE))^2),"")</f>
        <v/>
      </c>
      <c r="BQ63" s="14" t="str">
        <f>_xlfn.IFNA(SQRT((VLOOKUP(BQ$1,DATA!$A$3:$F$301,2,FALSE)-VLOOKUP($A63,DATA!$A$3:$F$301,2,FALSE))^2+(VLOOKUP(BQ$1,DATA!$A$3:$F$301,3,FALSE)-VLOOKUP($A63,DATA!$A$3:$F$301,3,FALSE))^2),"")</f>
        <v/>
      </c>
      <c r="BR63" s="14" t="str">
        <f>_xlfn.IFNA(SQRT((VLOOKUP(BR$1,DATA!$A$3:$F$301,2,FALSE)-VLOOKUP($A63,DATA!$A$3:$F$301,2,FALSE))^2+(VLOOKUP(BR$1,DATA!$A$3:$F$301,3,FALSE)-VLOOKUP($A63,DATA!$A$3:$F$301,3,FALSE))^2),"")</f>
        <v/>
      </c>
      <c r="BS63" s="14" t="str">
        <f>_xlfn.IFNA(SQRT((VLOOKUP(BS$1,DATA!$A$3:$F$301,2,FALSE)-VLOOKUP($A63,DATA!$A$3:$F$301,2,FALSE))^2+(VLOOKUP(BS$1,DATA!$A$3:$F$301,3,FALSE)-VLOOKUP($A63,DATA!$A$3:$F$301,3,FALSE))^2),"")</f>
        <v/>
      </c>
      <c r="BT63" s="14" t="str">
        <f>_xlfn.IFNA(SQRT((VLOOKUP(BT$1,DATA!$A$3:$F$301,2,FALSE)-VLOOKUP($A63,DATA!$A$3:$F$301,2,FALSE))^2+(VLOOKUP(BT$1,DATA!$A$3:$F$301,3,FALSE)-VLOOKUP($A63,DATA!$A$3:$F$301,3,FALSE))^2),"")</f>
        <v/>
      </c>
      <c r="BU63" s="14" t="str">
        <f>_xlfn.IFNA(SQRT((VLOOKUP(BU$1,DATA!$A$3:$F$301,2,FALSE)-VLOOKUP($A63,DATA!$A$3:$F$301,2,FALSE))^2+(VLOOKUP(BU$1,DATA!$A$3:$F$301,3,FALSE)-VLOOKUP($A63,DATA!$A$3:$F$301,3,FALSE))^2),"")</f>
        <v/>
      </c>
      <c r="BV63" s="14" t="str">
        <f>_xlfn.IFNA(SQRT((VLOOKUP(BV$1,DATA!$A$3:$F$301,2,FALSE)-VLOOKUP($A63,DATA!$A$3:$F$301,2,FALSE))^2+(VLOOKUP(BV$1,DATA!$A$3:$F$301,3,FALSE)-VLOOKUP($A63,DATA!$A$3:$F$301,3,FALSE))^2),"")</f>
        <v/>
      </c>
      <c r="BW63" s="14" t="str">
        <f>_xlfn.IFNA(SQRT((VLOOKUP(BW$1,DATA!$A$3:$F$301,2,FALSE)-VLOOKUP($A63,DATA!$A$3:$F$301,2,FALSE))^2+(VLOOKUP(BW$1,DATA!$A$3:$F$301,3,FALSE)-VLOOKUP($A63,DATA!$A$3:$F$301,3,FALSE))^2),"")</f>
        <v/>
      </c>
      <c r="BX63" s="14" t="str">
        <f>_xlfn.IFNA(SQRT((VLOOKUP(BX$1,DATA!$A$3:$F$301,2,FALSE)-VLOOKUP($A63,DATA!$A$3:$F$301,2,FALSE))^2+(VLOOKUP(BX$1,DATA!$A$3:$F$301,3,FALSE)-VLOOKUP($A63,DATA!$A$3:$F$301,3,FALSE))^2),"")</f>
        <v/>
      </c>
      <c r="BY63" s="14" t="str">
        <f>_xlfn.IFNA(SQRT((VLOOKUP(BY$1,DATA!$A$3:$F$301,2,FALSE)-VLOOKUP($A63,DATA!$A$3:$F$301,2,FALSE))^2+(VLOOKUP(BY$1,DATA!$A$3:$F$301,3,FALSE)-VLOOKUP($A63,DATA!$A$3:$F$301,3,FALSE))^2),"")</f>
        <v/>
      </c>
      <c r="BZ63" s="14" t="str">
        <f>_xlfn.IFNA(SQRT((VLOOKUP(BZ$1,DATA!$A$3:$F$301,2,FALSE)-VLOOKUP($A63,DATA!$A$3:$F$301,2,FALSE))^2+(VLOOKUP(BZ$1,DATA!$A$3:$F$301,3,FALSE)-VLOOKUP($A63,DATA!$A$3:$F$301,3,FALSE))^2),"")</f>
        <v/>
      </c>
      <c r="CA63" s="14" t="str">
        <f>_xlfn.IFNA(SQRT((VLOOKUP(CA$1,DATA!$A$3:$F$301,2,FALSE)-VLOOKUP($A63,DATA!$A$3:$F$301,2,FALSE))^2+(VLOOKUP(CA$1,DATA!$A$3:$F$301,3,FALSE)-VLOOKUP($A63,DATA!$A$3:$F$301,3,FALSE))^2),"")</f>
        <v/>
      </c>
      <c r="CB63" s="14" t="str">
        <f>_xlfn.IFNA(SQRT((VLOOKUP(CB$1,DATA!$A$3:$F$301,2,FALSE)-VLOOKUP($A63,DATA!$A$3:$F$301,2,FALSE))^2+(VLOOKUP(CB$1,DATA!$A$3:$F$301,3,FALSE)-VLOOKUP($A63,DATA!$A$3:$F$301,3,FALSE))^2),"")</f>
        <v/>
      </c>
      <c r="CC63" s="14" t="str">
        <f>_xlfn.IFNA(SQRT((VLOOKUP(CC$1,DATA!$A$3:$F$301,2,FALSE)-VLOOKUP($A63,DATA!$A$3:$F$301,2,FALSE))^2+(VLOOKUP(CC$1,DATA!$A$3:$F$301,3,FALSE)-VLOOKUP($A63,DATA!$A$3:$F$301,3,FALSE))^2),"")</f>
        <v/>
      </c>
      <c r="CD63" s="14" t="str">
        <f>_xlfn.IFNA(SQRT((VLOOKUP(CD$1,DATA!$A$3:$F$301,2,FALSE)-VLOOKUP($A63,DATA!$A$3:$F$301,2,FALSE))^2+(VLOOKUP(CD$1,DATA!$A$3:$F$301,3,FALSE)-VLOOKUP($A63,DATA!$A$3:$F$301,3,FALSE))^2),"")</f>
        <v/>
      </c>
      <c r="CE63" s="14" t="str">
        <f>_xlfn.IFNA(SQRT((VLOOKUP(CE$1,DATA!$A$3:$F$301,2,FALSE)-VLOOKUP($A63,DATA!$A$3:$F$301,2,FALSE))^2+(VLOOKUP(CE$1,DATA!$A$3:$F$301,3,FALSE)-VLOOKUP($A63,DATA!$A$3:$F$301,3,FALSE))^2),"")</f>
        <v/>
      </c>
      <c r="CF63" s="14" t="str">
        <f>_xlfn.IFNA(SQRT((VLOOKUP(CF$1,DATA!$A$3:$F$301,2,FALSE)-VLOOKUP($A63,DATA!$A$3:$F$301,2,FALSE))^2+(VLOOKUP(CF$1,DATA!$A$3:$F$301,3,FALSE)-VLOOKUP($A63,DATA!$A$3:$F$301,3,FALSE))^2),"")</f>
        <v/>
      </c>
      <c r="CG63" s="14" t="str">
        <f>_xlfn.IFNA(SQRT((VLOOKUP(CG$1,DATA!$A$3:$F$301,2,FALSE)-VLOOKUP($A63,DATA!$A$3:$F$301,2,FALSE))^2+(VLOOKUP(CG$1,DATA!$A$3:$F$301,3,FALSE)-VLOOKUP($A63,DATA!$A$3:$F$301,3,FALSE))^2),"")</f>
        <v/>
      </c>
      <c r="CH63" s="14" t="str">
        <f>_xlfn.IFNA(SQRT((VLOOKUP(CH$1,DATA!$A$3:$F$301,2,FALSE)-VLOOKUP($A63,DATA!$A$3:$F$301,2,FALSE))^2+(VLOOKUP(CH$1,DATA!$A$3:$F$301,3,FALSE)-VLOOKUP($A63,DATA!$A$3:$F$301,3,FALSE))^2),"")</f>
        <v/>
      </c>
      <c r="CI63" s="14" t="str">
        <f>_xlfn.IFNA(SQRT((VLOOKUP(CI$1,DATA!$A$3:$F$301,2,FALSE)-VLOOKUP($A63,DATA!$A$3:$F$301,2,FALSE))^2+(VLOOKUP(CI$1,DATA!$A$3:$F$301,3,FALSE)-VLOOKUP($A63,DATA!$A$3:$F$301,3,FALSE))^2),"")</f>
        <v/>
      </c>
      <c r="CJ63" s="14" t="str">
        <f>_xlfn.IFNA(SQRT((VLOOKUP(CJ$1,DATA!$A$3:$F$301,2,FALSE)-VLOOKUP($A63,DATA!$A$3:$F$301,2,FALSE))^2+(VLOOKUP(CJ$1,DATA!$A$3:$F$301,3,FALSE)-VLOOKUP($A63,DATA!$A$3:$F$301,3,FALSE))^2),"")</f>
        <v/>
      </c>
      <c r="CK63" s="14" t="str">
        <f>_xlfn.IFNA(SQRT((VLOOKUP(CK$1,DATA!$A$3:$F$301,2,FALSE)-VLOOKUP($A63,DATA!$A$3:$F$301,2,FALSE))^2+(VLOOKUP(CK$1,DATA!$A$3:$F$301,3,FALSE)-VLOOKUP($A63,DATA!$A$3:$F$301,3,FALSE))^2),"")</f>
        <v/>
      </c>
      <c r="CL63" s="14" t="str">
        <f>_xlfn.IFNA(SQRT((VLOOKUP(CL$1,DATA!$A$3:$F$301,2,FALSE)-VLOOKUP($A63,DATA!$A$3:$F$301,2,FALSE))^2+(VLOOKUP(CL$1,DATA!$A$3:$F$301,3,FALSE)-VLOOKUP($A63,DATA!$A$3:$F$301,3,FALSE))^2),"")</f>
        <v/>
      </c>
      <c r="CM63" s="14" t="str">
        <f>_xlfn.IFNA(SQRT((VLOOKUP(CM$1,DATA!$A$3:$F$301,2,FALSE)-VLOOKUP($A63,DATA!$A$3:$F$301,2,FALSE))^2+(VLOOKUP(CM$1,DATA!$A$3:$F$301,3,FALSE)-VLOOKUP($A63,DATA!$A$3:$F$301,3,FALSE))^2),"")</f>
        <v/>
      </c>
      <c r="CN63" s="14" t="str">
        <f>_xlfn.IFNA(SQRT((VLOOKUP(CN$1,DATA!$A$3:$F$301,2,FALSE)-VLOOKUP($A63,DATA!$A$3:$F$301,2,FALSE))^2+(VLOOKUP(CN$1,DATA!$A$3:$F$301,3,FALSE)-VLOOKUP($A63,DATA!$A$3:$F$301,3,FALSE))^2),"")</f>
        <v/>
      </c>
      <c r="CO63" s="14" t="str">
        <f>_xlfn.IFNA(SQRT((VLOOKUP(CO$1,DATA!$A$3:$F$301,2,FALSE)-VLOOKUP($A63,DATA!$A$3:$F$301,2,FALSE))^2+(VLOOKUP(CO$1,DATA!$A$3:$F$301,3,FALSE)-VLOOKUP($A63,DATA!$A$3:$F$301,3,FALSE))^2),"")</f>
        <v/>
      </c>
      <c r="CP63" s="14" t="str">
        <f>_xlfn.IFNA(SQRT((VLOOKUP(CP$1,DATA!$A$3:$F$301,2,FALSE)-VLOOKUP($A63,DATA!$A$3:$F$301,2,FALSE))^2+(VLOOKUP(CP$1,DATA!$A$3:$F$301,3,FALSE)-VLOOKUP($A63,DATA!$A$3:$F$301,3,FALSE))^2),"")</f>
        <v/>
      </c>
      <c r="CQ63" s="14" t="str">
        <f>_xlfn.IFNA(SQRT((VLOOKUP(CQ$1,DATA!$A$3:$F$301,2,FALSE)-VLOOKUP($A63,DATA!$A$3:$F$301,2,FALSE))^2+(VLOOKUP(CQ$1,DATA!$A$3:$F$301,3,FALSE)-VLOOKUP($A63,DATA!$A$3:$F$301,3,FALSE))^2),"")</f>
        <v/>
      </c>
      <c r="CR63" s="14" t="str">
        <f>_xlfn.IFNA(SQRT((VLOOKUP(CR$1,DATA!$A$3:$F$301,2,FALSE)-VLOOKUP($A63,DATA!$A$3:$F$301,2,FALSE))^2+(VLOOKUP(CR$1,DATA!$A$3:$F$301,3,FALSE)-VLOOKUP($A63,DATA!$A$3:$F$301,3,FALSE))^2),"")</f>
        <v/>
      </c>
      <c r="CS63" s="14" t="str">
        <f>_xlfn.IFNA(SQRT((VLOOKUP(CS$1,DATA!$A$3:$F$301,2,FALSE)-VLOOKUP($A63,DATA!$A$3:$F$301,2,FALSE))^2+(VLOOKUP(CS$1,DATA!$A$3:$F$301,3,FALSE)-VLOOKUP($A63,DATA!$A$3:$F$301,3,FALSE))^2),"")</f>
        <v/>
      </c>
      <c r="CT63" s="14" t="str">
        <f>_xlfn.IFNA(SQRT((VLOOKUP(CT$1,DATA!$A$3:$F$301,2,FALSE)-VLOOKUP($A63,DATA!$A$3:$F$301,2,FALSE))^2+(VLOOKUP(CT$1,DATA!$A$3:$F$301,3,FALSE)-VLOOKUP($A63,DATA!$A$3:$F$301,3,FALSE))^2),"")</f>
        <v/>
      </c>
      <c r="CU63" s="14" t="str">
        <f>_xlfn.IFNA(SQRT((VLOOKUP(CU$1,DATA!$A$3:$F$301,2,FALSE)-VLOOKUP($A63,DATA!$A$3:$F$301,2,FALSE))^2+(VLOOKUP(CU$1,DATA!$A$3:$F$301,3,FALSE)-VLOOKUP($A63,DATA!$A$3:$F$301,3,FALSE))^2),"")</f>
        <v/>
      </c>
      <c r="CV63" s="14" t="str">
        <f>_xlfn.IFNA(SQRT((VLOOKUP(CV$1,DATA!$A$3:$F$301,2,FALSE)-VLOOKUP($A63,DATA!$A$3:$F$301,2,FALSE))^2+(VLOOKUP(CV$1,DATA!$A$3:$F$301,3,FALSE)-VLOOKUP($A63,DATA!$A$3:$F$301,3,FALSE))^2),"")</f>
        <v/>
      </c>
      <c r="CW63" s="14" t="str">
        <f>_xlfn.IFNA(SQRT((VLOOKUP(CW$1,DATA!$A$3:$F$301,2,FALSE)-VLOOKUP($A63,DATA!$A$3:$F$301,2,FALSE))^2+(VLOOKUP(CW$1,DATA!$A$3:$F$301,3,FALSE)-VLOOKUP($A63,DATA!$A$3:$F$301,3,FALSE))^2),"")</f>
        <v/>
      </c>
      <c r="CX63" s="14" t="str">
        <f>_xlfn.IFNA(SQRT((VLOOKUP(CX$1,DATA!$A$3:$F$301,2,FALSE)-VLOOKUP($A63,DATA!$A$3:$F$301,2,FALSE))^2+(VLOOKUP(CX$1,DATA!$A$3:$F$301,3,FALSE)-VLOOKUP($A63,DATA!$A$3:$F$301,3,FALSE))^2),"")</f>
        <v/>
      </c>
    </row>
    <row r="64" spans="1:102">
      <c r="A64" s="13">
        <v>63</v>
      </c>
      <c r="B64" s="14" t="str">
        <f>_xlfn.IFNA(SQRT((VLOOKUP(B$1,DATA!$A$3:$F$301,2,FALSE)-VLOOKUP($A64,DATA!$A$3:$F$301,2,FALSE))^2+(VLOOKUP(B$1,DATA!$A$3:$F$301,3,FALSE)-VLOOKUP($A64,DATA!$A$3:$F$301,3,FALSE))^2),"")</f>
        <v/>
      </c>
      <c r="C64" s="14" t="str">
        <f>_xlfn.IFNA(SQRT((VLOOKUP(C$1,DATA!$A$3:$F$301,2,FALSE)-VLOOKUP($A64,DATA!$A$3:$F$301,2,FALSE))^2+(VLOOKUP(C$1,DATA!$A$3:$F$301,3,FALSE)-VLOOKUP($A64,DATA!$A$3:$F$301,3,FALSE))^2),"")</f>
        <v/>
      </c>
      <c r="D64" s="14" t="str">
        <f>_xlfn.IFNA(SQRT((VLOOKUP(D$1,DATA!$A$3:$F$301,2,FALSE)-VLOOKUP($A64,DATA!$A$3:$F$301,2,FALSE))^2+(VLOOKUP(D$1,DATA!$A$3:$F$301,3,FALSE)-VLOOKUP($A64,DATA!$A$3:$F$301,3,FALSE))^2),"")</f>
        <v/>
      </c>
      <c r="E64" s="14" t="str">
        <f>_xlfn.IFNA(SQRT((VLOOKUP(E$1,DATA!$A$3:$F$301,2,FALSE)-VLOOKUP($A64,DATA!$A$3:$F$301,2,FALSE))^2+(VLOOKUP(E$1,DATA!$A$3:$F$301,3,FALSE)-VLOOKUP($A64,DATA!$A$3:$F$301,3,FALSE))^2),"")</f>
        <v/>
      </c>
      <c r="F64" s="14" t="str">
        <f>_xlfn.IFNA(SQRT((VLOOKUP(F$1,DATA!$A$3:$F$301,2,FALSE)-VLOOKUP($A64,DATA!$A$3:$F$301,2,FALSE))^2+(VLOOKUP(F$1,DATA!$A$3:$F$301,3,FALSE)-VLOOKUP($A64,DATA!$A$3:$F$301,3,FALSE))^2),"")</f>
        <v/>
      </c>
      <c r="G64" s="14" t="str">
        <f>_xlfn.IFNA(SQRT((VLOOKUP(G$1,DATA!$A$3:$F$301,2,FALSE)-VLOOKUP($A64,DATA!$A$3:$F$301,2,FALSE))^2+(VLOOKUP(G$1,DATA!$A$3:$F$301,3,FALSE)-VLOOKUP($A64,DATA!$A$3:$F$301,3,FALSE))^2),"")</f>
        <v/>
      </c>
      <c r="H64" s="14" t="str">
        <f>_xlfn.IFNA(SQRT((VLOOKUP(H$1,DATA!$A$3:$F$301,2,FALSE)-VLOOKUP($A64,DATA!$A$3:$F$301,2,FALSE))^2+(VLOOKUP(H$1,DATA!$A$3:$F$301,3,FALSE)-VLOOKUP($A64,DATA!$A$3:$F$301,3,FALSE))^2),"")</f>
        <v/>
      </c>
      <c r="I64" s="14" t="str">
        <f>_xlfn.IFNA(SQRT((VLOOKUP(I$1,DATA!$A$3:$F$301,2,FALSE)-VLOOKUP($A64,DATA!$A$3:$F$301,2,FALSE))^2+(VLOOKUP(I$1,DATA!$A$3:$F$301,3,FALSE)-VLOOKUP($A64,DATA!$A$3:$F$301,3,FALSE))^2),"")</f>
        <v/>
      </c>
      <c r="J64" s="14" t="str">
        <f>_xlfn.IFNA(SQRT((VLOOKUP(J$1,DATA!$A$3:$F$301,2,FALSE)-VLOOKUP($A64,DATA!$A$3:$F$301,2,FALSE))^2+(VLOOKUP(J$1,DATA!$A$3:$F$301,3,FALSE)-VLOOKUP($A64,DATA!$A$3:$F$301,3,FALSE))^2),"")</f>
        <v/>
      </c>
      <c r="K64" s="14" t="str">
        <f>_xlfn.IFNA(SQRT((VLOOKUP(K$1,DATA!$A$3:$F$301,2,FALSE)-VLOOKUP($A64,DATA!$A$3:$F$301,2,FALSE))^2+(VLOOKUP(K$1,DATA!$A$3:$F$301,3,FALSE)-VLOOKUP($A64,DATA!$A$3:$F$301,3,FALSE))^2),"")</f>
        <v/>
      </c>
      <c r="L64" s="14" t="str">
        <f>_xlfn.IFNA(SQRT((VLOOKUP(L$1,DATA!$A$3:$F$301,2,FALSE)-VLOOKUP($A64,DATA!$A$3:$F$301,2,FALSE))^2+(VLOOKUP(L$1,DATA!$A$3:$F$301,3,FALSE)-VLOOKUP($A64,DATA!$A$3:$F$301,3,FALSE))^2),"")</f>
        <v/>
      </c>
      <c r="M64" s="14" t="str">
        <f>_xlfn.IFNA(SQRT((VLOOKUP(M$1,DATA!$A$3:$F$301,2,FALSE)-VLOOKUP($A64,DATA!$A$3:$F$301,2,FALSE))^2+(VLOOKUP(M$1,DATA!$A$3:$F$301,3,FALSE)-VLOOKUP($A64,DATA!$A$3:$F$301,3,FALSE))^2),"")</f>
        <v/>
      </c>
      <c r="N64" s="14" t="str">
        <f>_xlfn.IFNA(SQRT((VLOOKUP(N$1,DATA!$A$3:$F$301,2,FALSE)-VLOOKUP($A64,DATA!$A$3:$F$301,2,FALSE))^2+(VLOOKUP(N$1,DATA!$A$3:$F$301,3,FALSE)-VLOOKUP($A64,DATA!$A$3:$F$301,3,FALSE))^2),"")</f>
        <v/>
      </c>
      <c r="O64" s="14" t="str">
        <f>_xlfn.IFNA(SQRT((VLOOKUP(O$1,DATA!$A$3:$F$301,2,FALSE)-VLOOKUP($A64,DATA!$A$3:$F$301,2,FALSE))^2+(VLOOKUP(O$1,DATA!$A$3:$F$301,3,FALSE)-VLOOKUP($A64,DATA!$A$3:$F$301,3,FALSE))^2),"")</f>
        <v/>
      </c>
      <c r="P64" s="14" t="str">
        <f>_xlfn.IFNA(SQRT((VLOOKUP(P$1,DATA!$A$3:$F$301,2,FALSE)-VLOOKUP($A64,DATA!$A$3:$F$301,2,FALSE))^2+(VLOOKUP(P$1,DATA!$A$3:$F$301,3,FALSE)-VLOOKUP($A64,DATA!$A$3:$F$301,3,FALSE))^2),"")</f>
        <v/>
      </c>
      <c r="Q64" s="14" t="str">
        <f>_xlfn.IFNA(SQRT((VLOOKUP(Q$1,DATA!$A$3:$F$301,2,FALSE)-VLOOKUP($A64,DATA!$A$3:$F$301,2,FALSE))^2+(VLOOKUP(Q$1,DATA!$A$3:$F$301,3,FALSE)-VLOOKUP($A64,DATA!$A$3:$F$301,3,FALSE))^2),"")</f>
        <v/>
      </c>
      <c r="R64" s="14" t="str">
        <f>_xlfn.IFNA(SQRT((VLOOKUP(R$1,DATA!$A$3:$F$301,2,FALSE)-VLOOKUP($A64,DATA!$A$3:$F$301,2,FALSE))^2+(VLOOKUP(R$1,DATA!$A$3:$F$301,3,FALSE)-VLOOKUP($A64,DATA!$A$3:$F$301,3,FALSE))^2),"")</f>
        <v/>
      </c>
      <c r="S64" s="14" t="str">
        <f>_xlfn.IFNA(SQRT((VLOOKUP(S$1,DATA!$A$3:$F$301,2,FALSE)-VLOOKUP($A64,DATA!$A$3:$F$301,2,FALSE))^2+(VLOOKUP(S$1,DATA!$A$3:$F$301,3,FALSE)-VLOOKUP($A64,DATA!$A$3:$F$301,3,FALSE))^2),"")</f>
        <v/>
      </c>
      <c r="T64" s="14" t="str">
        <f>_xlfn.IFNA(SQRT((VLOOKUP(T$1,DATA!$A$3:$F$301,2,FALSE)-VLOOKUP($A64,DATA!$A$3:$F$301,2,FALSE))^2+(VLOOKUP(T$1,DATA!$A$3:$F$301,3,FALSE)-VLOOKUP($A64,DATA!$A$3:$F$301,3,FALSE))^2),"")</f>
        <v/>
      </c>
      <c r="U64" s="14" t="str">
        <f>_xlfn.IFNA(SQRT((VLOOKUP(U$1,DATA!$A$3:$F$301,2,FALSE)-VLOOKUP($A64,DATA!$A$3:$F$301,2,FALSE))^2+(VLOOKUP(U$1,DATA!$A$3:$F$301,3,FALSE)-VLOOKUP($A64,DATA!$A$3:$F$301,3,FALSE))^2),"")</f>
        <v/>
      </c>
      <c r="V64" s="14" t="str">
        <f>_xlfn.IFNA(SQRT((VLOOKUP(V$1,DATA!$A$3:$F$301,2,FALSE)-VLOOKUP($A64,DATA!$A$3:$F$301,2,FALSE))^2+(VLOOKUP(V$1,DATA!$A$3:$F$301,3,FALSE)-VLOOKUP($A64,DATA!$A$3:$F$301,3,FALSE))^2),"")</f>
        <v/>
      </c>
      <c r="W64" s="14" t="str">
        <f>_xlfn.IFNA(SQRT((VLOOKUP(W$1,DATA!$A$3:$F$301,2,FALSE)-VLOOKUP($A64,DATA!$A$3:$F$301,2,FALSE))^2+(VLOOKUP(W$1,DATA!$A$3:$F$301,3,FALSE)-VLOOKUP($A64,DATA!$A$3:$F$301,3,FALSE))^2),"")</f>
        <v/>
      </c>
      <c r="X64" s="14" t="str">
        <f>_xlfn.IFNA(SQRT((VLOOKUP(X$1,DATA!$A$3:$F$301,2,FALSE)-VLOOKUP($A64,DATA!$A$3:$F$301,2,FALSE))^2+(VLOOKUP(X$1,DATA!$A$3:$F$301,3,FALSE)-VLOOKUP($A64,DATA!$A$3:$F$301,3,FALSE))^2),"")</f>
        <v/>
      </c>
      <c r="Y64" s="14" t="str">
        <f>_xlfn.IFNA(SQRT((VLOOKUP(Y$1,DATA!$A$3:$F$301,2,FALSE)-VLOOKUP($A64,DATA!$A$3:$F$301,2,FALSE))^2+(VLOOKUP(Y$1,DATA!$A$3:$F$301,3,FALSE)-VLOOKUP($A64,DATA!$A$3:$F$301,3,FALSE))^2),"")</f>
        <v/>
      </c>
      <c r="Z64" s="14" t="str">
        <f>_xlfn.IFNA(SQRT((VLOOKUP(Z$1,DATA!$A$3:$F$301,2,FALSE)-VLOOKUP($A64,DATA!$A$3:$F$301,2,FALSE))^2+(VLOOKUP(Z$1,DATA!$A$3:$F$301,3,FALSE)-VLOOKUP($A64,DATA!$A$3:$F$301,3,FALSE))^2),"")</f>
        <v/>
      </c>
      <c r="AA64" s="14" t="str">
        <f>_xlfn.IFNA(SQRT((VLOOKUP(AA$1,DATA!$A$3:$F$301,2,FALSE)-VLOOKUP($A64,DATA!$A$3:$F$301,2,FALSE))^2+(VLOOKUP(AA$1,DATA!$A$3:$F$301,3,FALSE)-VLOOKUP($A64,DATA!$A$3:$F$301,3,FALSE))^2),"")</f>
        <v/>
      </c>
      <c r="AB64" s="14" t="str">
        <f>_xlfn.IFNA(SQRT((VLOOKUP(AB$1,DATA!$A$3:$F$301,2,FALSE)-VLOOKUP($A64,DATA!$A$3:$F$301,2,FALSE))^2+(VLOOKUP(AB$1,DATA!$A$3:$F$301,3,FALSE)-VLOOKUP($A64,DATA!$A$3:$F$301,3,FALSE))^2),"")</f>
        <v/>
      </c>
      <c r="AC64" s="14" t="str">
        <f>_xlfn.IFNA(SQRT((VLOOKUP(AC$1,DATA!$A$3:$F$301,2,FALSE)-VLOOKUP($A64,DATA!$A$3:$F$301,2,FALSE))^2+(VLOOKUP(AC$1,DATA!$A$3:$F$301,3,FALSE)-VLOOKUP($A64,DATA!$A$3:$F$301,3,FALSE))^2),"")</f>
        <v/>
      </c>
      <c r="AD64" s="14" t="str">
        <f>_xlfn.IFNA(SQRT((VLOOKUP(AD$1,DATA!$A$3:$F$301,2,FALSE)-VLOOKUP($A64,DATA!$A$3:$F$301,2,FALSE))^2+(VLOOKUP(AD$1,DATA!$A$3:$F$301,3,FALSE)-VLOOKUP($A64,DATA!$A$3:$F$301,3,FALSE))^2),"")</f>
        <v/>
      </c>
      <c r="AE64" s="14" t="str">
        <f>_xlfn.IFNA(SQRT((VLOOKUP(AE$1,DATA!$A$3:$F$301,2,FALSE)-VLOOKUP($A64,DATA!$A$3:$F$301,2,FALSE))^2+(VLOOKUP(AE$1,DATA!$A$3:$F$301,3,FALSE)-VLOOKUP($A64,DATA!$A$3:$F$301,3,FALSE))^2),"")</f>
        <v/>
      </c>
      <c r="AF64" s="14" t="str">
        <f>_xlfn.IFNA(SQRT((VLOOKUP(AF$1,DATA!$A$3:$F$301,2,FALSE)-VLOOKUP($A64,DATA!$A$3:$F$301,2,FALSE))^2+(VLOOKUP(AF$1,DATA!$A$3:$F$301,3,FALSE)-VLOOKUP($A64,DATA!$A$3:$F$301,3,FALSE))^2),"")</f>
        <v/>
      </c>
      <c r="AG64" s="14" t="str">
        <f>_xlfn.IFNA(SQRT((VLOOKUP(AG$1,DATA!$A$3:$F$301,2,FALSE)-VLOOKUP($A64,DATA!$A$3:$F$301,2,FALSE))^2+(VLOOKUP(AG$1,DATA!$A$3:$F$301,3,FALSE)-VLOOKUP($A64,DATA!$A$3:$F$301,3,FALSE))^2),"")</f>
        <v/>
      </c>
      <c r="AH64" s="14" t="str">
        <f>_xlfn.IFNA(SQRT((VLOOKUP(AH$1,DATA!$A$3:$F$301,2,FALSE)-VLOOKUP($A64,DATA!$A$3:$F$301,2,FALSE))^2+(VLOOKUP(AH$1,DATA!$A$3:$F$301,3,FALSE)-VLOOKUP($A64,DATA!$A$3:$F$301,3,FALSE))^2),"")</f>
        <v/>
      </c>
      <c r="AI64" s="14" t="str">
        <f>_xlfn.IFNA(SQRT((VLOOKUP(AI$1,DATA!$A$3:$F$301,2,FALSE)-VLOOKUP($A64,DATA!$A$3:$F$301,2,FALSE))^2+(VLOOKUP(AI$1,DATA!$A$3:$F$301,3,FALSE)-VLOOKUP($A64,DATA!$A$3:$F$301,3,FALSE))^2),"")</f>
        <v/>
      </c>
      <c r="AJ64" s="14" t="str">
        <f>_xlfn.IFNA(SQRT((VLOOKUP(AJ$1,DATA!$A$3:$F$301,2,FALSE)-VLOOKUP($A64,DATA!$A$3:$F$301,2,FALSE))^2+(VLOOKUP(AJ$1,DATA!$A$3:$F$301,3,FALSE)-VLOOKUP($A64,DATA!$A$3:$F$301,3,FALSE))^2),"")</f>
        <v/>
      </c>
      <c r="AK64" s="14" t="str">
        <f>_xlfn.IFNA(SQRT((VLOOKUP(AK$1,DATA!$A$3:$F$301,2,FALSE)-VLOOKUP($A64,DATA!$A$3:$F$301,2,FALSE))^2+(VLOOKUP(AK$1,DATA!$A$3:$F$301,3,FALSE)-VLOOKUP($A64,DATA!$A$3:$F$301,3,FALSE))^2),"")</f>
        <v/>
      </c>
      <c r="AL64" s="14" t="str">
        <f>_xlfn.IFNA(SQRT((VLOOKUP(AL$1,DATA!$A$3:$F$301,2,FALSE)-VLOOKUP($A64,DATA!$A$3:$F$301,2,FALSE))^2+(VLOOKUP(AL$1,DATA!$A$3:$F$301,3,FALSE)-VLOOKUP($A64,DATA!$A$3:$F$301,3,FALSE))^2),"")</f>
        <v/>
      </c>
      <c r="AM64" s="14" t="str">
        <f>_xlfn.IFNA(SQRT((VLOOKUP(AM$1,DATA!$A$3:$F$301,2,FALSE)-VLOOKUP($A64,DATA!$A$3:$F$301,2,FALSE))^2+(VLOOKUP(AM$1,DATA!$A$3:$F$301,3,FALSE)-VLOOKUP($A64,DATA!$A$3:$F$301,3,FALSE))^2),"")</f>
        <v/>
      </c>
      <c r="AN64" s="14" t="str">
        <f>_xlfn.IFNA(SQRT((VLOOKUP(AN$1,DATA!$A$3:$F$301,2,FALSE)-VLOOKUP($A64,DATA!$A$3:$F$301,2,FALSE))^2+(VLOOKUP(AN$1,DATA!$A$3:$F$301,3,FALSE)-VLOOKUP($A64,DATA!$A$3:$F$301,3,FALSE))^2),"")</f>
        <v/>
      </c>
      <c r="AO64" s="14" t="str">
        <f>_xlfn.IFNA(SQRT((VLOOKUP(AO$1,DATA!$A$3:$F$301,2,FALSE)-VLOOKUP($A64,DATA!$A$3:$F$301,2,FALSE))^2+(VLOOKUP(AO$1,DATA!$A$3:$F$301,3,FALSE)-VLOOKUP($A64,DATA!$A$3:$F$301,3,FALSE))^2),"")</f>
        <v/>
      </c>
      <c r="AP64" s="14" t="str">
        <f>_xlfn.IFNA(SQRT((VLOOKUP(AP$1,DATA!$A$3:$F$301,2,FALSE)-VLOOKUP($A64,DATA!$A$3:$F$301,2,FALSE))^2+(VLOOKUP(AP$1,DATA!$A$3:$F$301,3,FALSE)-VLOOKUP($A64,DATA!$A$3:$F$301,3,FALSE))^2),"")</f>
        <v/>
      </c>
      <c r="AQ64" s="14" t="str">
        <f>_xlfn.IFNA(SQRT((VLOOKUP(AQ$1,DATA!$A$3:$F$301,2,FALSE)-VLOOKUP($A64,DATA!$A$3:$F$301,2,FALSE))^2+(VLOOKUP(AQ$1,DATA!$A$3:$F$301,3,FALSE)-VLOOKUP($A64,DATA!$A$3:$F$301,3,FALSE))^2),"")</f>
        <v/>
      </c>
      <c r="AR64" s="14" t="str">
        <f>_xlfn.IFNA(SQRT((VLOOKUP(AR$1,DATA!$A$3:$F$301,2,FALSE)-VLOOKUP($A64,DATA!$A$3:$F$301,2,FALSE))^2+(VLOOKUP(AR$1,DATA!$A$3:$F$301,3,FALSE)-VLOOKUP($A64,DATA!$A$3:$F$301,3,FALSE))^2),"")</f>
        <v/>
      </c>
      <c r="AS64" s="14" t="str">
        <f>_xlfn.IFNA(SQRT((VLOOKUP(AS$1,DATA!$A$3:$F$301,2,FALSE)-VLOOKUP($A64,DATA!$A$3:$F$301,2,FALSE))^2+(VLOOKUP(AS$1,DATA!$A$3:$F$301,3,FALSE)-VLOOKUP($A64,DATA!$A$3:$F$301,3,FALSE))^2),"")</f>
        <v/>
      </c>
      <c r="AT64" s="14" t="str">
        <f>_xlfn.IFNA(SQRT((VLOOKUP(AT$1,DATA!$A$3:$F$301,2,FALSE)-VLOOKUP($A64,DATA!$A$3:$F$301,2,FALSE))^2+(VLOOKUP(AT$1,DATA!$A$3:$F$301,3,FALSE)-VLOOKUP($A64,DATA!$A$3:$F$301,3,FALSE))^2),"")</f>
        <v/>
      </c>
      <c r="AU64" s="14" t="str">
        <f>_xlfn.IFNA(SQRT((VLOOKUP(AU$1,DATA!$A$3:$F$301,2,FALSE)-VLOOKUP($A64,DATA!$A$3:$F$301,2,FALSE))^2+(VLOOKUP(AU$1,DATA!$A$3:$F$301,3,FALSE)-VLOOKUP($A64,DATA!$A$3:$F$301,3,FALSE))^2),"")</f>
        <v/>
      </c>
      <c r="AV64" s="14" t="str">
        <f>_xlfn.IFNA(SQRT((VLOOKUP(AV$1,DATA!$A$3:$F$301,2,FALSE)-VLOOKUP($A64,DATA!$A$3:$F$301,2,FALSE))^2+(VLOOKUP(AV$1,DATA!$A$3:$F$301,3,FALSE)-VLOOKUP($A64,DATA!$A$3:$F$301,3,FALSE))^2),"")</f>
        <v/>
      </c>
      <c r="AW64" s="14" t="str">
        <f>_xlfn.IFNA(SQRT((VLOOKUP(AW$1,DATA!$A$3:$F$301,2,FALSE)-VLOOKUP($A64,DATA!$A$3:$F$301,2,FALSE))^2+(VLOOKUP(AW$1,DATA!$A$3:$F$301,3,FALSE)-VLOOKUP($A64,DATA!$A$3:$F$301,3,FALSE))^2),"")</f>
        <v/>
      </c>
      <c r="AX64" s="14" t="str">
        <f>_xlfn.IFNA(SQRT((VLOOKUP(AX$1,DATA!$A$3:$F$301,2,FALSE)-VLOOKUP($A64,DATA!$A$3:$F$301,2,FALSE))^2+(VLOOKUP(AX$1,DATA!$A$3:$F$301,3,FALSE)-VLOOKUP($A64,DATA!$A$3:$F$301,3,FALSE))^2),"")</f>
        <v/>
      </c>
      <c r="AY64" s="14" t="str">
        <f>_xlfn.IFNA(SQRT((VLOOKUP(AY$1,DATA!$A$3:$F$301,2,FALSE)-VLOOKUP($A64,DATA!$A$3:$F$301,2,FALSE))^2+(VLOOKUP(AY$1,DATA!$A$3:$F$301,3,FALSE)-VLOOKUP($A64,DATA!$A$3:$F$301,3,FALSE))^2),"")</f>
        <v/>
      </c>
      <c r="AZ64" s="14" t="str">
        <f>_xlfn.IFNA(SQRT((VLOOKUP(AZ$1,DATA!$A$3:$F$301,2,FALSE)-VLOOKUP($A64,DATA!$A$3:$F$301,2,FALSE))^2+(VLOOKUP(AZ$1,DATA!$A$3:$F$301,3,FALSE)-VLOOKUP($A64,DATA!$A$3:$F$301,3,FALSE))^2),"")</f>
        <v/>
      </c>
      <c r="BA64" s="14" t="str">
        <f>_xlfn.IFNA(SQRT((VLOOKUP(BA$1,DATA!$A$3:$F$301,2,FALSE)-VLOOKUP($A64,DATA!$A$3:$F$301,2,FALSE))^2+(VLOOKUP(BA$1,DATA!$A$3:$F$301,3,FALSE)-VLOOKUP($A64,DATA!$A$3:$F$301,3,FALSE))^2),"")</f>
        <v/>
      </c>
      <c r="BB64" s="14" t="str">
        <f>_xlfn.IFNA(SQRT((VLOOKUP(BB$1,DATA!$A$3:$F$301,2,FALSE)-VLOOKUP($A64,DATA!$A$3:$F$301,2,FALSE))^2+(VLOOKUP(BB$1,DATA!$A$3:$F$301,3,FALSE)-VLOOKUP($A64,DATA!$A$3:$F$301,3,FALSE))^2),"")</f>
        <v/>
      </c>
      <c r="BC64" s="14" t="str">
        <f>_xlfn.IFNA(SQRT((VLOOKUP(BC$1,DATA!$A$3:$F$301,2,FALSE)-VLOOKUP($A64,DATA!$A$3:$F$301,2,FALSE))^2+(VLOOKUP(BC$1,DATA!$A$3:$F$301,3,FALSE)-VLOOKUP($A64,DATA!$A$3:$F$301,3,FALSE))^2),"")</f>
        <v/>
      </c>
      <c r="BD64" s="14" t="str">
        <f>_xlfn.IFNA(SQRT((VLOOKUP(BD$1,DATA!$A$3:$F$301,2,FALSE)-VLOOKUP($A64,DATA!$A$3:$F$301,2,FALSE))^2+(VLOOKUP(BD$1,DATA!$A$3:$F$301,3,FALSE)-VLOOKUP($A64,DATA!$A$3:$F$301,3,FALSE))^2),"")</f>
        <v/>
      </c>
      <c r="BE64" s="14" t="str">
        <f>_xlfn.IFNA(SQRT((VLOOKUP(BE$1,DATA!$A$3:$F$301,2,FALSE)-VLOOKUP($A64,DATA!$A$3:$F$301,2,FALSE))^2+(VLOOKUP(BE$1,DATA!$A$3:$F$301,3,FALSE)-VLOOKUP($A64,DATA!$A$3:$F$301,3,FALSE))^2),"")</f>
        <v/>
      </c>
      <c r="BF64" s="14" t="str">
        <f>_xlfn.IFNA(SQRT((VLOOKUP(BF$1,DATA!$A$3:$F$301,2,FALSE)-VLOOKUP($A64,DATA!$A$3:$F$301,2,FALSE))^2+(VLOOKUP(BF$1,DATA!$A$3:$F$301,3,FALSE)-VLOOKUP($A64,DATA!$A$3:$F$301,3,FALSE))^2),"")</f>
        <v/>
      </c>
      <c r="BG64" s="14" t="str">
        <f>_xlfn.IFNA(SQRT((VLOOKUP(BG$1,DATA!$A$3:$F$301,2,FALSE)-VLOOKUP($A64,DATA!$A$3:$F$301,2,FALSE))^2+(VLOOKUP(BG$1,DATA!$A$3:$F$301,3,FALSE)-VLOOKUP($A64,DATA!$A$3:$F$301,3,FALSE))^2),"")</f>
        <v/>
      </c>
      <c r="BH64" s="14" t="str">
        <f>_xlfn.IFNA(SQRT((VLOOKUP(BH$1,DATA!$A$3:$F$301,2,FALSE)-VLOOKUP($A64,DATA!$A$3:$F$301,2,FALSE))^2+(VLOOKUP(BH$1,DATA!$A$3:$F$301,3,FALSE)-VLOOKUP($A64,DATA!$A$3:$F$301,3,FALSE))^2),"")</f>
        <v/>
      </c>
      <c r="BI64" s="14" t="str">
        <f>_xlfn.IFNA(SQRT((VLOOKUP(BI$1,DATA!$A$3:$F$301,2,FALSE)-VLOOKUP($A64,DATA!$A$3:$F$301,2,FALSE))^2+(VLOOKUP(BI$1,DATA!$A$3:$F$301,3,FALSE)-VLOOKUP($A64,DATA!$A$3:$F$301,3,FALSE))^2),"")</f>
        <v/>
      </c>
      <c r="BJ64" s="14" t="str">
        <f>_xlfn.IFNA(SQRT((VLOOKUP(BJ$1,DATA!$A$3:$F$301,2,FALSE)-VLOOKUP($A64,DATA!$A$3:$F$301,2,FALSE))^2+(VLOOKUP(BJ$1,DATA!$A$3:$F$301,3,FALSE)-VLOOKUP($A64,DATA!$A$3:$F$301,3,FALSE))^2),"")</f>
        <v/>
      </c>
      <c r="BK64" s="14" t="str">
        <f>_xlfn.IFNA(SQRT((VLOOKUP(BK$1,DATA!$A$3:$F$301,2,FALSE)-VLOOKUP($A64,DATA!$A$3:$F$301,2,FALSE))^2+(VLOOKUP(BK$1,DATA!$A$3:$F$301,3,FALSE)-VLOOKUP($A64,DATA!$A$3:$F$301,3,FALSE))^2),"")</f>
        <v/>
      </c>
      <c r="BL64" s="14" t="str">
        <f>_xlfn.IFNA(SQRT((VLOOKUP(BL$1,DATA!$A$3:$F$301,2,FALSE)-VLOOKUP($A64,DATA!$A$3:$F$301,2,FALSE))^2+(VLOOKUP(BL$1,DATA!$A$3:$F$301,3,FALSE)-VLOOKUP($A64,DATA!$A$3:$F$301,3,FALSE))^2),"")</f>
        <v/>
      </c>
      <c r="BM64" s="14" t="str">
        <f>_xlfn.IFNA(SQRT((VLOOKUP(BM$1,DATA!$A$3:$F$301,2,FALSE)-VLOOKUP($A64,DATA!$A$3:$F$301,2,FALSE))^2+(VLOOKUP(BM$1,DATA!$A$3:$F$301,3,FALSE)-VLOOKUP($A64,DATA!$A$3:$F$301,3,FALSE))^2),"")</f>
        <v/>
      </c>
      <c r="BN64" s="14" t="str">
        <f>_xlfn.IFNA(SQRT((VLOOKUP(BN$1,DATA!$A$3:$F$301,2,FALSE)-VLOOKUP($A64,DATA!$A$3:$F$301,2,FALSE))^2+(VLOOKUP(BN$1,DATA!$A$3:$F$301,3,FALSE)-VLOOKUP($A64,DATA!$A$3:$F$301,3,FALSE))^2),"")</f>
        <v/>
      </c>
      <c r="BO64" s="14" t="str">
        <f>_xlfn.IFNA(SQRT((VLOOKUP(BO$1,DATA!$A$3:$F$301,2,FALSE)-VLOOKUP($A64,DATA!$A$3:$F$301,2,FALSE))^2+(VLOOKUP(BO$1,DATA!$A$3:$F$301,3,FALSE)-VLOOKUP($A64,DATA!$A$3:$F$301,3,FALSE))^2),"")</f>
        <v/>
      </c>
      <c r="BP64" s="14" t="str">
        <f>_xlfn.IFNA(SQRT((VLOOKUP(BP$1,DATA!$A$3:$F$301,2,FALSE)-VLOOKUP($A64,DATA!$A$3:$F$301,2,FALSE))^2+(VLOOKUP(BP$1,DATA!$A$3:$F$301,3,FALSE)-VLOOKUP($A64,DATA!$A$3:$F$301,3,FALSE))^2),"")</f>
        <v/>
      </c>
      <c r="BQ64" s="14" t="str">
        <f>_xlfn.IFNA(SQRT((VLOOKUP(BQ$1,DATA!$A$3:$F$301,2,FALSE)-VLOOKUP($A64,DATA!$A$3:$F$301,2,FALSE))^2+(VLOOKUP(BQ$1,DATA!$A$3:$F$301,3,FALSE)-VLOOKUP($A64,DATA!$A$3:$F$301,3,FALSE))^2),"")</f>
        <v/>
      </c>
      <c r="BR64" s="14" t="str">
        <f>_xlfn.IFNA(SQRT((VLOOKUP(BR$1,DATA!$A$3:$F$301,2,FALSE)-VLOOKUP($A64,DATA!$A$3:$F$301,2,FALSE))^2+(VLOOKUP(BR$1,DATA!$A$3:$F$301,3,FALSE)-VLOOKUP($A64,DATA!$A$3:$F$301,3,FALSE))^2),"")</f>
        <v/>
      </c>
      <c r="BS64" s="14" t="str">
        <f>_xlfn.IFNA(SQRT((VLOOKUP(BS$1,DATA!$A$3:$F$301,2,FALSE)-VLOOKUP($A64,DATA!$A$3:$F$301,2,FALSE))^2+(VLOOKUP(BS$1,DATA!$A$3:$F$301,3,FALSE)-VLOOKUP($A64,DATA!$A$3:$F$301,3,FALSE))^2),"")</f>
        <v/>
      </c>
      <c r="BT64" s="14" t="str">
        <f>_xlfn.IFNA(SQRT((VLOOKUP(BT$1,DATA!$A$3:$F$301,2,FALSE)-VLOOKUP($A64,DATA!$A$3:$F$301,2,FALSE))^2+(VLOOKUP(BT$1,DATA!$A$3:$F$301,3,FALSE)-VLOOKUP($A64,DATA!$A$3:$F$301,3,FALSE))^2),"")</f>
        <v/>
      </c>
      <c r="BU64" s="14" t="str">
        <f>_xlfn.IFNA(SQRT((VLOOKUP(BU$1,DATA!$A$3:$F$301,2,FALSE)-VLOOKUP($A64,DATA!$A$3:$F$301,2,FALSE))^2+(VLOOKUP(BU$1,DATA!$A$3:$F$301,3,FALSE)-VLOOKUP($A64,DATA!$A$3:$F$301,3,FALSE))^2),"")</f>
        <v/>
      </c>
      <c r="BV64" s="14" t="str">
        <f>_xlfn.IFNA(SQRT((VLOOKUP(BV$1,DATA!$A$3:$F$301,2,FALSE)-VLOOKUP($A64,DATA!$A$3:$F$301,2,FALSE))^2+(VLOOKUP(BV$1,DATA!$A$3:$F$301,3,FALSE)-VLOOKUP($A64,DATA!$A$3:$F$301,3,FALSE))^2),"")</f>
        <v/>
      </c>
      <c r="BW64" s="14" t="str">
        <f>_xlfn.IFNA(SQRT((VLOOKUP(BW$1,DATA!$A$3:$F$301,2,FALSE)-VLOOKUP($A64,DATA!$A$3:$F$301,2,FALSE))^2+(VLOOKUP(BW$1,DATA!$A$3:$F$301,3,FALSE)-VLOOKUP($A64,DATA!$A$3:$F$301,3,FALSE))^2),"")</f>
        <v/>
      </c>
      <c r="BX64" s="14" t="str">
        <f>_xlfn.IFNA(SQRT((VLOOKUP(BX$1,DATA!$A$3:$F$301,2,FALSE)-VLOOKUP($A64,DATA!$A$3:$F$301,2,FALSE))^2+(VLOOKUP(BX$1,DATA!$A$3:$F$301,3,FALSE)-VLOOKUP($A64,DATA!$A$3:$F$301,3,FALSE))^2),"")</f>
        <v/>
      </c>
      <c r="BY64" s="14" t="str">
        <f>_xlfn.IFNA(SQRT((VLOOKUP(BY$1,DATA!$A$3:$F$301,2,FALSE)-VLOOKUP($A64,DATA!$A$3:$F$301,2,FALSE))^2+(VLOOKUP(BY$1,DATA!$A$3:$F$301,3,FALSE)-VLOOKUP($A64,DATA!$A$3:$F$301,3,FALSE))^2),"")</f>
        <v/>
      </c>
      <c r="BZ64" s="14" t="str">
        <f>_xlfn.IFNA(SQRT((VLOOKUP(BZ$1,DATA!$A$3:$F$301,2,FALSE)-VLOOKUP($A64,DATA!$A$3:$F$301,2,FALSE))^2+(VLOOKUP(BZ$1,DATA!$A$3:$F$301,3,FALSE)-VLOOKUP($A64,DATA!$A$3:$F$301,3,FALSE))^2),"")</f>
        <v/>
      </c>
      <c r="CA64" s="14" t="str">
        <f>_xlfn.IFNA(SQRT((VLOOKUP(CA$1,DATA!$A$3:$F$301,2,FALSE)-VLOOKUP($A64,DATA!$A$3:$F$301,2,FALSE))^2+(VLOOKUP(CA$1,DATA!$A$3:$F$301,3,FALSE)-VLOOKUP($A64,DATA!$A$3:$F$301,3,FALSE))^2),"")</f>
        <v/>
      </c>
      <c r="CB64" s="14" t="str">
        <f>_xlfn.IFNA(SQRT((VLOOKUP(CB$1,DATA!$A$3:$F$301,2,FALSE)-VLOOKUP($A64,DATA!$A$3:$F$301,2,FALSE))^2+(VLOOKUP(CB$1,DATA!$A$3:$F$301,3,FALSE)-VLOOKUP($A64,DATA!$A$3:$F$301,3,FALSE))^2),"")</f>
        <v/>
      </c>
      <c r="CC64" s="14" t="str">
        <f>_xlfn.IFNA(SQRT((VLOOKUP(CC$1,DATA!$A$3:$F$301,2,FALSE)-VLOOKUP($A64,DATA!$A$3:$F$301,2,FALSE))^2+(VLOOKUP(CC$1,DATA!$A$3:$F$301,3,FALSE)-VLOOKUP($A64,DATA!$A$3:$F$301,3,FALSE))^2),"")</f>
        <v/>
      </c>
      <c r="CD64" s="14" t="str">
        <f>_xlfn.IFNA(SQRT((VLOOKUP(CD$1,DATA!$A$3:$F$301,2,FALSE)-VLOOKUP($A64,DATA!$A$3:$F$301,2,FALSE))^2+(VLOOKUP(CD$1,DATA!$A$3:$F$301,3,FALSE)-VLOOKUP($A64,DATA!$A$3:$F$301,3,FALSE))^2),"")</f>
        <v/>
      </c>
      <c r="CE64" s="14" t="str">
        <f>_xlfn.IFNA(SQRT((VLOOKUP(CE$1,DATA!$A$3:$F$301,2,FALSE)-VLOOKUP($A64,DATA!$A$3:$F$301,2,FALSE))^2+(VLOOKUP(CE$1,DATA!$A$3:$F$301,3,FALSE)-VLOOKUP($A64,DATA!$A$3:$F$301,3,FALSE))^2),"")</f>
        <v/>
      </c>
      <c r="CF64" s="14" t="str">
        <f>_xlfn.IFNA(SQRT((VLOOKUP(CF$1,DATA!$A$3:$F$301,2,FALSE)-VLOOKUP($A64,DATA!$A$3:$F$301,2,FALSE))^2+(VLOOKUP(CF$1,DATA!$A$3:$F$301,3,FALSE)-VLOOKUP($A64,DATA!$A$3:$F$301,3,FALSE))^2),"")</f>
        <v/>
      </c>
      <c r="CG64" s="14" t="str">
        <f>_xlfn.IFNA(SQRT((VLOOKUP(CG$1,DATA!$A$3:$F$301,2,FALSE)-VLOOKUP($A64,DATA!$A$3:$F$301,2,FALSE))^2+(VLOOKUP(CG$1,DATA!$A$3:$F$301,3,FALSE)-VLOOKUP($A64,DATA!$A$3:$F$301,3,FALSE))^2),"")</f>
        <v/>
      </c>
      <c r="CH64" s="14" t="str">
        <f>_xlfn.IFNA(SQRT((VLOOKUP(CH$1,DATA!$A$3:$F$301,2,FALSE)-VLOOKUP($A64,DATA!$A$3:$F$301,2,FALSE))^2+(VLOOKUP(CH$1,DATA!$A$3:$F$301,3,FALSE)-VLOOKUP($A64,DATA!$A$3:$F$301,3,FALSE))^2),"")</f>
        <v/>
      </c>
      <c r="CI64" s="14" t="str">
        <f>_xlfn.IFNA(SQRT((VLOOKUP(CI$1,DATA!$A$3:$F$301,2,FALSE)-VLOOKUP($A64,DATA!$A$3:$F$301,2,FALSE))^2+(VLOOKUP(CI$1,DATA!$A$3:$F$301,3,FALSE)-VLOOKUP($A64,DATA!$A$3:$F$301,3,FALSE))^2),"")</f>
        <v/>
      </c>
      <c r="CJ64" s="14" t="str">
        <f>_xlfn.IFNA(SQRT((VLOOKUP(CJ$1,DATA!$A$3:$F$301,2,FALSE)-VLOOKUP($A64,DATA!$A$3:$F$301,2,FALSE))^2+(VLOOKUP(CJ$1,DATA!$A$3:$F$301,3,FALSE)-VLOOKUP($A64,DATA!$A$3:$F$301,3,FALSE))^2),"")</f>
        <v/>
      </c>
      <c r="CK64" s="14" t="str">
        <f>_xlfn.IFNA(SQRT((VLOOKUP(CK$1,DATA!$A$3:$F$301,2,FALSE)-VLOOKUP($A64,DATA!$A$3:$F$301,2,FALSE))^2+(VLOOKUP(CK$1,DATA!$A$3:$F$301,3,FALSE)-VLOOKUP($A64,DATA!$A$3:$F$301,3,FALSE))^2),"")</f>
        <v/>
      </c>
      <c r="CL64" s="14" t="str">
        <f>_xlfn.IFNA(SQRT((VLOOKUP(CL$1,DATA!$A$3:$F$301,2,FALSE)-VLOOKUP($A64,DATA!$A$3:$F$301,2,FALSE))^2+(VLOOKUP(CL$1,DATA!$A$3:$F$301,3,FALSE)-VLOOKUP($A64,DATA!$A$3:$F$301,3,FALSE))^2),"")</f>
        <v/>
      </c>
      <c r="CM64" s="14" t="str">
        <f>_xlfn.IFNA(SQRT((VLOOKUP(CM$1,DATA!$A$3:$F$301,2,FALSE)-VLOOKUP($A64,DATA!$A$3:$F$301,2,FALSE))^2+(VLOOKUP(CM$1,DATA!$A$3:$F$301,3,FALSE)-VLOOKUP($A64,DATA!$A$3:$F$301,3,FALSE))^2),"")</f>
        <v/>
      </c>
      <c r="CN64" s="14" t="str">
        <f>_xlfn.IFNA(SQRT((VLOOKUP(CN$1,DATA!$A$3:$F$301,2,FALSE)-VLOOKUP($A64,DATA!$A$3:$F$301,2,FALSE))^2+(VLOOKUP(CN$1,DATA!$A$3:$F$301,3,FALSE)-VLOOKUP($A64,DATA!$A$3:$F$301,3,FALSE))^2),"")</f>
        <v/>
      </c>
      <c r="CO64" s="14" t="str">
        <f>_xlfn.IFNA(SQRT((VLOOKUP(CO$1,DATA!$A$3:$F$301,2,FALSE)-VLOOKUP($A64,DATA!$A$3:$F$301,2,FALSE))^2+(VLOOKUP(CO$1,DATA!$A$3:$F$301,3,FALSE)-VLOOKUP($A64,DATA!$A$3:$F$301,3,FALSE))^2),"")</f>
        <v/>
      </c>
      <c r="CP64" s="14" t="str">
        <f>_xlfn.IFNA(SQRT((VLOOKUP(CP$1,DATA!$A$3:$F$301,2,FALSE)-VLOOKUP($A64,DATA!$A$3:$F$301,2,FALSE))^2+(VLOOKUP(CP$1,DATA!$A$3:$F$301,3,FALSE)-VLOOKUP($A64,DATA!$A$3:$F$301,3,FALSE))^2),"")</f>
        <v/>
      </c>
      <c r="CQ64" s="14" t="str">
        <f>_xlfn.IFNA(SQRT((VLOOKUP(CQ$1,DATA!$A$3:$F$301,2,FALSE)-VLOOKUP($A64,DATA!$A$3:$F$301,2,FALSE))^2+(VLOOKUP(CQ$1,DATA!$A$3:$F$301,3,FALSE)-VLOOKUP($A64,DATA!$A$3:$F$301,3,FALSE))^2),"")</f>
        <v/>
      </c>
      <c r="CR64" s="14" t="str">
        <f>_xlfn.IFNA(SQRT((VLOOKUP(CR$1,DATA!$A$3:$F$301,2,FALSE)-VLOOKUP($A64,DATA!$A$3:$F$301,2,FALSE))^2+(VLOOKUP(CR$1,DATA!$A$3:$F$301,3,FALSE)-VLOOKUP($A64,DATA!$A$3:$F$301,3,FALSE))^2),"")</f>
        <v/>
      </c>
      <c r="CS64" s="14" t="str">
        <f>_xlfn.IFNA(SQRT((VLOOKUP(CS$1,DATA!$A$3:$F$301,2,FALSE)-VLOOKUP($A64,DATA!$A$3:$F$301,2,FALSE))^2+(VLOOKUP(CS$1,DATA!$A$3:$F$301,3,FALSE)-VLOOKUP($A64,DATA!$A$3:$F$301,3,FALSE))^2),"")</f>
        <v/>
      </c>
      <c r="CT64" s="14" t="str">
        <f>_xlfn.IFNA(SQRT((VLOOKUP(CT$1,DATA!$A$3:$F$301,2,FALSE)-VLOOKUP($A64,DATA!$A$3:$F$301,2,FALSE))^2+(VLOOKUP(CT$1,DATA!$A$3:$F$301,3,FALSE)-VLOOKUP($A64,DATA!$A$3:$F$301,3,FALSE))^2),"")</f>
        <v/>
      </c>
      <c r="CU64" s="14" t="str">
        <f>_xlfn.IFNA(SQRT((VLOOKUP(CU$1,DATA!$A$3:$F$301,2,FALSE)-VLOOKUP($A64,DATA!$A$3:$F$301,2,FALSE))^2+(VLOOKUP(CU$1,DATA!$A$3:$F$301,3,FALSE)-VLOOKUP($A64,DATA!$A$3:$F$301,3,FALSE))^2),"")</f>
        <v/>
      </c>
      <c r="CV64" s="14" t="str">
        <f>_xlfn.IFNA(SQRT((VLOOKUP(CV$1,DATA!$A$3:$F$301,2,FALSE)-VLOOKUP($A64,DATA!$A$3:$F$301,2,FALSE))^2+(VLOOKUP(CV$1,DATA!$A$3:$F$301,3,FALSE)-VLOOKUP($A64,DATA!$A$3:$F$301,3,FALSE))^2),"")</f>
        <v/>
      </c>
      <c r="CW64" s="14" t="str">
        <f>_xlfn.IFNA(SQRT((VLOOKUP(CW$1,DATA!$A$3:$F$301,2,FALSE)-VLOOKUP($A64,DATA!$A$3:$F$301,2,FALSE))^2+(VLOOKUP(CW$1,DATA!$A$3:$F$301,3,FALSE)-VLOOKUP($A64,DATA!$A$3:$F$301,3,FALSE))^2),"")</f>
        <v/>
      </c>
      <c r="CX64" s="14" t="str">
        <f>_xlfn.IFNA(SQRT((VLOOKUP(CX$1,DATA!$A$3:$F$301,2,FALSE)-VLOOKUP($A64,DATA!$A$3:$F$301,2,FALSE))^2+(VLOOKUP(CX$1,DATA!$A$3:$F$301,3,FALSE)-VLOOKUP($A64,DATA!$A$3:$F$301,3,FALSE))^2),"")</f>
        <v/>
      </c>
    </row>
    <row r="65" spans="1:102">
      <c r="A65" s="13">
        <v>64</v>
      </c>
      <c r="B65" s="14" t="str">
        <f>_xlfn.IFNA(SQRT((VLOOKUP(B$1,DATA!$A$3:$F$301,2,FALSE)-VLOOKUP($A65,DATA!$A$3:$F$301,2,FALSE))^2+(VLOOKUP(B$1,DATA!$A$3:$F$301,3,FALSE)-VLOOKUP($A65,DATA!$A$3:$F$301,3,FALSE))^2),"")</f>
        <v/>
      </c>
      <c r="C65" s="14" t="str">
        <f>_xlfn.IFNA(SQRT((VLOOKUP(C$1,DATA!$A$3:$F$301,2,FALSE)-VLOOKUP($A65,DATA!$A$3:$F$301,2,FALSE))^2+(VLOOKUP(C$1,DATA!$A$3:$F$301,3,FALSE)-VLOOKUP($A65,DATA!$A$3:$F$301,3,FALSE))^2),"")</f>
        <v/>
      </c>
      <c r="D65" s="14" t="str">
        <f>_xlfn.IFNA(SQRT((VLOOKUP(D$1,DATA!$A$3:$F$301,2,FALSE)-VLOOKUP($A65,DATA!$A$3:$F$301,2,FALSE))^2+(VLOOKUP(D$1,DATA!$A$3:$F$301,3,FALSE)-VLOOKUP($A65,DATA!$A$3:$F$301,3,FALSE))^2),"")</f>
        <v/>
      </c>
      <c r="E65" s="14" t="str">
        <f>_xlfn.IFNA(SQRT((VLOOKUP(E$1,DATA!$A$3:$F$301,2,FALSE)-VLOOKUP($A65,DATA!$A$3:$F$301,2,FALSE))^2+(VLOOKUP(E$1,DATA!$A$3:$F$301,3,FALSE)-VLOOKUP($A65,DATA!$A$3:$F$301,3,FALSE))^2),"")</f>
        <v/>
      </c>
      <c r="F65" s="14" t="str">
        <f>_xlfn.IFNA(SQRT((VLOOKUP(F$1,DATA!$A$3:$F$301,2,FALSE)-VLOOKUP($A65,DATA!$A$3:$F$301,2,FALSE))^2+(VLOOKUP(F$1,DATA!$A$3:$F$301,3,FALSE)-VLOOKUP($A65,DATA!$A$3:$F$301,3,FALSE))^2),"")</f>
        <v/>
      </c>
      <c r="G65" s="14" t="str">
        <f>_xlfn.IFNA(SQRT((VLOOKUP(G$1,DATA!$A$3:$F$301,2,FALSE)-VLOOKUP($A65,DATA!$A$3:$F$301,2,FALSE))^2+(VLOOKUP(G$1,DATA!$A$3:$F$301,3,FALSE)-VLOOKUP($A65,DATA!$A$3:$F$301,3,FALSE))^2),"")</f>
        <v/>
      </c>
      <c r="H65" s="14" t="str">
        <f>_xlfn.IFNA(SQRT((VLOOKUP(H$1,DATA!$A$3:$F$301,2,FALSE)-VLOOKUP($A65,DATA!$A$3:$F$301,2,FALSE))^2+(VLOOKUP(H$1,DATA!$A$3:$F$301,3,FALSE)-VLOOKUP($A65,DATA!$A$3:$F$301,3,FALSE))^2),"")</f>
        <v/>
      </c>
      <c r="I65" s="14" t="str">
        <f>_xlfn.IFNA(SQRT((VLOOKUP(I$1,DATA!$A$3:$F$301,2,FALSE)-VLOOKUP($A65,DATA!$A$3:$F$301,2,FALSE))^2+(VLOOKUP(I$1,DATA!$A$3:$F$301,3,FALSE)-VLOOKUP($A65,DATA!$A$3:$F$301,3,FALSE))^2),"")</f>
        <v/>
      </c>
      <c r="J65" s="14" t="str">
        <f>_xlfn.IFNA(SQRT((VLOOKUP(J$1,DATA!$A$3:$F$301,2,FALSE)-VLOOKUP($A65,DATA!$A$3:$F$301,2,FALSE))^2+(VLOOKUP(J$1,DATA!$A$3:$F$301,3,FALSE)-VLOOKUP($A65,DATA!$A$3:$F$301,3,FALSE))^2),"")</f>
        <v/>
      </c>
      <c r="K65" s="14" t="str">
        <f>_xlfn.IFNA(SQRT((VLOOKUP(K$1,DATA!$A$3:$F$301,2,FALSE)-VLOOKUP($A65,DATA!$A$3:$F$301,2,FALSE))^2+(VLOOKUP(K$1,DATA!$A$3:$F$301,3,FALSE)-VLOOKUP($A65,DATA!$A$3:$F$301,3,FALSE))^2),"")</f>
        <v/>
      </c>
      <c r="L65" s="14" t="str">
        <f>_xlfn.IFNA(SQRT((VLOOKUP(L$1,DATA!$A$3:$F$301,2,FALSE)-VLOOKUP($A65,DATA!$A$3:$F$301,2,FALSE))^2+(VLOOKUP(L$1,DATA!$A$3:$F$301,3,FALSE)-VLOOKUP($A65,DATA!$A$3:$F$301,3,FALSE))^2),"")</f>
        <v/>
      </c>
      <c r="M65" s="14" t="str">
        <f>_xlfn.IFNA(SQRT((VLOOKUP(M$1,DATA!$A$3:$F$301,2,FALSE)-VLOOKUP($A65,DATA!$A$3:$F$301,2,FALSE))^2+(VLOOKUP(M$1,DATA!$A$3:$F$301,3,FALSE)-VLOOKUP($A65,DATA!$A$3:$F$301,3,FALSE))^2),"")</f>
        <v/>
      </c>
      <c r="N65" s="14" t="str">
        <f>_xlfn.IFNA(SQRT((VLOOKUP(N$1,DATA!$A$3:$F$301,2,FALSE)-VLOOKUP($A65,DATA!$A$3:$F$301,2,FALSE))^2+(VLOOKUP(N$1,DATA!$A$3:$F$301,3,FALSE)-VLOOKUP($A65,DATA!$A$3:$F$301,3,FALSE))^2),"")</f>
        <v/>
      </c>
      <c r="O65" s="14" t="str">
        <f>_xlfn.IFNA(SQRT((VLOOKUP(O$1,DATA!$A$3:$F$301,2,FALSE)-VLOOKUP($A65,DATA!$A$3:$F$301,2,FALSE))^2+(VLOOKUP(O$1,DATA!$A$3:$F$301,3,FALSE)-VLOOKUP($A65,DATA!$A$3:$F$301,3,FALSE))^2),"")</f>
        <v/>
      </c>
      <c r="P65" s="14" t="str">
        <f>_xlfn.IFNA(SQRT((VLOOKUP(P$1,DATA!$A$3:$F$301,2,FALSE)-VLOOKUP($A65,DATA!$A$3:$F$301,2,FALSE))^2+(VLOOKUP(P$1,DATA!$A$3:$F$301,3,FALSE)-VLOOKUP($A65,DATA!$A$3:$F$301,3,FALSE))^2),"")</f>
        <v/>
      </c>
      <c r="Q65" s="14" t="str">
        <f>_xlfn.IFNA(SQRT((VLOOKUP(Q$1,DATA!$A$3:$F$301,2,FALSE)-VLOOKUP($A65,DATA!$A$3:$F$301,2,FALSE))^2+(VLOOKUP(Q$1,DATA!$A$3:$F$301,3,FALSE)-VLOOKUP($A65,DATA!$A$3:$F$301,3,FALSE))^2),"")</f>
        <v/>
      </c>
      <c r="R65" s="14" t="str">
        <f>_xlfn.IFNA(SQRT((VLOOKUP(R$1,DATA!$A$3:$F$301,2,FALSE)-VLOOKUP($A65,DATA!$A$3:$F$301,2,FALSE))^2+(VLOOKUP(R$1,DATA!$A$3:$F$301,3,FALSE)-VLOOKUP($A65,DATA!$A$3:$F$301,3,FALSE))^2),"")</f>
        <v/>
      </c>
      <c r="S65" s="14" t="str">
        <f>_xlfn.IFNA(SQRT((VLOOKUP(S$1,DATA!$A$3:$F$301,2,FALSE)-VLOOKUP($A65,DATA!$A$3:$F$301,2,FALSE))^2+(VLOOKUP(S$1,DATA!$A$3:$F$301,3,FALSE)-VLOOKUP($A65,DATA!$A$3:$F$301,3,FALSE))^2),"")</f>
        <v/>
      </c>
      <c r="T65" s="14" t="str">
        <f>_xlfn.IFNA(SQRT((VLOOKUP(T$1,DATA!$A$3:$F$301,2,FALSE)-VLOOKUP($A65,DATA!$A$3:$F$301,2,FALSE))^2+(VLOOKUP(T$1,DATA!$A$3:$F$301,3,FALSE)-VLOOKUP($A65,DATA!$A$3:$F$301,3,FALSE))^2),"")</f>
        <v/>
      </c>
      <c r="U65" s="14" t="str">
        <f>_xlfn.IFNA(SQRT((VLOOKUP(U$1,DATA!$A$3:$F$301,2,FALSE)-VLOOKUP($A65,DATA!$A$3:$F$301,2,FALSE))^2+(VLOOKUP(U$1,DATA!$A$3:$F$301,3,FALSE)-VLOOKUP($A65,DATA!$A$3:$F$301,3,FALSE))^2),"")</f>
        <v/>
      </c>
      <c r="V65" s="14" t="str">
        <f>_xlfn.IFNA(SQRT((VLOOKUP(V$1,DATA!$A$3:$F$301,2,FALSE)-VLOOKUP($A65,DATA!$A$3:$F$301,2,FALSE))^2+(VLOOKUP(V$1,DATA!$A$3:$F$301,3,FALSE)-VLOOKUP($A65,DATA!$A$3:$F$301,3,FALSE))^2),"")</f>
        <v/>
      </c>
      <c r="W65" s="14" t="str">
        <f>_xlfn.IFNA(SQRT((VLOOKUP(W$1,DATA!$A$3:$F$301,2,FALSE)-VLOOKUP($A65,DATA!$A$3:$F$301,2,FALSE))^2+(VLOOKUP(W$1,DATA!$A$3:$F$301,3,FALSE)-VLOOKUP($A65,DATA!$A$3:$F$301,3,FALSE))^2),"")</f>
        <v/>
      </c>
      <c r="X65" s="14" t="str">
        <f>_xlfn.IFNA(SQRT((VLOOKUP(X$1,DATA!$A$3:$F$301,2,FALSE)-VLOOKUP($A65,DATA!$A$3:$F$301,2,FALSE))^2+(VLOOKUP(X$1,DATA!$A$3:$F$301,3,FALSE)-VLOOKUP($A65,DATA!$A$3:$F$301,3,FALSE))^2),"")</f>
        <v/>
      </c>
      <c r="Y65" s="14" t="str">
        <f>_xlfn.IFNA(SQRT((VLOOKUP(Y$1,DATA!$A$3:$F$301,2,FALSE)-VLOOKUP($A65,DATA!$A$3:$F$301,2,FALSE))^2+(VLOOKUP(Y$1,DATA!$A$3:$F$301,3,FALSE)-VLOOKUP($A65,DATA!$A$3:$F$301,3,FALSE))^2),"")</f>
        <v/>
      </c>
      <c r="Z65" s="14" t="str">
        <f>_xlfn.IFNA(SQRT((VLOOKUP(Z$1,DATA!$A$3:$F$301,2,FALSE)-VLOOKUP($A65,DATA!$A$3:$F$301,2,FALSE))^2+(VLOOKUP(Z$1,DATA!$A$3:$F$301,3,FALSE)-VLOOKUP($A65,DATA!$A$3:$F$301,3,FALSE))^2),"")</f>
        <v/>
      </c>
      <c r="AA65" s="14" t="str">
        <f>_xlfn.IFNA(SQRT((VLOOKUP(AA$1,DATA!$A$3:$F$301,2,FALSE)-VLOOKUP($A65,DATA!$A$3:$F$301,2,FALSE))^2+(VLOOKUP(AA$1,DATA!$A$3:$F$301,3,FALSE)-VLOOKUP($A65,DATA!$A$3:$F$301,3,FALSE))^2),"")</f>
        <v/>
      </c>
      <c r="AB65" s="14" t="str">
        <f>_xlfn.IFNA(SQRT((VLOOKUP(AB$1,DATA!$A$3:$F$301,2,FALSE)-VLOOKUP($A65,DATA!$A$3:$F$301,2,FALSE))^2+(VLOOKUP(AB$1,DATA!$A$3:$F$301,3,FALSE)-VLOOKUP($A65,DATA!$A$3:$F$301,3,FALSE))^2),"")</f>
        <v/>
      </c>
      <c r="AC65" s="14" t="str">
        <f>_xlfn.IFNA(SQRT((VLOOKUP(AC$1,DATA!$A$3:$F$301,2,FALSE)-VLOOKUP($A65,DATA!$A$3:$F$301,2,FALSE))^2+(VLOOKUP(AC$1,DATA!$A$3:$F$301,3,FALSE)-VLOOKUP($A65,DATA!$A$3:$F$301,3,FALSE))^2),"")</f>
        <v/>
      </c>
      <c r="AD65" s="14" t="str">
        <f>_xlfn.IFNA(SQRT((VLOOKUP(AD$1,DATA!$A$3:$F$301,2,FALSE)-VLOOKUP($A65,DATA!$A$3:$F$301,2,FALSE))^2+(VLOOKUP(AD$1,DATA!$A$3:$F$301,3,FALSE)-VLOOKUP($A65,DATA!$A$3:$F$301,3,FALSE))^2),"")</f>
        <v/>
      </c>
      <c r="AE65" s="14" t="str">
        <f>_xlfn.IFNA(SQRT((VLOOKUP(AE$1,DATA!$A$3:$F$301,2,FALSE)-VLOOKUP($A65,DATA!$A$3:$F$301,2,FALSE))^2+(VLOOKUP(AE$1,DATA!$A$3:$F$301,3,FALSE)-VLOOKUP($A65,DATA!$A$3:$F$301,3,FALSE))^2),"")</f>
        <v/>
      </c>
      <c r="AF65" s="14" t="str">
        <f>_xlfn.IFNA(SQRT((VLOOKUP(AF$1,DATA!$A$3:$F$301,2,FALSE)-VLOOKUP($A65,DATA!$A$3:$F$301,2,FALSE))^2+(VLOOKUP(AF$1,DATA!$A$3:$F$301,3,FALSE)-VLOOKUP($A65,DATA!$A$3:$F$301,3,FALSE))^2),"")</f>
        <v/>
      </c>
      <c r="AG65" s="14" t="str">
        <f>_xlfn.IFNA(SQRT((VLOOKUP(AG$1,DATA!$A$3:$F$301,2,FALSE)-VLOOKUP($A65,DATA!$A$3:$F$301,2,FALSE))^2+(VLOOKUP(AG$1,DATA!$A$3:$F$301,3,FALSE)-VLOOKUP($A65,DATA!$A$3:$F$301,3,FALSE))^2),"")</f>
        <v/>
      </c>
      <c r="AH65" s="14" t="str">
        <f>_xlfn.IFNA(SQRT((VLOOKUP(AH$1,DATA!$A$3:$F$301,2,FALSE)-VLOOKUP($A65,DATA!$A$3:$F$301,2,FALSE))^2+(VLOOKUP(AH$1,DATA!$A$3:$F$301,3,FALSE)-VLOOKUP($A65,DATA!$A$3:$F$301,3,FALSE))^2),"")</f>
        <v/>
      </c>
      <c r="AI65" s="14" t="str">
        <f>_xlfn.IFNA(SQRT((VLOOKUP(AI$1,DATA!$A$3:$F$301,2,FALSE)-VLOOKUP($A65,DATA!$A$3:$F$301,2,FALSE))^2+(VLOOKUP(AI$1,DATA!$A$3:$F$301,3,FALSE)-VLOOKUP($A65,DATA!$A$3:$F$301,3,FALSE))^2),"")</f>
        <v/>
      </c>
      <c r="AJ65" s="14" t="str">
        <f>_xlfn.IFNA(SQRT((VLOOKUP(AJ$1,DATA!$A$3:$F$301,2,FALSE)-VLOOKUP($A65,DATA!$A$3:$F$301,2,FALSE))^2+(VLOOKUP(AJ$1,DATA!$A$3:$F$301,3,FALSE)-VLOOKUP($A65,DATA!$A$3:$F$301,3,FALSE))^2),"")</f>
        <v/>
      </c>
      <c r="AK65" s="14" t="str">
        <f>_xlfn.IFNA(SQRT((VLOOKUP(AK$1,DATA!$A$3:$F$301,2,FALSE)-VLOOKUP($A65,DATA!$A$3:$F$301,2,FALSE))^2+(VLOOKUP(AK$1,DATA!$A$3:$F$301,3,FALSE)-VLOOKUP($A65,DATA!$A$3:$F$301,3,FALSE))^2),"")</f>
        <v/>
      </c>
      <c r="AL65" s="14" t="str">
        <f>_xlfn.IFNA(SQRT((VLOOKUP(AL$1,DATA!$A$3:$F$301,2,FALSE)-VLOOKUP($A65,DATA!$A$3:$F$301,2,FALSE))^2+(VLOOKUP(AL$1,DATA!$A$3:$F$301,3,FALSE)-VLOOKUP($A65,DATA!$A$3:$F$301,3,FALSE))^2),"")</f>
        <v/>
      </c>
      <c r="AM65" s="14" t="str">
        <f>_xlfn.IFNA(SQRT((VLOOKUP(AM$1,DATA!$A$3:$F$301,2,FALSE)-VLOOKUP($A65,DATA!$A$3:$F$301,2,FALSE))^2+(VLOOKUP(AM$1,DATA!$A$3:$F$301,3,FALSE)-VLOOKUP($A65,DATA!$A$3:$F$301,3,FALSE))^2),"")</f>
        <v/>
      </c>
      <c r="AN65" s="14" t="str">
        <f>_xlfn.IFNA(SQRT((VLOOKUP(AN$1,DATA!$A$3:$F$301,2,FALSE)-VLOOKUP($A65,DATA!$A$3:$F$301,2,FALSE))^2+(VLOOKUP(AN$1,DATA!$A$3:$F$301,3,FALSE)-VLOOKUP($A65,DATA!$A$3:$F$301,3,FALSE))^2),"")</f>
        <v/>
      </c>
      <c r="AO65" s="14" t="str">
        <f>_xlfn.IFNA(SQRT((VLOOKUP(AO$1,DATA!$A$3:$F$301,2,FALSE)-VLOOKUP($A65,DATA!$A$3:$F$301,2,FALSE))^2+(VLOOKUP(AO$1,DATA!$A$3:$F$301,3,FALSE)-VLOOKUP($A65,DATA!$A$3:$F$301,3,FALSE))^2),"")</f>
        <v/>
      </c>
      <c r="AP65" s="14" t="str">
        <f>_xlfn.IFNA(SQRT((VLOOKUP(AP$1,DATA!$A$3:$F$301,2,FALSE)-VLOOKUP($A65,DATA!$A$3:$F$301,2,FALSE))^2+(VLOOKUP(AP$1,DATA!$A$3:$F$301,3,FALSE)-VLOOKUP($A65,DATA!$A$3:$F$301,3,FALSE))^2),"")</f>
        <v/>
      </c>
      <c r="AQ65" s="14" t="str">
        <f>_xlfn.IFNA(SQRT((VLOOKUP(AQ$1,DATA!$A$3:$F$301,2,FALSE)-VLOOKUP($A65,DATA!$A$3:$F$301,2,FALSE))^2+(VLOOKUP(AQ$1,DATA!$A$3:$F$301,3,FALSE)-VLOOKUP($A65,DATA!$A$3:$F$301,3,FALSE))^2),"")</f>
        <v/>
      </c>
      <c r="AR65" s="14" t="str">
        <f>_xlfn.IFNA(SQRT((VLOOKUP(AR$1,DATA!$A$3:$F$301,2,FALSE)-VLOOKUP($A65,DATA!$A$3:$F$301,2,FALSE))^2+(VLOOKUP(AR$1,DATA!$A$3:$F$301,3,FALSE)-VLOOKUP($A65,DATA!$A$3:$F$301,3,FALSE))^2),"")</f>
        <v/>
      </c>
      <c r="AS65" s="14" t="str">
        <f>_xlfn.IFNA(SQRT((VLOOKUP(AS$1,DATA!$A$3:$F$301,2,FALSE)-VLOOKUP($A65,DATA!$A$3:$F$301,2,FALSE))^2+(VLOOKUP(AS$1,DATA!$A$3:$F$301,3,FALSE)-VLOOKUP($A65,DATA!$A$3:$F$301,3,FALSE))^2),"")</f>
        <v/>
      </c>
      <c r="AT65" s="14" t="str">
        <f>_xlfn.IFNA(SQRT((VLOOKUP(AT$1,DATA!$A$3:$F$301,2,FALSE)-VLOOKUP($A65,DATA!$A$3:$F$301,2,FALSE))^2+(VLOOKUP(AT$1,DATA!$A$3:$F$301,3,FALSE)-VLOOKUP($A65,DATA!$A$3:$F$301,3,FALSE))^2),"")</f>
        <v/>
      </c>
      <c r="AU65" s="14" t="str">
        <f>_xlfn.IFNA(SQRT((VLOOKUP(AU$1,DATA!$A$3:$F$301,2,FALSE)-VLOOKUP($A65,DATA!$A$3:$F$301,2,FALSE))^2+(VLOOKUP(AU$1,DATA!$A$3:$F$301,3,FALSE)-VLOOKUP($A65,DATA!$A$3:$F$301,3,FALSE))^2),"")</f>
        <v/>
      </c>
      <c r="AV65" s="14" t="str">
        <f>_xlfn.IFNA(SQRT((VLOOKUP(AV$1,DATA!$A$3:$F$301,2,FALSE)-VLOOKUP($A65,DATA!$A$3:$F$301,2,FALSE))^2+(VLOOKUP(AV$1,DATA!$A$3:$F$301,3,FALSE)-VLOOKUP($A65,DATA!$A$3:$F$301,3,FALSE))^2),"")</f>
        <v/>
      </c>
      <c r="AW65" s="14" t="str">
        <f>_xlfn.IFNA(SQRT((VLOOKUP(AW$1,DATA!$A$3:$F$301,2,FALSE)-VLOOKUP($A65,DATA!$A$3:$F$301,2,FALSE))^2+(VLOOKUP(AW$1,DATA!$A$3:$F$301,3,FALSE)-VLOOKUP($A65,DATA!$A$3:$F$301,3,FALSE))^2),"")</f>
        <v/>
      </c>
      <c r="AX65" s="14" t="str">
        <f>_xlfn.IFNA(SQRT((VLOOKUP(AX$1,DATA!$A$3:$F$301,2,FALSE)-VLOOKUP($A65,DATA!$A$3:$F$301,2,FALSE))^2+(VLOOKUP(AX$1,DATA!$A$3:$F$301,3,FALSE)-VLOOKUP($A65,DATA!$A$3:$F$301,3,FALSE))^2),"")</f>
        <v/>
      </c>
      <c r="AY65" s="14" t="str">
        <f>_xlfn.IFNA(SQRT((VLOOKUP(AY$1,DATA!$A$3:$F$301,2,FALSE)-VLOOKUP($A65,DATA!$A$3:$F$301,2,FALSE))^2+(VLOOKUP(AY$1,DATA!$A$3:$F$301,3,FALSE)-VLOOKUP($A65,DATA!$A$3:$F$301,3,FALSE))^2),"")</f>
        <v/>
      </c>
      <c r="AZ65" s="14" t="str">
        <f>_xlfn.IFNA(SQRT((VLOOKUP(AZ$1,DATA!$A$3:$F$301,2,FALSE)-VLOOKUP($A65,DATA!$A$3:$F$301,2,FALSE))^2+(VLOOKUP(AZ$1,DATA!$A$3:$F$301,3,FALSE)-VLOOKUP($A65,DATA!$A$3:$F$301,3,FALSE))^2),"")</f>
        <v/>
      </c>
      <c r="BA65" s="14" t="str">
        <f>_xlfn.IFNA(SQRT((VLOOKUP(BA$1,DATA!$A$3:$F$301,2,FALSE)-VLOOKUP($A65,DATA!$A$3:$F$301,2,FALSE))^2+(VLOOKUP(BA$1,DATA!$A$3:$F$301,3,FALSE)-VLOOKUP($A65,DATA!$A$3:$F$301,3,FALSE))^2),"")</f>
        <v/>
      </c>
      <c r="BB65" s="14" t="str">
        <f>_xlfn.IFNA(SQRT((VLOOKUP(BB$1,DATA!$A$3:$F$301,2,FALSE)-VLOOKUP($A65,DATA!$A$3:$F$301,2,FALSE))^2+(VLOOKUP(BB$1,DATA!$A$3:$F$301,3,FALSE)-VLOOKUP($A65,DATA!$A$3:$F$301,3,FALSE))^2),"")</f>
        <v/>
      </c>
      <c r="BC65" s="14" t="str">
        <f>_xlfn.IFNA(SQRT((VLOOKUP(BC$1,DATA!$A$3:$F$301,2,FALSE)-VLOOKUP($A65,DATA!$A$3:$F$301,2,FALSE))^2+(VLOOKUP(BC$1,DATA!$A$3:$F$301,3,FALSE)-VLOOKUP($A65,DATA!$A$3:$F$301,3,FALSE))^2),"")</f>
        <v/>
      </c>
      <c r="BD65" s="14" t="str">
        <f>_xlfn.IFNA(SQRT((VLOOKUP(BD$1,DATA!$A$3:$F$301,2,FALSE)-VLOOKUP($A65,DATA!$A$3:$F$301,2,FALSE))^2+(VLOOKUP(BD$1,DATA!$A$3:$F$301,3,FALSE)-VLOOKUP($A65,DATA!$A$3:$F$301,3,FALSE))^2),"")</f>
        <v/>
      </c>
      <c r="BE65" s="14" t="str">
        <f>_xlfn.IFNA(SQRT((VLOOKUP(BE$1,DATA!$A$3:$F$301,2,FALSE)-VLOOKUP($A65,DATA!$A$3:$F$301,2,FALSE))^2+(VLOOKUP(BE$1,DATA!$A$3:$F$301,3,FALSE)-VLOOKUP($A65,DATA!$A$3:$F$301,3,FALSE))^2),"")</f>
        <v/>
      </c>
      <c r="BF65" s="14" t="str">
        <f>_xlfn.IFNA(SQRT((VLOOKUP(BF$1,DATA!$A$3:$F$301,2,FALSE)-VLOOKUP($A65,DATA!$A$3:$F$301,2,FALSE))^2+(VLOOKUP(BF$1,DATA!$A$3:$F$301,3,FALSE)-VLOOKUP($A65,DATA!$A$3:$F$301,3,FALSE))^2),"")</f>
        <v/>
      </c>
      <c r="BG65" s="14" t="str">
        <f>_xlfn.IFNA(SQRT((VLOOKUP(BG$1,DATA!$A$3:$F$301,2,FALSE)-VLOOKUP($A65,DATA!$A$3:$F$301,2,FALSE))^2+(VLOOKUP(BG$1,DATA!$A$3:$F$301,3,FALSE)-VLOOKUP($A65,DATA!$A$3:$F$301,3,FALSE))^2),"")</f>
        <v/>
      </c>
      <c r="BH65" s="14" t="str">
        <f>_xlfn.IFNA(SQRT((VLOOKUP(BH$1,DATA!$A$3:$F$301,2,FALSE)-VLOOKUP($A65,DATA!$A$3:$F$301,2,FALSE))^2+(VLOOKUP(BH$1,DATA!$A$3:$F$301,3,FALSE)-VLOOKUP($A65,DATA!$A$3:$F$301,3,FALSE))^2),"")</f>
        <v/>
      </c>
      <c r="BI65" s="14" t="str">
        <f>_xlfn.IFNA(SQRT((VLOOKUP(BI$1,DATA!$A$3:$F$301,2,FALSE)-VLOOKUP($A65,DATA!$A$3:$F$301,2,FALSE))^2+(VLOOKUP(BI$1,DATA!$A$3:$F$301,3,FALSE)-VLOOKUP($A65,DATA!$A$3:$F$301,3,FALSE))^2),"")</f>
        <v/>
      </c>
      <c r="BJ65" s="14" t="str">
        <f>_xlfn.IFNA(SQRT((VLOOKUP(BJ$1,DATA!$A$3:$F$301,2,FALSE)-VLOOKUP($A65,DATA!$A$3:$F$301,2,FALSE))^2+(VLOOKUP(BJ$1,DATA!$A$3:$F$301,3,FALSE)-VLOOKUP($A65,DATA!$A$3:$F$301,3,FALSE))^2),"")</f>
        <v/>
      </c>
      <c r="BK65" s="14" t="str">
        <f>_xlfn.IFNA(SQRT((VLOOKUP(BK$1,DATA!$A$3:$F$301,2,FALSE)-VLOOKUP($A65,DATA!$A$3:$F$301,2,FALSE))^2+(VLOOKUP(BK$1,DATA!$A$3:$F$301,3,FALSE)-VLOOKUP($A65,DATA!$A$3:$F$301,3,FALSE))^2),"")</f>
        <v/>
      </c>
      <c r="BL65" s="14" t="str">
        <f>_xlfn.IFNA(SQRT((VLOOKUP(BL$1,DATA!$A$3:$F$301,2,FALSE)-VLOOKUP($A65,DATA!$A$3:$F$301,2,FALSE))^2+(VLOOKUP(BL$1,DATA!$A$3:$F$301,3,FALSE)-VLOOKUP($A65,DATA!$A$3:$F$301,3,FALSE))^2),"")</f>
        <v/>
      </c>
      <c r="BM65" s="14" t="str">
        <f>_xlfn.IFNA(SQRT((VLOOKUP(BM$1,DATA!$A$3:$F$301,2,FALSE)-VLOOKUP($A65,DATA!$A$3:$F$301,2,FALSE))^2+(VLOOKUP(BM$1,DATA!$A$3:$F$301,3,FALSE)-VLOOKUP($A65,DATA!$A$3:$F$301,3,FALSE))^2),"")</f>
        <v/>
      </c>
      <c r="BN65" s="14" t="str">
        <f>_xlfn.IFNA(SQRT((VLOOKUP(BN$1,DATA!$A$3:$F$301,2,FALSE)-VLOOKUP($A65,DATA!$A$3:$F$301,2,FALSE))^2+(VLOOKUP(BN$1,DATA!$A$3:$F$301,3,FALSE)-VLOOKUP($A65,DATA!$A$3:$F$301,3,FALSE))^2),"")</f>
        <v/>
      </c>
      <c r="BO65" s="14" t="str">
        <f>_xlfn.IFNA(SQRT((VLOOKUP(BO$1,DATA!$A$3:$F$301,2,FALSE)-VLOOKUP($A65,DATA!$A$3:$F$301,2,FALSE))^2+(VLOOKUP(BO$1,DATA!$A$3:$F$301,3,FALSE)-VLOOKUP($A65,DATA!$A$3:$F$301,3,FALSE))^2),"")</f>
        <v/>
      </c>
      <c r="BP65" s="14" t="str">
        <f>_xlfn.IFNA(SQRT((VLOOKUP(BP$1,DATA!$A$3:$F$301,2,FALSE)-VLOOKUP($A65,DATA!$A$3:$F$301,2,FALSE))^2+(VLOOKUP(BP$1,DATA!$A$3:$F$301,3,FALSE)-VLOOKUP($A65,DATA!$A$3:$F$301,3,FALSE))^2),"")</f>
        <v/>
      </c>
      <c r="BQ65" s="14" t="str">
        <f>_xlfn.IFNA(SQRT((VLOOKUP(BQ$1,DATA!$A$3:$F$301,2,FALSE)-VLOOKUP($A65,DATA!$A$3:$F$301,2,FALSE))^2+(VLOOKUP(BQ$1,DATA!$A$3:$F$301,3,FALSE)-VLOOKUP($A65,DATA!$A$3:$F$301,3,FALSE))^2),"")</f>
        <v/>
      </c>
      <c r="BR65" s="14" t="str">
        <f>_xlfn.IFNA(SQRT((VLOOKUP(BR$1,DATA!$A$3:$F$301,2,FALSE)-VLOOKUP($A65,DATA!$A$3:$F$301,2,FALSE))^2+(VLOOKUP(BR$1,DATA!$A$3:$F$301,3,FALSE)-VLOOKUP($A65,DATA!$A$3:$F$301,3,FALSE))^2),"")</f>
        <v/>
      </c>
      <c r="BS65" s="14" t="str">
        <f>_xlfn.IFNA(SQRT((VLOOKUP(BS$1,DATA!$A$3:$F$301,2,FALSE)-VLOOKUP($A65,DATA!$A$3:$F$301,2,FALSE))^2+(VLOOKUP(BS$1,DATA!$A$3:$F$301,3,FALSE)-VLOOKUP($A65,DATA!$A$3:$F$301,3,FALSE))^2),"")</f>
        <v/>
      </c>
      <c r="BT65" s="14" t="str">
        <f>_xlfn.IFNA(SQRT((VLOOKUP(BT$1,DATA!$A$3:$F$301,2,FALSE)-VLOOKUP($A65,DATA!$A$3:$F$301,2,FALSE))^2+(VLOOKUP(BT$1,DATA!$A$3:$F$301,3,FALSE)-VLOOKUP($A65,DATA!$A$3:$F$301,3,FALSE))^2),"")</f>
        <v/>
      </c>
      <c r="BU65" s="14" t="str">
        <f>_xlfn.IFNA(SQRT((VLOOKUP(BU$1,DATA!$A$3:$F$301,2,FALSE)-VLOOKUP($A65,DATA!$A$3:$F$301,2,FALSE))^2+(VLOOKUP(BU$1,DATA!$A$3:$F$301,3,FALSE)-VLOOKUP($A65,DATA!$A$3:$F$301,3,FALSE))^2),"")</f>
        <v/>
      </c>
      <c r="BV65" s="14" t="str">
        <f>_xlfn.IFNA(SQRT((VLOOKUP(BV$1,DATA!$A$3:$F$301,2,FALSE)-VLOOKUP($A65,DATA!$A$3:$F$301,2,FALSE))^2+(VLOOKUP(BV$1,DATA!$A$3:$F$301,3,FALSE)-VLOOKUP($A65,DATA!$A$3:$F$301,3,FALSE))^2),"")</f>
        <v/>
      </c>
      <c r="BW65" s="14" t="str">
        <f>_xlfn.IFNA(SQRT((VLOOKUP(BW$1,DATA!$A$3:$F$301,2,FALSE)-VLOOKUP($A65,DATA!$A$3:$F$301,2,FALSE))^2+(VLOOKUP(BW$1,DATA!$A$3:$F$301,3,FALSE)-VLOOKUP($A65,DATA!$A$3:$F$301,3,FALSE))^2),"")</f>
        <v/>
      </c>
      <c r="BX65" s="14" t="str">
        <f>_xlfn.IFNA(SQRT((VLOOKUP(BX$1,DATA!$A$3:$F$301,2,FALSE)-VLOOKUP($A65,DATA!$A$3:$F$301,2,FALSE))^2+(VLOOKUP(BX$1,DATA!$A$3:$F$301,3,FALSE)-VLOOKUP($A65,DATA!$A$3:$F$301,3,FALSE))^2),"")</f>
        <v/>
      </c>
      <c r="BY65" s="14" t="str">
        <f>_xlfn.IFNA(SQRT((VLOOKUP(BY$1,DATA!$A$3:$F$301,2,FALSE)-VLOOKUP($A65,DATA!$A$3:$F$301,2,FALSE))^2+(VLOOKUP(BY$1,DATA!$A$3:$F$301,3,FALSE)-VLOOKUP($A65,DATA!$A$3:$F$301,3,FALSE))^2),"")</f>
        <v/>
      </c>
      <c r="BZ65" s="14" t="str">
        <f>_xlfn.IFNA(SQRT((VLOOKUP(BZ$1,DATA!$A$3:$F$301,2,FALSE)-VLOOKUP($A65,DATA!$A$3:$F$301,2,FALSE))^2+(VLOOKUP(BZ$1,DATA!$A$3:$F$301,3,FALSE)-VLOOKUP($A65,DATA!$A$3:$F$301,3,FALSE))^2),"")</f>
        <v/>
      </c>
      <c r="CA65" s="14" t="str">
        <f>_xlfn.IFNA(SQRT((VLOOKUP(CA$1,DATA!$A$3:$F$301,2,FALSE)-VLOOKUP($A65,DATA!$A$3:$F$301,2,FALSE))^2+(VLOOKUP(CA$1,DATA!$A$3:$F$301,3,FALSE)-VLOOKUP($A65,DATA!$A$3:$F$301,3,FALSE))^2),"")</f>
        <v/>
      </c>
      <c r="CB65" s="14" t="str">
        <f>_xlfn.IFNA(SQRT((VLOOKUP(CB$1,DATA!$A$3:$F$301,2,FALSE)-VLOOKUP($A65,DATA!$A$3:$F$301,2,FALSE))^2+(VLOOKUP(CB$1,DATA!$A$3:$F$301,3,FALSE)-VLOOKUP($A65,DATA!$A$3:$F$301,3,FALSE))^2),"")</f>
        <v/>
      </c>
      <c r="CC65" s="14" t="str">
        <f>_xlfn.IFNA(SQRT((VLOOKUP(CC$1,DATA!$A$3:$F$301,2,FALSE)-VLOOKUP($A65,DATA!$A$3:$F$301,2,FALSE))^2+(VLOOKUP(CC$1,DATA!$A$3:$F$301,3,FALSE)-VLOOKUP($A65,DATA!$A$3:$F$301,3,FALSE))^2),"")</f>
        <v/>
      </c>
      <c r="CD65" s="14" t="str">
        <f>_xlfn.IFNA(SQRT((VLOOKUP(CD$1,DATA!$A$3:$F$301,2,FALSE)-VLOOKUP($A65,DATA!$A$3:$F$301,2,FALSE))^2+(VLOOKUP(CD$1,DATA!$A$3:$F$301,3,FALSE)-VLOOKUP($A65,DATA!$A$3:$F$301,3,FALSE))^2),"")</f>
        <v/>
      </c>
      <c r="CE65" s="14" t="str">
        <f>_xlfn.IFNA(SQRT((VLOOKUP(CE$1,DATA!$A$3:$F$301,2,FALSE)-VLOOKUP($A65,DATA!$A$3:$F$301,2,FALSE))^2+(VLOOKUP(CE$1,DATA!$A$3:$F$301,3,FALSE)-VLOOKUP($A65,DATA!$A$3:$F$301,3,FALSE))^2),"")</f>
        <v/>
      </c>
      <c r="CF65" s="14" t="str">
        <f>_xlfn.IFNA(SQRT((VLOOKUP(CF$1,DATA!$A$3:$F$301,2,FALSE)-VLOOKUP($A65,DATA!$A$3:$F$301,2,FALSE))^2+(VLOOKUP(CF$1,DATA!$A$3:$F$301,3,FALSE)-VLOOKUP($A65,DATA!$A$3:$F$301,3,FALSE))^2),"")</f>
        <v/>
      </c>
      <c r="CG65" s="14" t="str">
        <f>_xlfn.IFNA(SQRT((VLOOKUP(CG$1,DATA!$A$3:$F$301,2,FALSE)-VLOOKUP($A65,DATA!$A$3:$F$301,2,FALSE))^2+(VLOOKUP(CG$1,DATA!$A$3:$F$301,3,FALSE)-VLOOKUP($A65,DATA!$A$3:$F$301,3,FALSE))^2),"")</f>
        <v/>
      </c>
      <c r="CH65" s="14" t="str">
        <f>_xlfn.IFNA(SQRT((VLOOKUP(CH$1,DATA!$A$3:$F$301,2,FALSE)-VLOOKUP($A65,DATA!$A$3:$F$301,2,FALSE))^2+(VLOOKUP(CH$1,DATA!$A$3:$F$301,3,FALSE)-VLOOKUP($A65,DATA!$A$3:$F$301,3,FALSE))^2),"")</f>
        <v/>
      </c>
      <c r="CI65" s="14" t="str">
        <f>_xlfn.IFNA(SQRT((VLOOKUP(CI$1,DATA!$A$3:$F$301,2,FALSE)-VLOOKUP($A65,DATA!$A$3:$F$301,2,FALSE))^2+(VLOOKUP(CI$1,DATA!$A$3:$F$301,3,FALSE)-VLOOKUP($A65,DATA!$A$3:$F$301,3,FALSE))^2),"")</f>
        <v/>
      </c>
      <c r="CJ65" s="14" t="str">
        <f>_xlfn.IFNA(SQRT((VLOOKUP(CJ$1,DATA!$A$3:$F$301,2,FALSE)-VLOOKUP($A65,DATA!$A$3:$F$301,2,FALSE))^2+(VLOOKUP(CJ$1,DATA!$A$3:$F$301,3,FALSE)-VLOOKUP($A65,DATA!$A$3:$F$301,3,FALSE))^2),"")</f>
        <v/>
      </c>
      <c r="CK65" s="14" t="str">
        <f>_xlfn.IFNA(SQRT((VLOOKUP(CK$1,DATA!$A$3:$F$301,2,FALSE)-VLOOKUP($A65,DATA!$A$3:$F$301,2,FALSE))^2+(VLOOKUP(CK$1,DATA!$A$3:$F$301,3,FALSE)-VLOOKUP($A65,DATA!$A$3:$F$301,3,FALSE))^2),"")</f>
        <v/>
      </c>
      <c r="CL65" s="14" t="str">
        <f>_xlfn.IFNA(SQRT((VLOOKUP(CL$1,DATA!$A$3:$F$301,2,FALSE)-VLOOKUP($A65,DATA!$A$3:$F$301,2,FALSE))^2+(VLOOKUP(CL$1,DATA!$A$3:$F$301,3,FALSE)-VLOOKUP($A65,DATA!$A$3:$F$301,3,FALSE))^2),"")</f>
        <v/>
      </c>
      <c r="CM65" s="14" t="str">
        <f>_xlfn.IFNA(SQRT((VLOOKUP(CM$1,DATA!$A$3:$F$301,2,FALSE)-VLOOKUP($A65,DATA!$A$3:$F$301,2,FALSE))^2+(VLOOKUP(CM$1,DATA!$A$3:$F$301,3,FALSE)-VLOOKUP($A65,DATA!$A$3:$F$301,3,FALSE))^2),"")</f>
        <v/>
      </c>
      <c r="CN65" s="14" t="str">
        <f>_xlfn.IFNA(SQRT((VLOOKUP(CN$1,DATA!$A$3:$F$301,2,FALSE)-VLOOKUP($A65,DATA!$A$3:$F$301,2,FALSE))^2+(VLOOKUP(CN$1,DATA!$A$3:$F$301,3,FALSE)-VLOOKUP($A65,DATA!$A$3:$F$301,3,FALSE))^2),"")</f>
        <v/>
      </c>
      <c r="CO65" s="14" t="str">
        <f>_xlfn.IFNA(SQRT((VLOOKUP(CO$1,DATA!$A$3:$F$301,2,FALSE)-VLOOKUP($A65,DATA!$A$3:$F$301,2,FALSE))^2+(VLOOKUP(CO$1,DATA!$A$3:$F$301,3,FALSE)-VLOOKUP($A65,DATA!$A$3:$F$301,3,FALSE))^2),"")</f>
        <v/>
      </c>
      <c r="CP65" s="14" t="str">
        <f>_xlfn.IFNA(SQRT((VLOOKUP(CP$1,DATA!$A$3:$F$301,2,FALSE)-VLOOKUP($A65,DATA!$A$3:$F$301,2,FALSE))^2+(VLOOKUP(CP$1,DATA!$A$3:$F$301,3,FALSE)-VLOOKUP($A65,DATA!$A$3:$F$301,3,FALSE))^2),"")</f>
        <v/>
      </c>
      <c r="CQ65" s="14" t="str">
        <f>_xlfn.IFNA(SQRT((VLOOKUP(CQ$1,DATA!$A$3:$F$301,2,FALSE)-VLOOKUP($A65,DATA!$A$3:$F$301,2,FALSE))^2+(VLOOKUP(CQ$1,DATA!$A$3:$F$301,3,FALSE)-VLOOKUP($A65,DATA!$A$3:$F$301,3,FALSE))^2),"")</f>
        <v/>
      </c>
      <c r="CR65" s="14" t="str">
        <f>_xlfn.IFNA(SQRT((VLOOKUP(CR$1,DATA!$A$3:$F$301,2,FALSE)-VLOOKUP($A65,DATA!$A$3:$F$301,2,FALSE))^2+(VLOOKUP(CR$1,DATA!$A$3:$F$301,3,FALSE)-VLOOKUP($A65,DATA!$A$3:$F$301,3,FALSE))^2),"")</f>
        <v/>
      </c>
      <c r="CS65" s="14" t="str">
        <f>_xlfn.IFNA(SQRT((VLOOKUP(CS$1,DATA!$A$3:$F$301,2,FALSE)-VLOOKUP($A65,DATA!$A$3:$F$301,2,FALSE))^2+(VLOOKUP(CS$1,DATA!$A$3:$F$301,3,FALSE)-VLOOKUP($A65,DATA!$A$3:$F$301,3,FALSE))^2),"")</f>
        <v/>
      </c>
      <c r="CT65" s="14" t="str">
        <f>_xlfn.IFNA(SQRT((VLOOKUP(CT$1,DATA!$A$3:$F$301,2,FALSE)-VLOOKUP($A65,DATA!$A$3:$F$301,2,FALSE))^2+(VLOOKUP(CT$1,DATA!$A$3:$F$301,3,FALSE)-VLOOKUP($A65,DATA!$A$3:$F$301,3,FALSE))^2),"")</f>
        <v/>
      </c>
      <c r="CU65" s="14" t="str">
        <f>_xlfn.IFNA(SQRT((VLOOKUP(CU$1,DATA!$A$3:$F$301,2,FALSE)-VLOOKUP($A65,DATA!$A$3:$F$301,2,FALSE))^2+(VLOOKUP(CU$1,DATA!$A$3:$F$301,3,FALSE)-VLOOKUP($A65,DATA!$A$3:$F$301,3,FALSE))^2),"")</f>
        <v/>
      </c>
      <c r="CV65" s="14" t="str">
        <f>_xlfn.IFNA(SQRT((VLOOKUP(CV$1,DATA!$A$3:$F$301,2,FALSE)-VLOOKUP($A65,DATA!$A$3:$F$301,2,FALSE))^2+(VLOOKUP(CV$1,DATA!$A$3:$F$301,3,FALSE)-VLOOKUP($A65,DATA!$A$3:$F$301,3,FALSE))^2),"")</f>
        <v/>
      </c>
      <c r="CW65" s="14" t="str">
        <f>_xlfn.IFNA(SQRT((VLOOKUP(CW$1,DATA!$A$3:$F$301,2,FALSE)-VLOOKUP($A65,DATA!$A$3:$F$301,2,FALSE))^2+(VLOOKUP(CW$1,DATA!$A$3:$F$301,3,FALSE)-VLOOKUP($A65,DATA!$A$3:$F$301,3,FALSE))^2),"")</f>
        <v/>
      </c>
      <c r="CX65" s="14" t="str">
        <f>_xlfn.IFNA(SQRT((VLOOKUP(CX$1,DATA!$A$3:$F$301,2,FALSE)-VLOOKUP($A65,DATA!$A$3:$F$301,2,FALSE))^2+(VLOOKUP(CX$1,DATA!$A$3:$F$301,3,FALSE)-VLOOKUP($A65,DATA!$A$3:$F$301,3,FALSE))^2),"")</f>
        <v/>
      </c>
    </row>
    <row r="66" spans="1:102">
      <c r="A66" s="13">
        <v>65</v>
      </c>
      <c r="B66" s="14" t="str">
        <f>_xlfn.IFNA(SQRT((VLOOKUP(B$1,DATA!$A$3:$F$301,2,FALSE)-VLOOKUP($A66,DATA!$A$3:$F$301,2,FALSE))^2+(VLOOKUP(B$1,DATA!$A$3:$F$301,3,FALSE)-VLOOKUP($A66,DATA!$A$3:$F$301,3,FALSE))^2),"")</f>
        <v/>
      </c>
      <c r="C66" s="14" t="str">
        <f>_xlfn.IFNA(SQRT((VLOOKUP(C$1,DATA!$A$3:$F$301,2,FALSE)-VLOOKUP($A66,DATA!$A$3:$F$301,2,FALSE))^2+(VLOOKUP(C$1,DATA!$A$3:$F$301,3,FALSE)-VLOOKUP($A66,DATA!$A$3:$F$301,3,FALSE))^2),"")</f>
        <v/>
      </c>
      <c r="D66" s="14" t="str">
        <f>_xlfn.IFNA(SQRT((VLOOKUP(D$1,DATA!$A$3:$F$301,2,FALSE)-VLOOKUP($A66,DATA!$A$3:$F$301,2,FALSE))^2+(VLOOKUP(D$1,DATA!$A$3:$F$301,3,FALSE)-VLOOKUP($A66,DATA!$A$3:$F$301,3,FALSE))^2),"")</f>
        <v/>
      </c>
      <c r="E66" s="14" t="str">
        <f>_xlfn.IFNA(SQRT((VLOOKUP(E$1,DATA!$A$3:$F$301,2,FALSE)-VLOOKUP($A66,DATA!$A$3:$F$301,2,FALSE))^2+(VLOOKUP(E$1,DATA!$A$3:$F$301,3,FALSE)-VLOOKUP($A66,DATA!$A$3:$F$301,3,FALSE))^2),"")</f>
        <v/>
      </c>
      <c r="F66" s="14" t="str">
        <f>_xlfn.IFNA(SQRT((VLOOKUP(F$1,DATA!$A$3:$F$301,2,FALSE)-VLOOKUP($A66,DATA!$A$3:$F$301,2,FALSE))^2+(VLOOKUP(F$1,DATA!$A$3:$F$301,3,FALSE)-VLOOKUP($A66,DATA!$A$3:$F$301,3,FALSE))^2),"")</f>
        <v/>
      </c>
      <c r="G66" s="14" t="str">
        <f>_xlfn.IFNA(SQRT((VLOOKUP(G$1,DATA!$A$3:$F$301,2,FALSE)-VLOOKUP($A66,DATA!$A$3:$F$301,2,FALSE))^2+(VLOOKUP(G$1,DATA!$A$3:$F$301,3,FALSE)-VLOOKUP($A66,DATA!$A$3:$F$301,3,FALSE))^2),"")</f>
        <v/>
      </c>
      <c r="H66" s="14" t="str">
        <f>_xlfn.IFNA(SQRT((VLOOKUP(H$1,DATA!$A$3:$F$301,2,FALSE)-VLOOKUP($A66,DATA!$A$3:$F$301,2,FALSE))^2+(VLOOKUP(H$1,DATA!$A$3:$F$301,3,FALSE)-VLOOKUP($A66,DATA!$A$3:$F$301,3,FALSE))^2),"")</f>
        <v/>
      </c>
      <c r="I66" s="14" t="str">
        <f>_xlfn.IFNA(SQRT((VLOOKUP(I$1,DATA!$A$3:$F$301,2,FALSE)-VLOOKUP($A66,DATA!$A$3:$F$301,2,FALSE))^2+(VLOOKUP(I$1,DATA!$A$3:$F$301,3,FALSE)-VLOOKUP($A66,DATA!$A$3:$F$301,3,FALSE))^2),"")</f>
        <v/>
      </c>
      <c r="J66" s="14" t="str">
        <f>_xlfn.IFNA(SQRT((VLOOKUP(J$1,DATA!$A$3:$F$301,2,FALSE)-VLOOKUP($A66,DATA!$A$3:$F$301,2,FALSE))^2+(VLOOKUP(J$1,DATA!$A$3:$F$301,3,FALSE)-VLOOKUP($A66,DATA!$A$3:$F$301,3,FALSE))^2),"")</f>
        <v/>
      </c>
      <c r="K66" s="14" t="str">
        <f>_xlfn.IFNA(SQRT((VLOOKUP(K$1,DATA!$A$3:$F$301,2,FALSE)-VLOOKUP($A66,DATA!$A$3:$F$301,2,FALSE))^2+(VLOOKUP(K$1,DATA!$A$3:$F$301,3,FALSE)-VLOOKUP($A66,DATA!$A$3:$F$301,3,FALSE))^2),"")</f>
        <v/>
      </c>
      <c r="L66" s="14" t="str">
        <f>_xlfn.IFNA(SQRT((VLOOKUP(L$1,DATA!$A$3:$F$301,2,FALSE)-VLOOKUP($A66,DATA!$A$3:$F$301,2,FALSE))^2+(VLOOKUP(L$1,DATA!$A$3:$F$301,3,FALSE)-VLOOKUP($A66,DATA!$A$3:$F$301,3,FALSE))^2),"")</f>
        <v/>
      </c>
      <c r="M66" s="14" t="str">
        <f>_xlfn.IFNA(SQRT((VLOOKUP(M$1,DATA!$A$3:$F$301,2,FALSE)-VLOOKUP($A66,DATA!$A$3:$F$301,2,FALSE))^2+(VLOOKUP(M$1,DATA!$A$3:$F$301,3,FALSE)-VLOOKUP($A66,DATA!$A$3:$F$301,3,FALSE))^2),"")</f>
        <v/>
      </c>
      <c r="N66" s="14" t="str">
        <f>_xlfn.IFNA(SQRT((VLOOKUP(N$1,DATA!$A$3:$F$301,2,FALSE)-VLOOKUP($A66,DATA!$A$3:$F$301,2,FALSE))^2+(VLOOKUP(N$1,DATA!$A$3:$F$301,3,FALSE)-VLOOKUP($A66,DATA!$A$3:$F$301,3,FALSE))^2),"")</f>
        <v/>
      </c>
      <c r="O66" s="14" t="str">
        <f>_xlfn.IFNA(SQRT((VLOOKUP(O$1,DATA!$A$3:$F$301,2,FALSE)-VLOOKUP($A66,DATA!$A$3:$F$301,2,FALSE))^2+(VLOOKUP(O$1,DATA!$A$3:$F$301,3,FALSE)-VLOOKUP($A66,DATA!$A$3:$F$301,3,FALSE))^2),"")</f>
        <v/>
      </c>
      <c r="P66" s="14" t="str">
        <f>_xlfn.IFNA(SQRT((VLOOKUP(P$1,DATA!$A$3:$F$301,2,FALSE)-VLOOKUP($A66,DATA!$A$3:$F$301,2,FALSE))^2+(VLOOKUP(P$1,DATA!$A$3:$F$301,3,FALSE)-VLOOKUP($A66,DATA!$A$3:$F$301,3,FALSE))^2),"")</f>
        <v/>
      </c>
      <c r="Q66" s="14" t="str">
        <f>_xlfn.IFNA(SQRT((VLOOKUP(Q$1,DATA!$A$3:$F$301,2,FALSE)-VLOOKUP($A66,DATA!$A$3:$F$301,2,FALSE))^2+(VLOOKUP(Q$1,DATA!$A$3:$F$301,3,FALSE)-VLOOKUP($A66,DATA!$A$3:$F$301,3,FALSE))^2),"")</f>
        <v/>
      </c>
      <c r="R66" s="14" t="str">
        <f>_xlfn.IFNA(SQRT((VLOOKUP(R$1,DATA!$A$3:$F$301,2,FALSE)-VLOOKUP($A66,DATA!$A$3:$F$301,2,FALSE))^2+(VLOOKUP(R$1,DATA!$A$3:$F$301,3,FALSE)-VLOOKUP($A66,DATA!$A$3:$F$301,3,FALSE))^2),"")</f>
        <v/>
      </c>
      <c r="S66" s="14" t="str">
        <f>_xlfn.IFNA(SQRT((VLOOKUP(S$1,DATA!$A$3:$F$301,2,FALSE)-VLOOKUP($A66,DATA!$A$3:$F$301,2,FALSE))^2+(VLOOKUP(S$1,DATA!$A$3:$F$301,3,FALSE)-VLOOKUP($A66,DATA!$A$3:$F$301,3,FALSE))^2),"")</f>
        <v/>
      </c>
      <c r="T66" s="14" t="str">
        <f>_xlfn.IFNA(SQRT((VLOOKUP(T$1,DATA!$A$3:$F$301,2,FALSE)-VLOOKUP($A66,DATA!$A$3:$F$301,2,FALSE))^2+(VLOOKUP(T$1,DATA!$A$3:$F$301,3,FALSE)-VLOOKUP($A66,DATA!$A$3:$F$301,3,FALSE))^2),"")</f>
        <v/>
      </c>
      <c r="U66" s="14" t="str">
        <f>_xlfn.IFNA(SQRT((VLOOKUP(U$1,DATA!$A$3:$F$301,2,FALSE)-VLOOKUP($A66,DATA!$A$3:$F$301,2,FALSE))^2+(VLOOKUP(U$1,DATA!$A$3:$F$301,3,FALSE)-VLOOKUP($A66,DATA!$A$3:$F$301,3,FALSE))^2),"")</f>
        <v/>
      </c>
      <c r="V66" s="14" t="str">
        <f>_xlfn.IFNA(SQRT((VLOOKUP(V$1,DATA!$A$3:$F$301,2,FALSE)-VLOOKUP($A66,DATA!$A$3:$F$301,2,FALSE))^2+(VLOOKUP(V$1,DATA!$A$3:$F$301,3,FALSE)-VLOOKUP($A66,DATA!$A$3:$F$301,3,FALSE))^2),"")</f>
        <v/>
      </c>
      <c r="W66" s="14" t="str">
        <f>_xlfn.IFNA(SQRT((VLOOKUP(W$1,DATA!$A$3:$F$301,2,FALSE)-VLOOKUP($A66,DATA!$A$3:$F$301,2,FALSE))^2+(VLOOKUP(W$1,DATA!$A$3:$F$301,3,FALSE)-VLOOKUP($A66,DATA!$A$3:$F$301,3,FALSE))^2),"")</f>
        <v/>
      </c>
      <c r="X66" s="14" t="str">
        <f>_xlfn.IFNA(SQRT((VLOOKUP(X$1,DATA!$A$3:$F$301,2,FALSE)-VLOOKUP($A66,DATA!$A$3:$F$301,2,FALSE))^2+(VLOOKUP(X$1,DATA!$A$3:$F$301,3,FALSE)-VLOOKUP($A66,DATA!$A$3:$F$301,3,FALSE))^2),"")</f>
        <v/>
      </c>
      <c r="Y66" s="14" t="str">
        <f>_xlfn.IFNA(SQRT((VLOOKUP(Y$1,DATA!$A$3:$F$301,2,FALSE)-VLOOKUP($A66,DATA!$A$3:$F$301,2,FALSE))^2+(VLOOKUP(Y$1,DATA!$A$3:$F$301,3,FALSE)-VLOOKUP($A66,DATA!$A$3:$F$301,3,FALSE))^2),"")</f>
        <v/>
      </c>
      <c r="Z66" s="14" t="str">
        <f>_xlfn.IFNA(SQRT((VLOOKUP(Z$1,DATA!$A$3:$F$301,2,FALSE)-VLOOKUP($A66,DATA!$A$3:$F$301,2,FALSE))^2+(VLOOKUP(Z$1,DATA!$A$3:$F$301,3,FALSE)-VLOOKUP($A66,DATA!$A$3:$F$301,3,FALSE))^2),"")</f>
        <v/>
      </c>
      <c r="AA66" s="14" t="str">
        <f>_xlfn.IFNA(SQRT((VLOOKUP(AA$1,DATA!$A$3:$F$301,2,FALSE)-VLOOKUP($A66,DATA!$A$3:$F$301,2,FALSE))^2+(VLOOKUP(AA$1,DATA!$A$3:$F$301,3,FALSE)-VLOOKUP($A66,DATA!$A$3:$F$301,3,FALSE))^2),"")</f>
        <v/>
      </c>
      <c r="AB66" s="14" t="str">
        <f>_xlfn.IFNA(SQRT((VLOOKUP(AB$1,DATA!$A$3:$F$301,2,FALSE)-VLOOKUP($A66,DATA!$A$3:$F$301,2,FALSE))^2+(VLOOKUP(AB$1,DATA!$A$3:$F$301,3,FALSE)-VLOOKUP($A66,DATA!$A$3:$F$301,3,FALSE))^2),"")</f>
        <v/>
      </c>
      <c r="AC66" s="14" t="str">
        <f>_xlfn.IFNA(SQRT((VLOOKUP(AC$1,DATA!$A$3:$F$301,2,FALSE)-VLOOKUP($A66,DATA!$A$3:$F$301,2,FALSE))^2+(VLOOKUP(AC$1,DATA!$A$3:$F$301,3,FALSE)-VLOOKUP($A66,DATA!$A$3:$F$301,3,FALSE))^2),"")</f>
        <v/>
      </c>
      <c r="AD66" s="14" t="str">
        <f>_xlfn.IFNA(SQRT((VLOOKUP(AD$1,DATA!$A$3:$F$301,2,FALSE)-VLOOKUP($A66,DATA!$A$3:$F$301,2,FALSE))^2+(VLOOKUP(AD$1,DATA!$A$3:$F$301,3,FALSE)-VLOOKUP($A66,DATA!$A$3:$F$301,3,FALSE))^2),"")</f>
        <v/>
      </c>
      <c r="AE66" s="14" t="str">
        <f>_xlfn.IFNA(SQRT((VLOOKUP(AE$1,DATA!$A$3:$F$301,2,FALSE)-VLOOKUP($A66,DATA!$A$3:$F$301,2,FALSE))^2+(VLOOKUP(AE$1,DATA!$A$3:$F$301,3,FALSE)-VLOOKUP($A66,DATA!$A$3:$F$301,3,FALSE))^2),"")</f>
        <v/>
      </c>
      <c r="AF66" s="14" t="str">
        <f>_xlfn.IFNA(SQRT((VLOOKUP(AF$1,DATA!$A$3:$F$301,2,FALSE)-VLOOKUP($A66,DATA!$A$3:$F$301,2,FALSE))^2+(VLOOKUP(AF$1,DATA!$A$3:$F$301,3,FALSE)-VLOOKUP($A66,DATA!$A$3:$F$301,3,FALSE))^2),"")</f>
        <v/>
      </c>
      <c r="AG66" s="14" t="str">
        <f>_xlfn.IFNA(SQRT((VLOOKUP(AG$1,DATA!$A$3:$F$301,2,FALSE)-VLOOKUP($A66,DATA!$A$3:$F$301,2,FALSE))^2+(VLOOKUP(AG$1,DATA!$A$3:$F$301,3,FALSE)-VLOOKUP($A66,DATA!$A$3:$F$301,3,FALSE))^2),"")</f>
        <v/>
      </c>
      <c r="AH66" s="14" t="str">
        <f>_xlfn.IFNA(SQRT((VLOOKUP(AH$1,DATA!$A$3:$F$301,2,FALSE)-VLOOKUP($A66,DATA!$A$3:$F$301,2,FALSE))^2+(VLOOKUP(AH$1,DATA!$A$3:$F$301,3,FALSE)-VLOOKUP($A66,DATA!$A$3:$F$301,3,FALSE))^2),"")</f>
        <v/>
      </c>
      <c r="AI66" s="14" t="str">
        <f>_xlfn.IFNA(SQRT((VLOOKUP(AI$1,DATA!$A$3:$F$301,2,FALSE)-VLOOKUP($A66,DATA!$A$3:$F$301,2,FALSE))^2+(VLOOKUP(AI$1,DATA!$A$3:$F$301,3,FALSE)-VLOOKUP($A66,DATA!$A$3:$F$301,3,FALSE))^2),"")</f>
        <v/>
      </c>
      <c r="AJ66" s="14" t="str">
        <f>_xlfn.IFNA(SQRT((VLOOKUP(AJ$1,DATA!$A$3:$F$301,2,FALSE)-VLOOKUP($A66,DATA!$A$3:$F$301,2,FALSE))^2+(VLOOKUP(AJ$1,DATA!$A$3:$F$301,3,FALSE)-VLOOKUP($A66,DATA!$A$3:$F$301,3,FALSE))^2),"")</f>
        <v/>
      </c>
      <c r="AK66" s="14" t="str">
        <f>_xlfn.IFNA(SQRT((VLOOKUP(AK$1,DATA!$A$3:$F$301,2,FALSE)-VLOOKUP($A66,DATA!$A$3:$F$301,2,FALSE))^2+(VLOOKUP(AK$1,DATA!$A$3:$F$301,3,FALSE)-VLOOKUP($A66,DATA!$A$3:$F$301,3,FALSE))^2),"")</f>
        <v/>
      </c>
      <c r="AL66" s="14" t="str">
        <f>_xlfn.IFNA(SQRT((VLOOKUP(AL$1,DATA!$A$3:$F$301,2,FALSE)-VLOOKUP($A66,DATA!$A$3:$F$301,2,FALSE))^2+(VLOOKUP(AL$1,DATA!$A$3:$F$301,3,FALSE)-VLOOKUP($A66,DATA!$A$3:$F$301,3,FALSE))^2),"")</f>
        <v/>
      </c>
      <c r="AM66" s="14" t="str">
        <f>_xlfn.IFNA(SQRT((VLOOKUP(AM$1,DATA!$A$3:$F$301,2,FALSE)-VLOOKUP($A66,DATA!$A$3:$F$301,2,FALSE))^2+(VLOOKUP(AM$1,DATA!$A$3:$F$301,3,FALSE)-VLOOKUP($A66,DATA!$A$3:$F$301,3,FALSE))^2),"")</f>
        <v/>
      </c>
      <c r="AN66" s="14" t="str">
        <f>_xlfn.IFNA(SQRT((VLOOKUP(AN$1,DATA!$A$3:$F$301,2,FALSE)-VLOOKUP($A66,DATA!$A$3:$F$301,2,FALSE))^2+(VLOOKUP(AN$1,DATA!$A$3:$F$301,3,FALSE)-VLOOKUP($A66,DATA!$A$3:$F$301,3,FALSE))^2),"")</f>
        <v/>
      </c>
      <c r="AO66" s="14" t="str">
        <f>_xlfn.IFNA(SQRT((VLOOKUP(AO$1,DATA!$A$3:$F$301,2,FALSE)-VLOOKUP($A66,DATA!$A$3:$F$301,2,FALSE))^2+(VLOOKUP(AO$1,DATA!$A$3:$F$301,3,FALSE)-VLOOKUP($A66,DATA!$A$3:$F$301,3,FALSE))^2),"")</f>
        <v/>
      </c>
      <c r="AP66" s="14" t="str">
        <f>_xlfn.IFNA(SQRT((VLOOKUP(AP$1,DATA!$A$3:$F$301,2,FALSE)-VLOOKUP($A66,DATA!$A$3:$F$301,2,FALSE))^2+(VLOOKUP(AP$1,DATA!$A$3:$F$301,3,FALSE)-VLOOKUP($A66,DATA!$A$3:$F$301,3,FALSE))^2),"")</f>
        <v/>
      </c>
      <c r="AQ66" s="14" t="str">
        <f>_xlfn.IFNA(SQRT((VLOOKUP(AQ$1,DATA!$A$3:$F$301,2,FALSE)-VLOOKUP($A66,DATA!$A$3:$F$301,2,FALSE))^2+(VLOOKUP(AQ$1,DATA!$A$3:$F$301,3,FALSE)-VLOOKUP($A66,DATA!$A$3:$F$301,3,FALSE))^2),"")</f>
        <v/>
      </c>
      <c r="AR66" s="14" t="str">
        <f>_xlfn.IFNA(SQRT((VLOOKUP(AR$1,DATA!$A$3:$F$301,2,FALSE)-VLOOKUP($A66,DATA!$A$3:$F$301,2,FALSE))^2+(VLOOKUP(AR$1,DATA!$A$3:$F$301,3,FALSE)-VLOOKUP($A66,DATA!$A$3:$F$301,3,FALSE))^2),"")</f>
        <v/>
      </c>
      <c r="AS66" s="14" t="str">
        <f>_xlfn.IFNA(SQRT((VLOOKUP(AS$1,DATA!$A$3:$F$301,2,FALSE)-VLOOKUP($A66,DATA!$A$3:$F$301,2,FALSE))^2+(VLOOKUP(AS$1,DATA!$A$3:$F$301,3,FALSE)-VLOOKUP($A66,DATA!$A$3:$F$301,3,FALSE))^2),"")</f>
        <v/>
      </c>
      <c r="AT66" s="14" t="str">
        <f>_xlfn.IFNA(SQRT((VLOOKUP(AT$1,DATA!$A$3:$F$301,2,FALSE)-VLOOKUP($A66,DATA!$A$3:$F$301,2,FALSE))^2+(VLOOKUP(AT$1,DATA!$A$3:$F$301,3,FALSE)-VLOOKUP($A66,DATA!$A$3:$F$301,3,FALSE))^2),"")</f>
        <v/>
      </c>
      <c r="AU66" s="14" t="str">
        <f>_xlfn.IFNA(SQRT((VLOOKUP(AU$1,DATA!$A$3:$F$301,2,FALSE)-VLOOKUP($A66,DATA!$A$3:$F$301,2,FALSE))^2+(VLOOKUP(AU$1,DATA!$A$3:$F$301,3,FALSE)-VLOOKUP($A66,DATA!$A$3:$F$301,3,FALSE))^2),"")</f>
        <v/>
      </c>
      <c r="AV66" s="14" t="str">
        <f>_xlfn.IFNA(SQRT((VLOOKUP(AV$1,DATA!$A$3:$F$301,2,FALSE)-VLOOKUP($A66,DATA!$A$3:$F$301,2,FALSE))^2+(VLOOKUP(AV$1,DATA!$A$3:$F$301,3,FALSE)-VLOOKUP($A66,DATA!$A$3:$F$301,3,FALSE))^2),"")</f>
        <v/>
      </c>
      <c r="AW66" s="14" t="str">
        <f>_xlfn.IFNA(SQRT((VLOOKUP(AW$1,DATA!$A$3:$F$301,2,FALSE)-VLOOKUP($A66,DATA!$A$3:$F$301,2,FALSE))^2+(VLOOKUP(AW$1,DATA!$A$3:$F$301,3,FALSE)-VLOOKUP($A66,DATA!$A$3:$F$301,3,FALSE))^2),"")</f>
        <v/>
      </c>
      <c r="AX66" s="14" t="str">
        <f>_xlfn.IFNA(SQRT((VLOOKUP(AX$1,DATA!$A$3:$F$301,2,FALSE)-VLOOKUP($A66,DATA!$A$3:$F$301,2,FALSE))^2+(VLOOKUP(AX$1,DATA!$A$3:$F$301,3,FALSE)-VLOOKUP($A66,DATA!$A$3:$F$301,3,FALSE))^2),"")</f>
        <v/>
      </c>
      <c r="AY66" s="14" t="str">
        <f>_xlfn.IFNA(SQRT((VLOOKUP(AY$1,DATA!$A$3:$F$301,2,FALSE)-VLOOKUP($A66,DATA!$A$3:$F$301,2,FALSE))^2+(VLOOKUP(AY$1,DATA!$A$3:$F$301,3,FALSE)-VLOOKUP($A66,DATA!$A$3:$F$301,3,FALSE))^2),"")</f>
        <v/>
      </c>
      <c r="AZ66" s="14" t="str">
        <f>_xlfn.IFNA(SQRT((VLOOKUP(AZ$1,DATA!$A$3:$F$301,2,FALSE)-VLOOKUP($A66,DATA!$A$3:$F$301,2,FALSE))^2+(VLOOKUP(AZ$1,DATA!$A$3:$F$301,3,FALSE)-VLOOKUP($A66,DATA!$A$3:$F$301,3,FALSE))^2),"")</f>
        <v/>
      </c>
      <c r="BA66" s="14" t="str">
        <f>_xlfn.IFNA(SQRT((VLOOKUP(BA$1,DATA!$A$3:$F$301,2,FALSE)-VLOOKUP($A66,DATA!$A$3:$F$301,2,FALSE))^2+(VLOOKUP(BA$1,DATA!$A$3:$F$301,3,FALSE)-VLOOKUP($A66,DATA!$A$3:$F$301,3,FALSE))^2),"")</f>
        <v/>
      </c>
      <c r="BB66" s="14" t="str">
        <f>_xlfn.IFNA(SQRT((VLOOKUP(BB$1,DATA!$A$3:$F$301,2,FALSE)-VLOOKUP($A66,DATA!$A$3:$F$301,2,FALSE))^2+(VLOOKUP(BB$1,DATA!$A$3:$F$301,3,FALSE)-VLOOKUP($A66,DATA!$A$3:$F$301,3,FALSE))^2),"")</f>
        <v/>
      </c>
      <c r="BC66" s="14" t="str">
        <f>_xlfn.IFNA(SQRT((VLOOKUP(BC$1,DATA!$A$3:$F$301,2,FALSE)-VLOOKUP($A66,DATA!$A$3:$F$301,2,FALSE))^2+(VLOOKUP(BC$1,DATA!$A$3:$F$301,3,FALSE)-VLOOKUP($A66,DATA!$A$3:$F$301,3,FALSE))^2),"")</f>
        <v/>
      </c>
      <c r="BD66" s="14" t="str">
        <f>_xlfn.IFNA(SQRT((VLOOKUP(BD$1,DATA!$A$3:$F$301,2,FALSE)-VLOOKUP($A66,DATA!$A$3:$F$301,2,FALSE))^2+(VLOOKUP(BD$1,DATA!$A$3:$F$301,3,FALSE)-VLOOKUP($A66,DATA!$A$3:$F$301,3,FALSE))^2),"")</f>
        <v/>
      </c>
      <c r="BE66" s="14" t="str">
        <f>_xlfn.IFNA(SQRT((VLOOKUP(BE$1,DATA!$A$3:$F$301,2,FALSE)-VLOOKUP($A66,DATA!$A$3:$F$301,2,FALSE))^2+(VLOOKUP(BE$1,DATA!$A$3:$F$301,3,FALSE)-VLOOKUP($A66,DATA!$A$3:$F$301,3,FALSE))^2),"")</f>
        <v/>
      </c>
      <c r="BF66" s="14" t="str">
        <f>_xlfn.IFNA(SQRT((VLOOKUP(BF$1,DATA!$A$3:$F$301,2,FALSE)-VLOOKUP($A66,DATA!$A$3:$F$301,2,FALSE))^2+(VLOOKUP(BF$1,DATA!$A$3:$F$301,3,FALSE)-VLOOKUP($A66,DATA!$A$3:$F$301,3,FALSE))^2),"")</f>
        <v/>
      </c>
      <c r="BG66" s="14" t="str">
        <f>_xlfn.IFNA(SQRT((VLOOKUP(BG$1,DATA!$A$3:$F$301,2,FALSE)-VLOOKUP($A66,DATA!$A$3:$F$301,2,FALSE))^2+(VLOOKUP(BG$1,DATA!$A$3:$F$301,3,FALSE)-VLOOKUP($A66,DATA!$A$3:$F$301,3,FALSE))^2),"")</f>
        <v/>
      </c>
      <c r="BH66" s="14" t="str">
        <f>_xlfn.IFNA(SQRT((VLOOKUP(BH$1,DATA!$A$3:$F$301,2,FALSE)-VLOOKUP($A66,DATA!$A$3:$F$301,2,FALSE))^2+(VLOOKUP(BH$1,DATA!$A$3:$F$301,3,FALSE)-VLOOKUP($A66,DATA!$A$3:$F$301,3,FALSE))^2),"")</f>
        <v/>
      </c>
      <c r="BI66" s="14" t="str">
        <f>_xlfn.IFNA(SQRT((VLOOKUP(BI$1,DATA!$A$3:$F$301,2,FALSE)-VLOOKUP($A66,DATA!$A$3:$F$301,2,FALSE))^2+(VLOOKUP(BI$1,DATA!$A$3:$F$301,3,FALSE)-VLOOKUP($A66,DATA!$A$3:$F$301,3,FALSE))^2),"")</f>
        <v/>
      </c>
      <c r="BJ66" s="14" t="str">
        <f>_xlfn.IFNA(SQRT((VLOOKUP(BJ$1,DATA!$A$3:$F$301,2,FALSE)-VLOOKUP($A66,DATA!$A$3:$F$301,2,FALSE))^2+(VLOOKUP(BJ$1,DATA!$A$3:$F$301,3,FALSE)-VLOOKUP($A66,DATA!$A$3:$F$301,3,FALSE))^2),"")</f>
        <v/>
      </c>
      <c r="BK66" s="14" t="str">
        <f>_xlfn.IFNA(SQRT((VLOOKUP(BK$1,DATA!$A$3:$F$301,2,FALSE)-VLOOKUP($A66,DATA!$A$3:$F$301,2,FALSE))^2+(VLOOKUP(BK$1,DATA!$A$3:$F$301,3,FALSE)-VLOOKUP($A66,DATA!$A$3:$F$301,3,FALSE))^2),"")</f>
        <v/>
      </c>
      <c r="BL66" s="14" t="str">
        <f>_xlfn.IFNA(SQRT((VLOOKUP(BL$1,DATA!$A$3:$F$301,2,FALSE)-VLOOKUP($A66,DATA!$A$3:$F$301,2,FALSE))^2+(VLOOKUP(BL$1,DATA!$A$3:$F$301,3,FALSE)-VLOOKUP($A66,DATA!$A$3:$F$301,3,FALSE))^2),"")</f>
        <v/>
      </c>
      <c r="BM66" s="14" t="str">
        <f>_xlfn.IFNA(SQRT((VLOOKUP(BM$1,DATA!$A$3:$F$301,2,FALSE)-VLOOKUP($A66,DATA!$A$3:$F$301,2,FALSE))^2+(VLOOKUP(BM$1,DATA!$A$3:$F$301,3,FALSE)-VLOOKUP($A66,DATA!$A$3:$F$301,3,FALSE))^2),"")</f>
        <v/>
      </c>
      <c r="BN66" s="14" t="str">
        <f>_xlfn.IFNA(SQRT((VLOOKUP(BN$1,DATA!$A$3:$F$301,2,FALSE)-VLOOKUP($A66,DATA!$A$3:$F$301,2,FALSE))^2+(VLOOKUP(BN$1,DATA!$A$3:$F$301,3,FALSE)-VLOOKUP($A66,DATA!$A$3:$F$301,3,FALSE))^2),"")</f>
        <v/>
      </c>
      <c r="BO66" s="14" t="str">
        <f>_xlfn.IFNA(SQRT((VLOOKUP(BO$1,DATA!$A$3:$F$301,2,FALSE)-VLOOKUP($A66,DATA!$A$3:$F$301,2,FALSE))^2+(VLOOKUP(BO$1,DATA!$A$3:$F$301,3,FALSE)-VLOOKUP($A66,DATA!$A$3:$F$301,3,FALSE))^2),"")</f>
        <v/>
      </c>
      <c r="BP66" s="14" t="str">
        <f>_xlfn.IFNA(SQRT((VLOOKUP(BP$1,DATA!$A$3:$F$301,2,FALSE)-VLOOKUP($A66,DATA!$A$3:$F$301,2,FALSE))^2+(VLOOKUP(BP$1,DATA!$A$3:$F$301,3,FALSE)-VLOOKUP($A66,DATA!$A$3:$F$301,3,FALSE))^2),"")</f>
        <v/>
      </c>
      <c r="BQ66" s="14" t="str">
        <f>_xlfn.IFNA(SQRT((VLOOKUP(BQ$1,DATA!$A$3:$F$301,2,FALSE)-VLOOKUP($A66,DATA!$A$3:$F$301,2,FALSE))^2+(VLOOKUP(BQ$1,DATA!$A$3:$F$301,3,FALSE)-VLOOKUP($A66,DATA!$A$3:$F$301,3,FALSE))^2),"")</f>
        <v/>
      </c>
      <c r="BR66" s="14" t="str">
        <f>_xlfn.IFNA(SQRT((VLOOKUP(BR$1,DATA!$A$3:$F$301,2,FALSE)-VLOOKUP($A66,DATA!$A$3:$F$301,2,FALSE))^2+(VLOOKUP(BR$1,DATA!$A$3:$F$301,3,FALSE)-VLOOKUP($A66,DATA!$A$3:$F$301,3,FALSE))^2),"")</f>
        <v/>
      </c>
      <c r="BS66" s="14" t="str">
        <f>_xlfn.IFNA(SQRT((VLOOKUP(BS$1,DATA!$A$3:$F$301,2,FALSE)-VLOOKUP($A66,DATA!$A$3:$F$301,2,FALSE))^2+(VLOOKUP(BS$1,DATA!$A$3:$F$301,3,FALSE)-VLOOKUP($A66,DATA!$A$3:$F$301,3,FALSE))^2),"")</f>
        <v/>
      </c>
      <c r="BT66" s="14" t="str">
        <f>_xlfn.IFNA(SQRT((VLOOKUP(BT$1,DATA!$A$3:$F$301,2,FALSE)-VLOOKUP($A66,DATA!$A$3:$F$301,2,FALSE))^2+(VLOOKUP(BT$1,DATA!$A$3:$F$301,3,FALSE)-VLOOKUP($A66,DATA!$A$3:$F$301,3,FALSE))^2),"")</f>
        <v/>
      </c>
      <c r="BU66" s="14" t="str">
        <f>_xlfn.IFNA(SQRT((VLOOKUP(BU$1,DATA!$A$3:$F$301,2,FALSE)-VLOOKUP($A66,DATA!$A$3:$F$301,2,FALSE))^2+(VLOOKUP(BU$1,DATA!$A$3:$F$301,3,FALSE)-VLOOKUP($A66,DATA!$A$3:$F$301,3,FALSE))^2),"")</f>
        <v/>
      </c>
      <c r="BV66" s="14" t="str">
        <f>_xlfn.IFNA(SQRT((VLOOKUP(BV$1,DATA!$A$3:$F$301,2,FALSE)-VLOOKUP($A66,DATA!$A$3:$F$301,2,FALSE))^2+(VLOOKUP(BV$1,DATA!$A$3:$F$301,3,FALSE)-VLOOKUP($A66,DATA!$A$3:$F$301,3,FALSE))^2),"")</f>
        <v/>
      </c>
      <c r="BW66" s="14" t="str">
        <f>_xlfn.IFNA(SQRT((VLOOKUP(BW$1,DATA!$A$3:$F$301,2,FALSE)-VLOOKUP($A66,DATA!$A$3:$F$301,2,FALSE))^2+(VLOOKUP(BW$1,DATA!$A$3:$F$301,3,FALSE)-VLOOKUP($A66,DATA!$A$3:$F$301,3,FALSE))^2),"")</f>
        <v/>
      </c>
      <c r="BX66" s="14" t="str">
        <f>_xlfn.IFNA(SQRT((VLOOKUP(BX$1,DATA!$A$3:$F$301,2,FALSE)-VLOOKUP($A66,DATA!$A$3:$F$301,2,FALSE))^2+(VLOOKUP(BX$1,DATA!$A$3:$F$301,3,FALSE)-VLOOKUP($A66,DATA!$A$3:$F$301,3,FALSE))^2),"")</f>
        <v/>
      </c>
      <c r="BY66" s="14" t="str">
        <f>_xlfn.IFNA(SQRT((VLOOKUP(BY$1,DATA!$A$3:$F$301,2,FALSE)-VLOOKUP($A66,DATA!$A$3:$F$301,2,FALSE))^2+(VLOOKUP(BY$1,DATA!$A$3:$F$301,3,FALSE)-VLOOKUP($A66,DATA!$A$3:$F$301,3,FALSE))^2),"")</f>
        <v/>
      </c>
      <c r="BZ66" s="14" t="str">
        <f>_xlfn.IFNA(SQRT((VLOOKUP(BZ$1,DATA!$A$3:$F$301,2,FALSE)-VLOOKUP($A66,DATA!$A$3:$F$301,2,FALSE))^2+(VLOOKUP(BZ$1,DATA!$A$3:$F$301,3,FALSE)-VLOOKUP($A66,DATA!$A$3:$F$301,3,FALSE))^2),"")</f>
        <v/>
      </c>
      <c r="CA66" s="14" t="str">
        <f>_xlfn.IFNA(SQRT((VLOOKUP(CA$1,DATA!$A$3:$F$301,2,FALSE)-VLOOKUP($A66,DATA!$A$3:$F$301,2,FALSE))^2+(VLOOKUP(CA$1,DATA!$A$3:$F$301,3,FALSE)-VLOOKUP($A66,DATA!$A$3:$F$301,3,FALSE))^2),"")</f>
        <v/>
      </c>
      <c r="CB66" s="14" t="str">
        <f>_xlfn.IFNA(SQRT((VLOOKUP(CB$1,DATA!$A$3:$F$301,2,FALSE)-VLOOKUP($A66,DATA!$A$3:$F$301,2,FALSE))^2+(VLOOKUP(CB$1,DATA!$A$3:$F$301,3,FALSE)-VLOOKUP($A66,DATA!$A$3:$F$301,3,FALSE))^2),"")</f>
        <v/>
      </c>
      <c r="CC66" s="14" t="str">
        <f>_xlfn.IFNA(SQRT((VLOOKUP(CC$1,DATA!$A$3:$F$301,2,FALSE)-VLOOKUP($A66,DATA!$A$3:$F$301,2,FALSE))^2+(VLOOKUP(CC$1,DATA!$A$3:$F$301,3,FALSE)-VLOOKUP($A66,DATA!$A$3:$F$301,3,FALSE))^2),"")</f>
        <v/>
      </c>
      <c r="CD66" s="14" t="str">
        <f>_xlfn.IFNA(SQRT((VLOOKUP(CD$1,DATA!$A$3:$F$301,2,FALSE)-VLOOKUP($A66,DATA!$A$3:$F$301,2,FALSE))^2+(VLOOKUP(CD$1,DATA!$A$3:$F$301,3,FALSE)-VLOOKUP($A66,DATA!$A$3:$F$301,3,FALSE))^2),"")</f>
        <v/>
      </c>
      <c r="CE66" s="14" t="str">
        <f>_xlfn.IFNA(SQRT((VLOOKUP(CE$1,DATA!$A$3:$F$301,2,FALSE)-VLOOKUP($A66,DATA!$A$3:$F$301,2,FALSE))^2+(VLOOKUP(CE$1,DATA!$A$3:$F$301,3,FALSE)-VLOOKUP($A66,DATA!$A$3:$F$301,3,FALSE))^2),"")</f>
        <v/>
      </c>
      <c r="CF66" s="14" t="str">
        <f>_xlfn.IFNA(SQRT((VLOOKUP(CF$1,DATA!$A$3:$F$301,2,FALSE)-VLOOKUP($A66,DATA!$A$3:$F$301,2,FALSE))^2+(VLOOKUP(CF$1,DATA!$A$3:$F$301,3,FALSE)-VLOOKUP($A66,DATA!$A$3:$F$301,3,FALSE))^2),"")</f>
        <v/>
      </c>
      <c r="CG66" s="14" t="str">
        <f>_xlfn.IFNA(SQRT((VLOOKUP(CG$1,DATA!$A$3:$F$301,2,FALSE)-VLOOKUP($A66,DATA!$A$3:$F$301,2,FALSE))^2+(VLOOKUP(CG$1,DATA!$A$3:$F$301,3,FALSE)-VLOOKUP($A66,DATA!$A$3:$F$301,3,FALSE))^2),"")</f>
        <v/>
      </c>
      <c r="CH66" s="14" t="str">
        <f>_xlfn.IFNA(SQRT((VLOOKUP(CH$1,DATA!$A$3:$F$301,2,FALSE)-VLOOKUP($A66,DATA!$A$3:$F$301,2,FALSE))^2+(VLOOKUP(CH$1,DATA!$A$3:$F$301,3,FALSE)-VLOOKUP($A66,DATA!$A$3:$F$301,3,FALSE))^2),"")</f>
        <v/>
      </c>
      <c r="CI66" s="14" t="str">
        <f>_xlfn.IFNA(SQRT((VLOOKUP(CI$1,DATA!$A$3:$F$301,2,FALSE)-VLOOKUP($A66,DATA!$A$3:$F$301,2,FALSE))^2+(VLOOKUP(CI$1,DATA!$A$3:$F$301,3,FALSE)-VLOOKUP($A66,DATA!$A$3:$F$301,3,FALSE))^2),"")</f>
        <v/>
      </c>
      <c r="CJ66" s="14" t="str">
        <f>_xlfn.IFNA(SQRT((VLOOKUP(CJ$1,DATA!$A$3:$F$301,2,FALSE)-VLOOKUP($A66,DATA!$A$3:$F$301,2,FALSE))^2+(VLOOKUP(CJ$1,DATA!$A$3:$F$301,3,FALSE)-VLOOKUP($A66,DATA!$A$3:$F$301,3,FALSE))^2),"")</f>
        <v/>
      </c>
      <c r="CK66" s="14" t="str">
        <f>_xlfn.IFNA(SQRT((VLOOKUP(CK$1,DATA!$A$3:$F$301,2,FALSE)-VLOOKUP($A66,DATA!$A$3:$F$301,2,FALSE))^2+(VLOOKUP(CK$1,DATA!$A$3:$F$301,3,FALSE)-VLOOKUP($A66,DATA!$A$3:$F$301,3,FALSE))^2),"")</f>
        <v/>
      </c>
      <c r="CL66" s="14" t="str">
        <f>_xlfn.IFNA(SQRT((VLOOKUP(CL$1,DATA!$A$3:$F$301,2,FALSE)-VLOOKUP($A66,DATA!$A$3:$F$301,2,FALSE))^2+(VLOOKUP(CL$1,DATA!$A$3:$F$301,3,FALSE)-VLOOKUP($A66,DATA!$A$3:$F$301,3,FALSE))^2),"")</f>
        <v/>
      </c>
      <c r="CM66" s="14" t="str">
        <f>_xlfn.IFNA(SQRT((VLOOKUP(CM$1,DATA!$A$3:$F$301,2,FALSE)-VLOOKUP($A66,DATA!$A$3:$F$301,2,FALSE))^2+(VLOOKUP(CM$1,DATA!$A$3:$F$301,3,FALSE)-VLOOKUP($A66,DATA!$A$3:$F$301,3,FALSE))^2),"")</f>
        <v/>
      </c>
      <c r="CN66" s="14" t="str">
        <f>_xlfn.IFNA(SQRT((VLOOKUP(CN$1,DATA!$A$3:$F$301,2,FALSE)-VLOOKUP($A66,DATA!$A$3:$F$301,2,FALSE))^2+(VLOOKUP(CN$1,DATA!$A$3:$F$301,3,FALSE)-VLOOKUP($A66,DATA!$A$3:$F$301,3,FALSE))^2),"")</f>
        <v/>
      </c>
      <c r="CO66" s="14" t="str">
        <f>_xlfn.IFNA(SQRT((VLOOKUP(CO$1,DATA!$A$3:$F$301,2,FALSE)-VLOOKUP($A66,DATA!$A$3:$F$301,2,FALSE))^2+(VLOOKUP(CO$1,DATA!$A$3:$F$301,3,FALSE)-VLOOKUP($A66,DATA!$A$3:$F$301,3,FALSE))^2),"")</f>
        <v/>
      </c>
      <c r="CP66" s="14" t="str">
        <f>_xlfn.IFNA(SQRT((VLOOKUP(CP$1,DATA!$A$3:$F$301,2,FALSE)-VLOOKUP($A66,DATA!$A$3:$F$301,2,FALSE))^2+(VLOOKUP(CP$1,DATA!$A$3:$F$301,3,FALSE)-VLOOKUP($A66,DATA!$A$3:$F$301,3,FALSE))^2),"")</f>
        <v/>
      </c>
      <c r="CQ66" s="14" t="str">
        <f>_xlfn.IFNA(SQRT((VLOOKUP(CQ$1,DATA!$A$3:$F$301,2,FALSE)-VLOOKUP($A66,DATA!$A$3:$F$301,2,FALSE))^2+(VLOOKUP(CQ$1,DATA!$A$3:$F$301,3,FALSE)-VLOOKUP($A66,DATA!$A$3:$F$301,3,FALSE))^2),"")</f>
        <v/>
      </c>
      <c r="CR66" s="14" t="str">
        <f>_xlfn.IFNA(SQRT((VLOOKUP(CR$1,DATA!$A$3:$F$301,2,FALSE)-VLOOKUP($A66,DATA!$A$3:$F$301,2,FALSE))^2+(VLOOKUP(CR$1,DATA!$A$3:$F$301,3,FALSE)-VLOOKUP($A66,DATA!$A$3:$F$301,3,FALSE))^2),"")</f>
        <v/>
      </c>
      <c r="CS66" s="14" t="str">
        <f>_xlfn.IFNA(SQRT((VLOOKUP(CS$1,DATA!$A$3:$F$301,2,FALSE)-VLOOKUP($A66,DATA!$A$3:$F$301,2,FALSE))^2+(VLOOKUP(CS$1,DATA!$A$3:$F$301,3,FALSE)-VLOOKUP($A66,DATA!$A$3:$F$301,3,FALSE))^2),"")</f>
        <v/>
      </c>
      <c r="CT66" s="14" t="str">
        <f>_xlfn.IFNA(SQRT((VLOOKUP(CT$1,DATA!$A$3:$F$301,2,FALSE)-VLOOKUP($A66,DATA!$A$3:$F$301,2,FALSE))^2+(VLOOKUP(CT$1,DATA!$A$3:$F$301,3,FALSE)-VLOOKUP($A66,DATA!$A$3:$F$301,3,FALSE))^2),"")</f>
        <v/>
      </c>
      <c r="CU66" s="14" t="str">
        <f>_xlfn.IFNA(SQRT((VLOOKUP(CU$1,DATA!$A$3:$F$301,2,FALSE)-VLOOKUP($A66,DATA!$A$3:$F$301,2,FALSE))^2+(VLOOKUP(CU$1,DATA!$A$3:$F$301,3,FALSE)-VLOOKUP($A66,DATA!$A$3:$F$301,3,FALSE))^2),"")</f>
        <v/>
      </c>
      <c r="CV66" s="14" t="str">
        <f>_xlfn.IFNA(SQRT((VLOOKUP(CV$1,DATA!$A$3:$F$301,2,FALSE)-VLOOKUP($A66,DATA!$A$3:$F$301,2,FALSE))^2+(VLOOKUP(CV$1,DATA!$A$3:$F$301,3,FALSE)-VLOOKUP($A66,DATA!$A$3:$F$301,3,FALSE))^2),"")</f>
        <v/>
      </c>
      <c r="CW66" s="14" t="str">
        <f>_xlfn.IFNA(SQRT((VLOOKUP(CW$1,DATA!$A$3:$F$301,2,FALSE)-VLOOKUP($A66,DATA!$A$3:$F$301,2,FALSE))^2+(VLOOKUP(CW$1,DATA!$A$3:$F$301,3,FALSE)-VLOOKUP($A66,DATA!$A$3:$F$301,3,FALSE))^2),"")</f>
        <v/>
      </c>
      <c r="CX66" s="14" t="str">
        <f>_xlfn.IFNA(SQRT((VLOOKUP(CX$1,DATA!$A$3:$F$301,2,FALSE)-VLOOKUP($A66,DATA!$A$3:$F$301,2,FALSE))^2+(VLOOKUP(CX$1,DATA!$A$3:$F$301,3,FALSE)-VLOOKUP($A66,DATA!$A$3:$F$301,3,FALSE))^2),"")</f>
        <v/>
      </c>
    </row>
    <row r="67" spans="1:102">
      <c r="A67" s="13">
        <v>66</v>
      </c>
      <c r="B67" s="14" t="str">
        <f>_xlfn.IFNA(SQRT((VLOOKUP(B$1,DATA!$A$3:$F$301,2,FALSE)-VLOOKUP($A67,DATA!$A$3:$F$301,2,FALSE))^2+(VLOOKUP(B$1,DATA!$A$3:$F$301,3,FALSE)-VLOOKUP($A67,DATA!$A$3:$F$301,3,FALSE))^2),"")</f>
        <v/>
      </c>
      <c r="C67" s="14" t="str">
        <f>_xlfn.IFNA(SQRT((VLOOKUP(C$1,DATA!$A$3:$F$301,2,FALSE)-VLOOKUP($A67,DATA!$A$3:$F$301,2,FALSE))^2+(VLOOKUP(C$1,DATA!$A$3:$F$301,3,FALSE)-VLOOKUP($A67,DATA!$A$3:$F$301,3,FALSE))^2),"")</f>
        <v/>
      </c>
      <c r="D67" s="14" t="str">
        <f>_xlfn.IFNA(SQRT((VLOOKUP(D$1,DATA!$A$3:$F$301,2,FALSE)-VLOOKUP($A67,DATA!$A$3:$F$301,2,FALSE))^2+(VLOOKUP(D$1,DATA!$A$3:$F$301,3,FALSE)-VLOOKUP($A67,DATA!$A$3:$F$301,3,FALSE))^2),"")</f>
        <v/>
      </c>
      <c r="E67" s="14" t="str">
        <f>_xlfn.IFNA(SQRT((VLOOKUP(E$1,DATA!$A$3:$F$301,2,FALSE)-VLOOKUP($A67,DATA!$A$3:$F$301,2,FALSE))^2+(VLOOKUP(E$1,DATA!$A$3:$F$301,3,FALSE)-VLOOKUP($A67,DATA!$A$3:$F$301,3,FALSE))^2),"")</f>
        <v/>
      </c>
      <c r="F67" s="14" t="str">
        <f>_xlfn.IFNA(SQRT((VLOOKUP(F$1,DATA!$A$3:$F$301,2,FALSE)-VLOOKUP($A67,DATA!$A$3:$F$301,2,FALSE))^2+(VLOOKUP(F$1,DATA!$A$3:$F$301,3,FALSE)-VLOOKUP($A67,DATA!$A$3:$F$301,3,FALSE))^2),"")</f>
        <v/>
      </c>
      <c r="G67" s="14" t="str">
        <f>_xlfn.IFNA(SQRT((VLOOKUP(G$1,DATA!$A$3:$F$301,2,FALSE)-VLOOKUP($A67,DATA!$A$3:$F$301,2,FALSE))^2+(VLOOKUP(G$1,DATA!$A$3:$F$301,3,FALSE)-VLOOKUP($A67,DATA!$A$3:$F$301,3,FALSE))^2),"")</f>
        <v/>
      </c>
      <c r="H67" s="14" t="str">
        <f>_xlfn.IFNA(SQRT((VLOOKUP(H$1,DATA!$A$3:$F$301,2,FALSE)-VLOOKUP($A67,DATA!$A$3:$F$301,2,FALSE))^2+(VLOOKUP(H$1,DATA!$A$3:$F$301,3,FALSE)-VLOOKUP($A67,DATA!$A$3:$F$301,3,FALSE))^2),"")</f>
        <v/>
      </c>
      <c r="I67" s="14" t="str">
        <f>_xlfn.IFNA(SQRT((VLOOKUP(I$1,DATA!$A$3:$F$301,2,FALSE)-VLOOKUP($A67,DATA!$A$3:$F$301,2,FALSE))^2+(VLOOKUP(I$1,DATA!$A$3:$F$301,3,FALSE)-VLOOKUP($A67,DATA!$A$3:$F$301,3,FALSE))^2),"")</f>
        <v/>
      </c>
      <c r="J67" s="14" t="str">
        <f>_xlfn.IFNA(SQRT((VLOOKUP(J$1,DATA!$A$3:$F$301,2,FALSE)-VLOOKUP($A67,DATA!$A$3:$F$301,2,FALSE))^2+(VLOOKUP(J$1,DATA!$A$3:$F$301,3,FALSE)-VLOOKUP($A67,DATA!$A$3:$F$301,3,FALSE))^2),"")</f>
        <v/>
      </c>
      <c r="K67" s="14" t="str">
        <f>_xlfn.IFNA(SQRT((VLOOKUP(K$1,DATA!$A$3:$F$301,2,FALSE)-VLOOKUP($A67,DATA!$A$3:$F$301,2,FALSE))^2+(VLOOKUP(K$1,DATA!$A$3:$F$301,3,FALSE)-VLOOKUP($A67,DATA!$A$3:$F$301,3,FALSE))^2),"")</f>
        <v/>
      </c>
      <c r="L67" s="14" t="str">
        <f>_xlfn.IFNA(SQRT((VLOOKUP(L$1,DATA!$A$3:$F$301,2,FALSE)-VLOOKUP($A67,DATA!$A$3:$F$301,2,FALSE))^2+(VLOOKUP(L$1,DATA!$A$3:$F$301,3,FALSE)-VLOOKUP($A67,DATA!$A$3:$F$301,3,FALSE))^2),"")</f>
        <v/>
      </c>
      <c r="M67" s="14" t="str">
        <f>_xlfn.IFNA(SQRT((VLOOKUP(M$1,DATA!$A$3:$F$301,2,FALSE)-VLOOKUP($A67,DATA!$A$3:$F$301,2,FALSE))^2+(VLOOKUP(M$1,DATA!$A$3:$F$301,3,FALSE)-VLOOKUP($A67,DATA!$A$3:$F$301,3,FALSE))^2),"")</f>
        <v/>
      </c>
      <c r="N67" s="14" t="str">
        <f>_xlfn.IFNA(SQRT((VLOOKUP(N$1,DATA!$A$3:$F$301,2,FALSE)-VLOOKUP($A67,DATA!$A$3:$F$301,2,FALSE))^2+(VLOOKUP(N$1,DATA!$A$3:$F$301,3,FALSE)-VLOOKUP($A67,DATA!$A$3:$F$301,3,FALSE))^2),"")</f>
        <v/>
      </c>
      <c r="O67" s="14" t="str">
        <f>_xlfn.IFNA(SQRT((VLOOKUP(O$1,DATA!$A$3:$F$301,2,FALSE)-VLOOKUP($A67,DATA!$A$3:$F$301,2,FALSE))^2+(VLOOKUP(O$1,DATA!$A$3:$F$301,3,FALSE)-VLOOKUP($A67,DATA!$A$3:$F$301,3,FALSE))^2),"")</f>
        <v/>
      </c>
      <c r="P67" s="14" t="str">
        <f>_xlfn.IFNA(SQRT((VLOOKUP(P$1,DATA!$A$3:$F$301,2,FALSE)-VLOOKUP($A67,DATA!$A$3:$F$301,2,FALSE))^2+(VLOOKUP(P$1,DATA!$A$3:$F$301,3,FALSE)-VLOOKUP($A67,DATA!$A$3:$F$301,3,FALSE))^2),"")</f>
        <v/>
      </c>
      <c r="Q67" s="14" t="str">
        <f>_xlfn.IFNA(SQRT((VLOOKUP(Q$1,DATA!$A$3:$F$301,2,FALSE)-VLOOKUP($A67,DATA!$A$3:$F$301,2,FALSE))^2+(VLOOKUP(Q$1,DATA!$A$3:$F$301,3,FALSE)-VLOOKUP($A67,DATA!$A$3:$F$301,3,FALSE))^2),"")</f>
        <v/>
      </c>
      <c r="R67" s="14" t="str">
        <f>_xlfn.IFNA(SQRT((VLOOKUP(R$1,DATA!$A$3:$F$301,2,FALSE)-VLOOKUP($A67,DATA!$A$3:$F$301,2,FALSE))^2+(VLOOKUP(R$1,DATA!$A$3:$F$301,3,FALSE)-VLOOKUP($A67,DATA!$A$3:$F$301,3,FALSE))^2),"")</f>
        <v/>
      </c>
      <c r="S67" s="14" t="str">
        <f>_xlfn.IFNA(SQRT((VLOOKUP(S$1,DATA!$A$3:$F$301,2,FALSE)-VLOOKUP($A67,DATA!$A$3:$F$301,2,FALSE))^2+(VLOOKUP(S$1,DATA!$A$3:$F$301,3,FALSE)-VLOOKUP($A67,DATA!$A$3:$F$301,3,FALSE))^2),"")</f>
        <v/>
      </c>
      <c r="T67" s="14" t="str">
        <f>_xlfn.IFNA(SQRT((VLOOKUP(T$1,DATA!$A$3:$F$301,2,FALSE)-VLOOKUP($A67,DATA!$A$3:$F$301,2,FALSE))^2+(VLOOKUP(T$1,DATA!$A$3:$F$301,3,FALSE)-VLOOKUP($A67,DATA!$A$3:$F$301,3,FALSE))^2),"")</f>
        <v/>
      </c>
      <c r="U67" s="14" t="str">
        <f>_xlfn.IFNA(SQRT((VLOOKUP(U$1,DATA!$A$3:$F$301,2,FALSE)-VLOOKUP($A67,DATA!$A$3:$F$301,2,FALSE))^2+(VLOOKUP(U$1,DATA!$A$3:$F$301,3,FALSE)-VLOOKUP($A67,DATA!$A$3:$F$301,3,FALSE))^2),"")</f>
        <v/>
      </c>
      <c r="V67" s="14" t="str">
        <f>_xlfn.IFNA(SQRT((VLOOKUP(V$1,DATA!$A$3:$F$301,2,FALSE)-VLOOKUP($A67,DATA!$A$3:$F$301,2,FALSE))^2+(VLOOKUP(V$1,DATA!$A$3:$F$301,3,FALSE)-VLOOKUP($A67,DATA!$A$3:$F$301,3,FALSE))^2),"")</f>
        <v/>
      </c>
      <c r="W67" s="14" t="str">
        <f>_xlfn.IFNA(SQRT((VLOOKUP(W$1,DATA!$A$3:$F$301,2,FALSE)-VLOOKUP($A67,DATA!$A$3:$F$301,2,FALSE))^2+(VLOOKUP(W$1,DATA!$A$3:$F$301,3,FALSE)-VLOOKUP($A67,DATA!$A$3:$F$301,3,FALSE))^2),"")</f>
        <v/>
      </c>
      <c r="X67" s="14" t="str">
        <f>_xlfn.IFNA(SQRT((VLOOKUP(X$1,DATA!$A$3:$F$301,2,FALSE)-VLOOKUP($A67,DATA!$A$3:$F$301,2,FALSE))^2+(VLOOKUP(X$1,DATA!$A$3:$F$301,3,FALSE)-VLOOKUP($A67,DATA!$A$3:$F$301,3,FALSE))^2),"")</f>
        <v/>
      </c>
      <c r="Y67" s="14" t="str">
        <f>_xlfn.IFNA(SQRT((VLOOKUP(Y$1,DATA!$A$3:$F$301,2,FALSE)-VLOOKUP($A67,DATA!$A$3:$F$301,2,FALSE))^2+(VLOOKUP(Y$1,DATA!$A$3:$F$301,3,FALSE)-VLOOKUP($A67,DATA!$A$3:$F$301,3,FALSE))^2),"")</f>
        <v/>
      </c>
      <c r="Z67" s="14" t="str">
        <f>_xlfn.IFNA(SQRT((VLOOKUP(Z$1,DATA!$A$3:$F$301,2,FALSE)-VLOOKUP($A67,DATA!$A$3:$F$301,2,FALSE))^2+(VLOOKUP(Z$1,DATA!$A$3:$F$301,3,FALSE)-VLOOKUP($A67,DATA!$A$3:$F$301,3,FALSE))^2),"")</f>
        <v/>
      </c>
      <c r="AA67" s="14" t="str">
        <f>_xlfn.IFNA(SQRT((VLOOKUP(AA$1,DATA!$A$3:$F$301,2,FALSE)-VLOOKUP($A67,DATA!$A$3:$F$301,2,FALSE))^2+(VLOOKUP(AA$1,DATA!$A$3:$F$301,3,FALSE)-VLOOKUP($A67,DATA!$A$3:$F$301,3,FALSE))^2),"")</f>
        <v/>
      </c>
      <c r="AB67" s="14" t="str">
        <f>_xlfn.IFNA(SQRT((VLOOKUP(AB$1,DATA!$A$3:$F$301,2,FALSE)-VLOOKUP($A67,DATA!$A$3:$F$301,2,FALSE))^2+(VLOOKUP(AB$1,DATA!$A$3:$F$301,3,FALSE)-VLOOKUP($A67,DATA!$A$3:$F$301,3,FALSE))^2),"")</f>
        <v/>
      </c>
      <c r="AC67" s="14" t="str">
        <f>_xlfn.IFNA(SQRT((VLOOKUP(AC$1,DATA!$A$3:$F$301,2,FALSE)-VLOOKUP($A67,DATA!$A$3:$F$301,2,FALSE))^2+(VLOOKUP(AC$1,DATA!$A$3:$F$301,3,FALSE)-VLOOKUP($A67,DATA!$A$3:$F$301,3,FALSE))^2),"")</f>
        <v/>
      </c>
      <c r="AD67" s="14" t="str">
        <f>_xlfn.IFNA(SQRT((VLOOKUP(AD$1,DATA!$A$3:$F$301,2,FALSE)-VLOOKUP($A67,DATA!$A$3:$F$301,2,FALSE))^2+(VLOOKUP(AD$1,DATA!$A$3:$F$301,3,FALSE)-VLOOKUP($A67,DATA!$A$3:$F$301,3,FALSE))^2),"")</f>
        <v/>
      </c>
      <c r="AE67" s="14" t="str">
        <f>_xlfn.IFNA(SQRT((VLOOKUP(AE$1,DATA!$A$3:$F$301,2,FALSE)-VLOOKUP($A67,DATA!$A$3:$F$301,2,FALSE))^2+(VLOOKUP(AE$1,DATA!$A$3:$F$301,3,FALSE)-VLOOKUP($A67,DATA!$A$3:$F$301,3,FALSE))^2),"")</f>
        <v/>
      </c>
      <c r="AF67" s="14" t="str">
        <f>_xlfn.IFNA(SQRT((VLOOKUP(AF$1,DATA!$A$3:$F$301,2,FALSE)-VLOOKUP($A67,DATA!$A$3:$F$301,2,FALSE))^2+(VLOOKUP(AF$1,DATA!$A$3:$F$301,3,FALSE)-VLOOKUP($A67,DATA!$A$3:$F$301,3,FALSE))^2),"")</f>
        <v/>
      </c>
      <c r="AG67" s="14" t="str">
        <f>_xlfn.IFNA(SQRT((VLOOKUP(AG$1,DATA!$A$3:$F$301,2,FALSE)-VLOOKUP($A67,DATA!$A$3:$F$301,2,FALSE))^2+(VLOOKUP(AG$1,DATA!$A$3:$F$301,3,FALSE)-VLOOKUP($A67,DATA!$A$3:$F$301,3,FALSE))^2),"")</f>
        <v/>
      </c>
      <c r="AH67" s="14" t="str">
        <f>_xlfn.IFNA(SQRT((VLOOKUP(AH$1,DATA!$A$3:$F$301,2,FALSE)-VLOOKUP($A67,DATA!$A$3:$F$301,2,FALSE))^2+(VLOOKUP(AH$1,DATA!$A$3:$F$301,3,FALSE)-VLOOKUP($A67,DATA!$A$3:$F$301,3,FALSE))^2),"")</f>
        <v/>
      </c>
      <c r="AI67" s="14" t="str">
        <f>_xlfn.IFNA(SQRT((VLOOKUP(AI$1,DATA!$A$3:$F$301,2,FALSE)-VLOOKUP($A67,DATA!$A$3:$F$301,2,FALSE))^2+(VLOOKUP(AI$1,DATA!$A$3:$F$301,3,FALSE)-VLOOKUP($A67,DATA!$A$3:$F$301,3,FALSE))^2),"")</f>
        <v/>
      </c>
      <c r="AJ67" s="14" t="str">
        <f>_xlfn.IFNA(SQRT((VLOOKUP(AJ$1,DATA!$A$3:$F$301,2,FALSE)-VLOOKUP($A67,DATA!$A$3:$F$301,2,FALSE))^2+(VLOOKUP(AJ$1,DATA!$A$3:$F$301,3,FALSE)-VLOOKUP($A67,DATA!$A$3:$F$301,3,FALSE))^2),"")</f>
        <v/>
      </c>
      <c r="AK67" s="14" t="str">
        <f>_xlfn.IFNA(SQRT((VLOOKUP(AK$1,DATA!$A$3:$F$301,2,FALSE)-VLOOKUP($A67,DATA!$A$3:$F$301,2,FALSE))^2+(VLOOKUP(AK$1,DATA!$A$3:$F$301,3,FALSE)-VLOOKUP($A67,DATA!$A$3:$F$301,3,FALSE))^2),"")</f>
        <v/>
      </c>
      <c r="AL67" s="14" t="str">
        <f>_xlfn.IFNA(SQRT((VLOOKUP(AL$1,DATA!$A$3:$F$301,2,FALSE)-VLOOKUP($A67,DATA!$A$3:$F$301,2,FALSE))^2+(VLOOKUP(AL$1,DATA!$A$3:$F$301,3,FALSE)-VLOOKUP($A67,DATA!$A$3:$F$301,3,FALSE))^2),"")</f>
        <v/>
      </c>
      <c r="AM67" s="14" t="str">
        <f>_xlfn.IFNA(SQRT((VLOOKUP(AM$1,DATA!$A$3:$F$301,2,FALSE)-VLOOKUP($A67,DATA!$A$3:$F$301,2,FALSE))^2+(VLOOKUP(AM$1,DATA!$A$3:$F$301,3,FALSE)-VLOOKUP($A67,DATA!$A$3:$F$301,3,FALSE))^2),"")</f>
        <v/>
      </c>
      <c r="AN67" s="14" t="str">
        <f>_xlfn.IFNA(SQRT((VLOOKUP(AN$1,DATA!$A$3:$F$301,2,FALSE)-VLOOKUP($A67,DATA!$A$3:$F$301,2,FALSE))^2+(VLOOKUP(AN$1,DATA!$A$3:$F$301,3,FALSE)-VLOOKUP($A67,DATA!$A$3:$F$301,3,FALSE))^2),"")</f>
        <v/>
      </c>
      <c r="AO67" s="14" t="str">
        <f>_xlfn.IFNA(SQRT((VLOOKUP(AO$1,DATA!$A$3:$F$301,2,FALSE)-VLOOKUP($A67,DATA!$A$3:$F$301,2,FALSE))^2+(VLOOKUP(AO$1,DATA!$A$3:$F$301,3,FALSE)-VLOOKUP($A67,DATA!$A$3:$F$301,3,FALSE))^2),"")</f>
        <v/>
      </c>
      <c r="AP67" s="14" t="str">
        <f>_xlfn.IFNA(SQRT((VLOOKUP(AP$1,DATA!$A$3:$F$301,2,FALSE)-VLOOKUP($A67,DATA!$A$3:$F$301,2,FALSE))^2+(VLOOKUP(AP$1,DATA!$A$3:$F$301,3,FALSE)-VLOOKUP($A67,DATA!$A$3:$F$301,3,FALSE))^2),"")</f>
        <v/>
      </c>
      <c r="AQ67" s="14" t="str">
        <f>_xlfn.IFNA(SQRT((VLOOKUP(AQ$1,DATA!$A$3:$F$301,2,FALSE)-VLOOKUP($A67,DATA!$A$3:$F$301,2,FALSE))^2+(VLOOKUP(AQ$1,DATA!$A$3:$F$301,3,FALSE)-VLOOKUP($A67,DATA!$A$3:$F$301,3,FALSE))^2),"")</f>
        <v/>
      </c>
      <c r="AR67" s="14" t="str">
        <f>_xlfn.IFNA(SQRT((VLOOKUP(AR$1,DATA!$A$3:$F$301,2,FALSE)-VLOOKUP($A67,DATA!$A$3:$F$301,2,FALSE))^2+(VLOOKUP(AR$1,DATA!$A$3:$F$301,3,FALSE)-VLOOKUP($A67,DATA!$A$3:$F$301,3,FALSE))^2),"")</f>
        <v/>
      </c>
      <c r="AS67" s="14" t="str">
        <f>_xlfn.IFNA(SQRT((VLOOKUP(AS$1,DATA!$A$3:$F$301,2,FALSE)-VLOOKUP($A67,DATA!$A$3:$F$301,2,FALSE))^2+(VLOOKUP(AS$1,DATA!$A$3:$F$301,3,FALSE)-VLOOKUP($A67,DATA!$A$3:$F$301,3,FALSE))^2),"")</f>
        <v/>
      </c>
      <c r="AT67" s="14" t="str">
        <f>_xlfn.IFNA(SQRT((VLOOKUP(AT$1,DATA!$A$3:$F$301,2,FALSE)-VLOOKUP($A67,DATA!$A$3:$F$301,2,FALSE))^2+(VLOOKUP(AT$1,DATA!$A$3:$F$301,3,FALSE)-VLOOKUP($A67,DATA!$A$3:$F$301,3,FALSE))^2),"")</f>
        <v/>
      </c>
      <c r="AU67" s="14" t="str">
        <f>_xlfn.IFNA(SQRT((VLOOKUP(AU$1,DATA!$A$3:$F$301,2,FALSE)-VLOOKUP($A67,DATA!$A$3:$F$301,2,FALSE))^2+(VLOOKUP(AU$1,DATA!$A$3:$F$301,3,FALSE)-VLOOKUP($A67,DATA!$A$3:$F$301,3,FALSE))^2),"")</f>
        <v/>
      </c>
      <c r="AV67" s="14" t="str">
        <f>_xlfn.IFNA(SQRT((VLOOKUP(AV$1,DATA!$A$3:$F$301,2,FALSE)-VLOOKUP($A67,DATA!$A$3:$F$301,2,FALSE))^2+(VLOOKUP(AV$1,DATA!$A$3:$F$301,3,FALSE)-VLOOKUP($A67,DATA!$A$3:$F$301,3,FALSE))^2),"")</f>
        <v/>
      </c>
      <c r="AW67" s="14" t="str">
        <f>_xlfn.IFNA(SQRT((VLOOKUP(AW$1,DATA!$A$3:$F$301,2,FALSE)-VLOOKUP($A67,DATA!$A$3:$F$301,2,FALSE))^2+(VLOOKUP(AW$1,DATA!$A$3:$F$301,3,FALSE)-VLOOKUP($A67,DATA!$A$3:$F$301,3,FALSE))^2),"")</f>
        <v/>
      </c>
      <c r="AX67" s="14" t="str">
        <f>_xlfn.IFNA(SQRT((VLOOKUP(AX$1,DATA!$A$3:$F$301,2,FALSE)-VLOOKUP($A67,DATA!$A$3:$F$301,2,FALSE))^2+(VLOOKUP(AX$1,DATA!$A$3:$F$301,3,FALSE)-VLOOKUP($A67,DATA!$A$3:$F$301,3,FALSE))^2),"")</f>
        <v/>
      </c>
      <c r="AY67" s="14" t="str">
        <f>_xlfn.IFNA(SQRT((VLOOKUP(AY$1,DATA!$A$3:$F$301,2,FALSE)-VLOOKUP($A67,DATA!$A$3:$F$301,2,FALSE))^2+(VLOOKUP(AY$1,DATA!$A$3:$F$301,3,FALSE)-VLOOKUP($A67,DATA!$A$3:$F$301,3,FALSE))^2),"")</f>
        <v/>
      </c>
      <c r="AZ67" s="14" t="str">
        <f>_xlfn.IFNA(SQRT((VLOOKUP(AZ$1,DATA!$A$3:$F$301,2,FALSE)-VLOOKUP($A67,DATA!$A$3:$F$301,2,FALSE))^2+(VLOOKUP(AZ$1,DATA!$A$3:$F$301,3,FALSE)-VLOOKUP($A67,DATA!$A$3:$F$301,3,FALSE))^2),"")</f>
        <v/>
      </c>
      <c r="BA67" s="14" t="str">
        <f>_xlfn.IFNA(SQRT((VLOOKUP(BA$1,DATA!$A$3:$F$301,2,FALSE)-VLOOKUP($A67,DATA!$A$3:$F$301,2,FALSE))^2+(VLOOKUP(BA$1,DATA!$A$3:$F$301,3,FALSE)-VLOOKUP($A67,DATA!$A$3:$F$301,3,FALSE))^2),"")</f>
        <v/>
      </c>
      <c r="BB67" s="14" t="str">
        <f>_xlfn.IFNA(SQRT((VLOOKUP(BB$1,DATA!$A$3:$F$301,2,FALSE)-VLOOKUP($A67,DATA!$A$3:$F$301,2,FALSE))^2+(VLOOKUP(BB$1,DATA!$A$3:$F$301,3,FALSE)-VLOOKUP($A67,DATA!$A$3:$F$301,3,FALSE))^2),"")</f>
        <v/>
      </c>
      <c r="BC67" s="14" t="str">
        <f>_xlfn.IFNA(SQRT((VLOOKUP(BC$1,DATA!$A$3:$F$301,2,FALSE)-VLOOKUP($A67,DATA!$A$3:$F$301,2,FALSE))^2+(VLOOKUP(BC$1,DATA!$A$3:$F$301,3,FALSE)-VLOOKUP($A67,DATA!$A$3:$F$301,3,FALSE))^2),"")</f>
        <v/>
      </c>
      <c r="BD67" s="14" t="str">
        <f>_xlfn.IFNA(SQRT((VLOOKUP(BD$1,DATA!$A$3:$F$301,2,FALSE)-VLOOKUP($A67,DATA!$A$3:$F$301,2,FALSE))^2+(VLOOKUP(BD$1,DATA!$A$3:$F$301,3,FALSE)-VLOOKUP($A67,DATA!$A$3:$F$301,3,FALSE))^2),"")</f>
        <v/>
      </c>
      <c r="BE67" s="14" t="str">
        <f>_xlfn.IFNA(SQRT((VLOOKUP(BE$1,DATA!$A$3:$F$301,2,FALSE)-VLOOKUP($A67,DATA!$A$3:$F$301,2,FALSE))^2+(VLOOKUP(BE$1,DATA!$A$3:$F$301,3,FALSE)-VLOOKUP($A67,DATA!$A$3:$F$301,3,FALSE))^2),"")</f>
        <v/>
      </c>
      <c r="BF67" s="14" t="str">
        <f>_xlfn.IFNA(SQRT((VLOOKUP(BF$1,DATA!$A$3:$F$301,2,FALSE)-VLOOKUP($A67,DATA!$A$3:$F$301,2,FALSE))^2+(VLOOKUP(BF$1,DATA!$A$3:$F$301,3,FALSE)-VLOOKUP($A67,DATA!$A$3:$F$301,3,FALSE))^2),"")</f>
        <v/>
      </c>
      <c r="BG67" s="14" t="str">
        <f>_xlfn.IFNA(SQRT((VLOOKUP(BG$1,DATA!$A$3:$F$301,2,FALSE)-VLOOKUP($A67,DATA!$A$3:$F$301,2,FALSE))^2+(VLOOKUP(BG$1,DATA!$A$3:$F$301,3,FALSE)-VLOOKUP($A67,DATA!$A$3:$F$301,3,FALSE))^2),"")</f>
        <v/>
      </c>
      <c r="BH67" s="14" t="str">
        <f>_xlfn.IFNA(SQRT((VLOOKUP(BH$1,DATA!$A$3:$F$301,2,FALSE)-VLOOKUP($A67,DATA!$A$3:$F$301,2,FALSE))^2+(VLOOKUP(BH$1,DATA!$A$3:$F$301,3,FALSE)-VLOOKUP($A67,DATA!$A$3:$F$301,3,FALSE))^2),"")</f>
        <v/>
      </c>
      <c r="BI67" s="14" t="str">
        <f>_xlfn.IFNA(SQRT((VLOOKUP(BI$1,DATA!$A$3:$F$301,2,FALSE)-VLOOKUP($A67,DATA!$A$3:$F$301,2,FALSE))^2+(VLOOKUP(BI$1,DATA!$A$3:$F$301,3,FALSE)-VLOOKUP($A67,DATA!$A$3:$F$301,3,FALSE))^2),"")</f>
        <v/>
      </c>
      <c r="BJ67" s="14" t="str">
        <f>_xlfn.IFNA(SQRT((VLOOKUP(BJ$1,DATA!$A$3:$F$301,2,FALSE)-VLOOKUP($A67,DATA!$A$3:$F$301,2,FALSE))^2+(VLOOKUP(BJ$1,DATA!$A$3:$F$301,3,FALSE)-VLOOKUP($A67,DATA!$A$3:$F$301,3,FALSE))^2),"")</f>
        <v/>
      </c>
      <c r="BK67" s="14" t="str">
        <f>_xlfn.IFNA(SQRT((VLOOKUP(BK$1,DATA!$A$3:$F$301,2,FALSE)-VLOOKUP($A67,DATA!$A$3:$F$301,2,FALSE))^2+(VLOOKUP(BK$1,DATA!$A$3:$F$301,3,FALSE)-VLOOKUP($A67,DATA!$A$3:$F$301,3,FALSE))^2),"")</f>
        <v/>
      </c>
      <c r="BL67" s="14" t="str">
        <f>_xlfn.IFNA(SQRT((VLOOKUP(BL$1,DATA!$A$3:$F$301,2,FALSE)-VLOOKUP($A67,DATA!$A$3:$F$301,2,FALSE))^2+(VLOOKUP(BL$1,DATA!$A$3:$F$301,3,FALSE)-VLOOKUP($A67,DATA!$A$3:$F$301,3,FALSE))^2),"")</f>
        <v/>
      </c>
      <c r="BM67" s="14" t="str">
        <f>_xlfn.IFNA(SQRT((VLOOKUP(BM$1,DATA!$A$3:$F$301,2,FALSE)-VLOOKUP($A67,DATA!$A$3:$F$301,2,FALSE))^2+(VLOOKUP(BM$1,DATA!$A$3:$F$301,3,FALSE)-VLOOKUP($A67,DATA!$A$3:$F$301,3,FALSE))^2),"")</f>
        <v/>
      </c>
      <c r="BN67" s="14" t="str">
        <f>_xlfn.IFNA(SQRT((VLOOKUP(BN$1,DATA!$A$3:$F$301,2,FALSE)-VLOOKUP($A67,DATA!$A$3:$F$301,2,FALSE))^2+(VLOOKUP(BN$1,DATA!$A$3:$F$301,3,FALSE)-VLOOKUP($A67,DATA!$A$3:$F$301,3,FALSE))^2),"")</f>
        <v/>
      </c>
      <c r="BO67" s="14" t="str">
        <f>_xlfn.IFNA(SQRT((VLOOKUP(BO$1,DATA!$A$3:$F$301,2,FALSE)-VLOOKUP($A67,DATA!$A$3:$F$301,2,FALSE))^2+(VLOOKUP(BO$1,DATA!$A$3:$F$301,3,FALSE)-VLOOKUP($A67,DATA!$A$3:$F$301,3,FALSE))^2),"")</f>
        <v/>
      </c>
      <c r="BP67" s="14" t="str">
        <f>_xlfn.IFNA(SQRT((VLOOKUP(BP$1,DATA!$A$3:$F$301,2,FALSE)-VLOOKUP($A67,DATA!$A$3:$F$301,2,FALSE))^2+(VLOOKUP(BP$1,DATA!$A$3:$F$301,3,FALSE)-VLOOKUP($A67,DATA!$A$3:$F$301,3,FALSE))^2),"")</f>
        <v/>
      </c>
      <c r="BQ67" s="14" t="str">
        <f>_xlfn.IFNA(SQRT((VLOOKUP(BQ$1,DATA!$A$3:$F$301,2,FALSE)-VLOOKUP($A67,DATA!$A$3:$F$301,2,FALSE))^2+(VLOOKUP(BQ$1,DATA!$A$3:$F$301,3,FALSE)-VLOOKUP($A67,DATA!$A$3:$F$301,3,FALSE))^2),"")</f>
        <v/>
      </c>
      <c r="BR67" s="14" t="str">
        <f>_xlfn.IFNA(SQRT((VLOOKUP(BR$1,DATA!$A$3:$F$301,2,FALSE)-VLOOKUP($A67,DATA!$A$3:$F$301,2,FALSE))^2+(VLOOKUP(BR$1,DATA!$A$3:$F$301,3,FALSE)-VLOOKUP($A67,DATA!$A$3:$F$301,3,FALSE))^2),"")</f>
        <v/>
      </c>
      <c r="BS67" s="14" t="str">
        <f>_xlfn.IFNA(SQRT((VLOOKUP(BS$1,DATA!$A$3:$F$301,2,FALSE)-VLOOKUP($A67,DATA!$A$3:$F$301,2,FALSE))^2+(VLOOKUP(BS$1,DATA!$A$3:$F$301,3,FALSE)-VLOOKUP($A67,DATA!$A$3:$F$301,3,FALSE))^2),"")</f>
        <v/>
      </c>
      <c r="BT67" s="14" t="str">
        <f>_xlfn.IFNA(SQRT((VLOOKUP(BT$1,DATA!$A$3:$F$301,2,FALSE)-VLOOKUP($A67,DATA!$A$3:$F$301,2,FALSE))^2+(VLOOKUP(BT$1,DATA!$A$3:$F$301,3,FALSE)-VLOOKUP($A67,DATA!$A$3:$F$301,3,FALSE))^2),"")</f>
        <v/>
      </c>
      <c r="BU67" s="14" t="str">
        <f>_xlfn.IFNA(SQRT((VLOOKUP(BU$1,DATA!$A$3:$F$301,2,FALSE)-VLOOKUP($A67,DATA!$A$3:$F$301,2,FALSE))^2+(VLOOKUP(BU$1,DATA!$A$3:$F$301,3,FALSE)-VLOOKUP($A67,DATA!$A$3:$F$301,3,FALSE))^2),"")</f>
        <v/>
      </c>
      <c r="BV67" s="14" t="str">
        <f>_xlfn.IFNA(SQRT((VLOOKUP(BV$1,DATA!$A$3:$F$301,2,FALSE)-VLOOKUP($A67,DATA!$A$3:$F$301,2,FALSE))^2+(VLOOKUP(BV$1,DATA!$A$3:$F$301,3,FALSE)-VLOOKUP($A67,DATA!$A$3:$F$301,3,FALSE))^2),"")</f>
        <v/>
      </c>
      <c r="BW67" s="14" t="str">
        <f>_xlfn.IFNA(SQRT((VLOOKUP(BW$1,DATA!$A$3:$F$301,2,FALSE)-VLOOKUP($A67,DATA!$A$3:$F$301,2,FALSE))^2+(VLOOKUP(BW$1,DATA!$A$3:$F$301,3,FALSE)-VLOOKUP($A67,DATA!$A$3:$F$301,3,FALSE))^2),"")</f>
        <v/>
      </c>
      <c r="BX67" s="14" t="str">
        <f>_xlfn.IFNA(SQRT((VLOOKUP(BX$1,DATA!$A$3:$F$301,2,FALSE)-VLOOKUP($A67,DATA!$A$3:$F$301,2,FALSE))^2+(VLOOKUP(BX$1,DATA!$A$3:$F$301,3,FALSE)-VLOOKUP($A67,DATA!$A$3:$F$301,3,FALSE))^2),"")</f>
        <v/>
      </c>
      <c r="BY67" s="14" t="str">
        <f>_xlfn.IFNA(SQRT((VLOOKUP(BY$1,DATA!$A$3:$F$301,2,FALSE)-VLOOKUP($A67,DATA!$A$3:$F$301,2,FALSE))^2+(VLOOKUP(BY$1,DATA!$A$3:$F$301,3,FALSE)-VLOOKUP($A67,DATA!$A$3:$F$301,3,FALSE))^2),"")</f>
        <v/>
      </c>
      <c r="BZ67" s="14" t="str">
        <f>_xlfn.IFNA(SQRT((VLOOKUP(BZ$1,DATA!$A$3:$F$301,2,FALSE)-VLOOKUP($A67,DATA!$A$3:$F$301,2,FALSE))^2+(VLOOKUP(BZ$1,DATA!$A$3:$F$301,3,FALSE)-VLOOKUP($A67,DATA!$A$3:$F$301,3,FALSE))^2),"")</f>
        <v/>
      </c>
      <c r="CA67" s="14" t="str">
        <f>_xlfn.IFNA(SQRT((VLOOKUP(CA$1,DATA!$A$3:$F$301,2,FALSE)-VLOOKUP($A67,DATA!$A$3:$F$301,2,FALSE))^2+(VLOOKUP(CA$1,DATA!$A$3:$F$301,3,FALSE)-VLOOKUP($A67,DATA!$A$3:$F$301,3,FALSE))^2),"")</f>
        <v/>
      </c>
      <c r="CB67" s="14" t="str">
        <f>_xlfn.IFNA(SQRT((VLOOKUP(CB$1,DATA!$A$3:$F$301,2,FALSE)-VLOOKUP($A67,DATA!$A$3:$F$301,2,FALSE))^2+(VLOOKUP(CB$1,DATA!$A$3:$F$301,3,FALSE)-VLOOKUP($A67,DATA!$A$3:$F$301,3,FALSE))^2),"")</f>
        <v/>
      </c>
      <c r="CC67" s="14" t="str">
        <f>_xlfn.IFNA(SQRT((VLOOKUP(CC$1,DATA!$A$3:$F$301,2,FALSE)-VLOOKUP($A67,DATA!$A$3:$F$301,2,FALSE))^2+(VLOOKUP(CC$1,DATA!$A$3:$F$301,3,FALSE)-VLOOKUP($A67,DATA!$A$3:$F$301,3,FALSE))^2),"")</f>
        <v/>
      </c>
      <c r="CD67" s="14" t="str">
        <f>_xlfn.IFNA(SQRT((VLOOKUP(CD$1,DATA!$A$3:$F$301,2,FALSE)-VLOOKUP($A67,DATA!$A$3:$F$301,2,FALSE))^2+(VLOOKUP(CD$1,DATA!$A$3:$F$301,3,FALSE)-VLOOKUP($A67,DATA!$A$3:$F$301,3,FALSE))^2),"")</f>
        <v/>
      </c>
      <c r="CE67" s="14" t="str">
        <f>_xlfn.IFNA(SQRT((VLOOKUP(CE$1,DATA!$A$3:$F$301,2,FALSE)-VLOOKUP($A67,DATA!$A$3:$F$301,2,FALSE))^2+(VLOOKUP(CE$1,DATA!$A$3:$F$301,3,FALSE)-VLOOKUP($A67,DATA!$A$3:$F$301,3,FALSE))^2),"")</f>
        <v/>
      </c>
      <c r="CF67" s="14" t="str">
        <f>_xlfn.IFNA(SQRT((VLOOKUP(CF$1,DATA!$A$3:$F$301,2,FALSE)-VLOOKUP($A67,DATA!$A$3:$F$301,2,FALSE))^2+(VLOOKUP(CF$1,DATA!$A$3:$F$301,3,FALSE)-VLOOKUP($A67,DATA!$A$3:$F$301,3,FALSE))^2),"")</f>
        <v/>
      </c>
      <c r="CG67" s="14" t="str">
        <f>_xlfn.IFNA(SQRT((VLOOKUP(CG$1,DATA!$A$3:$F$301,2,FALSE)-VLOOKUP($A67,DATA!$A$3:$F$301,2,FALSE))^2+(VLOOKUP(CG$1,DATA!$A$3:$F$301,3,FALSE)-VLOOKUP($A67,DATA!$A$3:$F$301,3,FALSE))^2),"")</f>
        <v/>
      </c>
      <c r="CH67" s="14" t="str">
        <f>_xlfn.IFNA(SQRT((VLOOKUP(CH$1,DATA!$A$3:$F$301,2,FALSE)-VLOOKUP($A67,DATA!$A$3:$F$301,2,FALSE))^2+(VLOOKUP(CH$1,DATA!$A$3:$F$301,3,FALSE)-VLOOKUP($A67,DATA!$A$3:$F$301,3,FALSE))^2),"")</f>
        <v/>
      </c>
      <c r="CI67" s="14" t="str">
        <f>_xlfn.IFNA(SQRT((VLOOKUP(CI$1,DATA!$A$3:$F$301,2,FALSE)-VLOOKUP($A67,DATA!$A$3:$F$301,2,FALSE))^2+(VLOOKUP(CI$1,DATA!$A$3:$F$301,3,FALSE)-VLOOKUP($A67,DATA!$A$3:$F$301,3,FALSE))^2),"")</f>
        <v/>
      </c>
      <c r="CJ67" s="14" t="str">
        <f>_xlfn.IFNA(SQRT((VLOOKUP(CJ$1,DATA!$A$3:$F$301,2,FALSE)-VLOOKUP($A67,DATA!$A$3:$F$301,2,FALSE))^2+(VLOOKUP(CJ$1,DATA!$A$3:$F$301,3,FALSE)-VLOOKUP($A67,DATA!$A$3:$F$301,3,FALSE))^2),"")</f>
        <v/>
      </c>
      <c r="CK67" s="14" t="str">
        <f>_xlfn.IFNA(SQRT((VLOOKUP(CK$1,DATA!$A$3:$F$301,2,FALSE)-VLOOKUP($A67,DATA!$A$3:$F$301,2,FALSE))^2+(VLOOKUP(CK$1,DATA!$A$3:$F$301,3,FALSE)-VLOOKUP($A67,DATA!$A$3:$F$301,3,FALSE))^2),"")</f>
        <v/>
      </c>
      <c r="CL67" s="14" t="str">
        <f>_xlfn.IFNA(SQRT((VLOOKUP(CL$1,DATA!$A$3:$F$301,2,FALSE)-VLOOKUP($A67,DATA!$A$3:$F$301,2,FALSE))^2+(VLOOKUP(CL$1,DATA!$A$3:$F$301,3,FALSE)-VLOOKUP($A67,DATA!$A$3:$F$301,3,FALSE))^2),"")</f>
        <v/>
      </c>
      <c r="CM67" s="14" t="str">
        <f>_xlfn.IFNA(SQRT((VLOOKUP(CM$1,DATA!$A$3:$F$301,2,FALSE)-VLOOKUP($A67,DATA!$A$3:$F$301,2,FALSE))^2+(VLOOKUP(CM$1,DATA!$A$3:$F$301,3,FALSE)-VLOOKUP($A67,DATA!$A$3:$F$301,3,FALSE))^2),"")</f>
        <v/>
      </c>
      <c r="CN67" s="14" t="str">
        <f>_xlfn.IFNA(SQRT((VLOOKUP(CN$1,DATA!$A$3:$F$301,2,FALSE)-VLOOKUP($A67,DATA!$A$3:$F$301,2,FALSE))^2+(VLOOKUP(CN$1,DATA!$A$3:$F$301,3,FALSE)-VLOOKUP($A67,DATA!$A$3:$F$301,3,FALSE))^2),"")</f>
        <v/>
      </c>
      <c r="CO67" s="14" t="str">
        <f>_xlfn.IFNA(SQRT((VLOOKUP(CO$1,DATA!$A$3:$F$301,2,FALSE)-VLOOKUP($A67,DATA!$A$3:$F$301,2,FALSE))^2+(VLOOKUP(CO$1,DATA!$A$3:$F$301,3,FALSE)-VLOOKUP($A67,DATA!$A$3:$F$301,3,FALSE))^2),"")</f>
        <v/>
      </c>
      <c r="CP67" s="14" t="str">
        <f>_xlfn.IFNA(SQRT((VLOOKUP(CP$1,DATA!$A$3:$F$301,2,FALSE)-VLOOKUP($A67,DATA!$A$3:$F$301,2,FALSE))^2+(VLOOKUP(CP$1,DATA!$A$3:$F$301,3,FALSE)-VLOOKUP($A67,DATA!$A$3:$F$301,3,FALSE))^2),"")</f>
        <v/>
      </c>
      <c r="CQ67" s="14" t="str">
        <f>_xlfn.IFNA(SQRT((VLOOKUP(CQ$1,DATA!$A$3:$F$301,2,FALSE)-VLOOKUP($A67,DATA!$A$3:$F$301,2,FALSE))^2+(VLOOKUP(CQ$1,DATA!$A$3:$F$301,3,FALSE)-VLOOKUP($A67,DATA!$A$3:$F$301,3,FALSE))^2),"")</f>
        <v/>
      </c>
      <c r="CR67" s="14" t="str">
        <f>_xlfn.IFNA(SQRT((VLOOKUP(CR$1,DATA!$A$3:$F$301,2,FALSE)-VLOOKUP($A67,DATA!$A$3:$F$301,2,FALSE))^2+(VLOOKUP(CR$1,DATA!$A$3:$F$301,3,FALSE)-VLOOKUP($A67,DATA!$A$3:$F$301,3,FALSE))^2),"")</f>
        <v/>
      </c>
      <c r="CS67" s="14" t="str">
        <f>_xlfn.IFNA(SQRT((VLOOKUP(CS$1,DATA!$A$3:$F$301,2,FALSE)-VLOOKUP($A67,DATA!$A$3:$F$301,2,FALSE))^2+(VLOOKUP(CS$1,DATA!$A$3:$F$301,3,FALSE)-VLOOKUP($A67,DATA!$A$3:$F$301,3,FALSE))^2),"")</f>
        <v/>
      </c>
      <c r="CT67" s="14" t="str">
        <f>_xlfn.IFNA(SQRT((VLOOKUP(CT$1,DATA!$A$3:$F$301,2,FALSE)-VLOOKUP($A67,DATA!$A$3:$F$301,2,FALSE))^2+(VLOOKUP(CT$1,DATA!$A$3:$F$301,3,FALSE)-VLOOKUP($A67,DATA!$A$3:$F$301,3,FALSE))^2),"")</f>
        <v/>
      </c>
      <c r="CU67" s="14" t="str">
        <f>_xlfn.IFNA(SQRT((VLOOKUP(CU$1,DATA!$A$3:$F$301,2,FALSE)-VLOOKUP($A67,DATA!$A$3:$F$301,2,FALSE))^2+(VLOOKUP(CU$1,DATA!$A$3:$F$301,3,FALSE)-VLOOKUP($A67,DATA!$A$3:$F$301,3,FALSE))^2),"")</f>
        <v/>
      </c>
      <c r="CV67" s="14" t="str">
        <f>_xlfn.IFNA(SQRT((VLOOKUP(CV$1,DATA!$A$3:$F$301,2,FALSE)-VLOOKUP($A67,DATA!$A$3:$F$301,2,FALSE))^2+(VLOOKUP(CV$1,DATA!$A$3:$F$301,3,FALSE)-VLOOKUP($A67,DATA!$A$3:$F$301,3,FALSE))^2),"")</f>
        <v/>
      </c>
      <c r="CW67" s="14" t="str">
        <f>_xlfn.IFNA(SQRT((VLOOKUP(CW$1,DATA!$A$3:$F$301,2,FALSE)-VLOOKUP($A67,DATA!$A$3:$F$301,2,FALSE))^2+(VLOOKUP(CW$1,DATA!$A$3:$F$301,3,FALSE)-VLOOKUP($A67,DATA!$A$3:$F$301,3,FALSE))^2),"")</f>
        <v/>
      </c>
      <c r="CX67" s="14" t="str">
        <f>_xlfn.IFNA(SQRT((VLOOKUP(CX$1,DATA!$A$3:$F$301,2,FALSE)-VLOOKUP($A67,DATA!$A$3:$F$301,2,FALSE))^2+(VLOOKUP(CX$1,DATA!$A$3:$F$301,3,FALSE)-VLOOKUP($A67,DATA!$A$3:$F$301,3,FALSE))^2),"")</f>
        <v/>
      </c>
    </row>
    <row r="68" spans="1:102">
      <c r="A68" s="13">
        <v>67</v>
      </c>
      <c r="B68" s="14" t="str">
        <f>_xlfn.IFNA(SQRT((VLOOKUP(B$1,DATA!$A$3:$F$301,2,FALSE)-VLOOKUP($A68,DATA!$A$3:$F$301,2,FALSE))^2+(VLOOKUP(B$1,DATA!$A$3:$F$301,3,FALSE)-VLOOKUP($A68,DATA!$A$3:$F$301,3,FALSE))^2),"")</f>
        <v/>
      </c>
      <c r="C68" s="14" t="str">
        <f>_xlfn.IFNA(SQRT((VLOOKUP(C$1,DATA!$A$3:$F$301,2,FALSE)-VLOOKUP($A68,DATA!$A$3:$F$301,2,FALSE))^2+(VLOOKUP(C$1,DATA!$A$3:$F$301,3,FALSE)-VLOOKUP($A68,DATA!$A$3:$F$301,3,FALSE))^2),"")</f>
        <v/>
      </c>
      <c r="D68" s="14" t="str">
        <f>_xlfn.IFNA(SQRT((VLOOKUP(D$1,DATA!$A$3:$F$301,2,FALSE)-VLOOKUP($A68,DATA!$A$3:$F$301,2,FALSE))^2+(VLOOKUP(D$1,DATA!$A$3:$F$301,3,FALSE)-VLOOKUP($A68,DATA!$A$3:$F$301,3,FALSE))^2),"")</f>
        <v/>
      </c>
      <c r="E68" s="14" t="str">
        <f>_xlfn.IFNA(SQRT((VLOOKUP(E$1,DATA!$A$3:$F$301,2,FALSE)-VLOOKUP($A68,DATA!$A$3:$F$301,2,FALSE))^2+(VLOOKUP(E$1,DATA!$A$3:$F$301,3,FALSE)-VLOOKUP($A68,DATA!$A$3:$F$301,3,FALSE))^2),"")</f>
        <v/>
      </c>
      <c r="F68" s="14" t="str">
        <f>_xlfn.IFNA(SQRT((VLOOKUP(F$1,DATA!$A$3:$F$301,2,FALSE)-VLOOKUP($A68,DATA!$A$3:$F$301,2,FALSE))^2+(VLOOKUP(F$1,DATA!$A$3:$F$301,3,FALSE)-VLOOKUP($A68,DATA!$A$3:$F$301,3,FALSE))^2),"")</f>
        <v/>
      </c>
      <c r="G68" s="14" t="str">
        <f>_xlfn.IFNA(SQRT((VLOOKUP(G$1,DATA!$A$3:$F$301,2,FALSE)-VLOOKUP($A68,DATA!$A$3:$F$301,2,FALSE))^2+(VLOOKUP(G$1,DATA!$A$3:$F$301,3,FALSE)-VLOOKUP($A68,DATA!$A$3:$F$301,3,FALSE))^2),"")</f>
        <v/>
      </c>
      <c r="H68" s="14" t="str">
        <f>_xlfn.IFNA(SQRT((VLOOKUP(H$1,DATA!$A$3:$F$301,2,FALSE)-VLOOKUP($A68,DATA!$A$3:$F$301,2,FALSE))^2+(VLOOKUP(H$1,DATA!$A$3:$F$301,3,FALSE)-VLOOKUP($A68,DATA!$A$3:$F$301,3,FALSE))^2),"")</f>
        <v/>
      </c>
      <c r="I68" s="14" t="str">
        <f>_xlfn.IFNA(SQRT((VLOOKUP(I$1,DATA!$A$3:$F$301,2,FALSE)-VLOOKUP($A68,DATA!$A$3:$F$301,2,FALSE))^2+(VLOOKUP(I$1,DATA!$A$3:$F$301,3,FALSE)-VLOOKUP($A68,DATA!$A$3:$F$301,3,FALSE))^2),"")</f>
        <v/>
      </c>
      <c r="J68" s="14" t="str">
        <f>_xlfn.IFNA(SQRT((VLOOKUP(J$1,DATA!$A$3:$F$301,2,FALSE)-VLOOKUP($A68,DATA!$A$3:$F$301,2,FALSE))^2+(VLOOKUP(J$1,DATA!$A$3:$F$301,3,FALSE)-VLOOKUP($A68,DATA!$A$3:$F$301,3,FALSE))^2),"")</f>
        <v/>
      </c>
      <c r="K68" s="14" t="str">
        <f>_xlfn.IFNA(SQRT((VLOOKUP(K$1,DATA!$A$3:$F$301,2,FALSE)-VLOOKUP($A68,DATA!$A$3:$F$301,2,FALSE))^2+(VLOOKUP(K$1,DATA!$A$3:$F$301,3,FALSE)-VLOOKUP($A68,DATA!$A$3:$F$301,3,FALSE))^2),"")</f>
        <v/>
      </c>
      <c r="L68" s="14" t="str">
        <f>_xlfn.IFNA(SQRT((VLOOKUP(L$1,DATA!$A$3:$F$301,2,FALSE)-VLOOKUP($A68,DATA!$A$3:$F$301,2,FALSE))^2+(VLOOKUP(L$1,DATA!$A$3:$F$301,3,FALSE)-VLOOKUP($A68,DATA!$A$3:$F$301,3,FALSE))^2),"")</f>
        <v/>
      </c>
      <c r="M68" s="14" t="str">
        <f>_xlfn.IFNA(SQRT((VLOOKUP(M$1,DATA!$A$3:$F$301,2,FALSE)-VLOOKUP($A68,DATA!$A$3:$F$301,2,FALSE))^2+(VLOOKUP(M$1,DATA!$A$3:$F$301,3,FALSE)-VLOOKUP($A68,DATA!$A$3:$F$301,3,FALSE))^2),"")</f>
        <v/>
      </c>
      <c r="N68" s="14" t="str">
        <f>_xlfn.IFNA(SQRT((VLOOKUP(N$1,DATA!$A$3:$F$301,2,FALSE)-VLOOKUP($A68,DATA!$A$3:$F$301,2,FALSE))^2+(VLOOKUP(N$1,DATA!$A$3:$F$301,3,FALSE)-VLOOKUP($A68,DATA!$A$3:$F$301,3,FALSE))^2),"")</f>
        <v/>
      </c>
      <c r="O68" s="14" t="str">
        <f>_xlfn.IFNA(SQRT((VLOOKUP(O$1,DATA!$A$3:$F$301,2,FALSE)-VLOOKUP($A68,DATA!$A$3:$F$301,2,FALSE))^2+(VLOOKUP(O$1,DATA!$A$3:$F$301,3,FALSE)-VLOOKUP($A68,DATA!$A$3:$F$301,3,FALSE))^2),"")</f>
        <v/>
      </c>
      <c r="P68" s="14" t="str">
        <f>_xlfn.IFNA(SQRT((VLOOKUP(P$1,DATA!$A$3:$F$301,2,FALSE)-VLOOKUP($A68,DATA!$A$3:$F$301,2,FALSE))^2+(VLOOKUP(P$1,DATA!$A$3:$F$301,3,FALSE)-VLOOKUP($A68,DATA!$A$3:$F$301,3,FALSE))^2),"")</f>
        <v/>
      </c>
      <c r="Q68" s="14" t="str">
        <f>_xlfn.IFNA(SQRT((VLOOKUP(Q$1,DATA!$A$3:$F$301,2,FALSE)-VLOOKUP($A68,DATA!$A$3:$F$301,2,FALSE))^2+(VLOOKUP(Q$1,DATA!$A$3:$F$301,3,FALSE)-VLOOKUP($A68,DATA!$A$3:$F$301,3,FALSE))^2),"")</f>
        <v/>
      </c>
      <c r="R68" s="14" t="str">
        <f>_xlfn.IFNA(SQRT((VLOOKUP(R$1,DATA!$A$3:$F$301,2,FALSE)-VLOOKUP($A68,DATA!$A$3:$F$301,2,FALSE))^2+(VLOOKUP(R$1,DATA!$A$3:$F$301,3,FALSE)-VLOOKUP($A68,DATA!$A$3:$F$301,3,FALSE))^2),"")</f>
        <v/>
      </c>
      <c r="S68" s="14" t="str">
        <f>_xlfn.IFNA(SQRT((VLOOKUP(S$1,DATA!$A$3:$F$301,2,FALSE)-VLOOKUP($A68,DATA!$A$3:$F$301,2,FALSE))^2+(VLOOKUP(S$1,DATA!$A$3:$F$301,3,FALSE)-VLOOKUP($A68,DATA!$A$3:$F$301,3,FALSE))^2),"")</f>
        <v/>
      </c>
      <c r="T68" s="14" t="str">
        <f>_xlfn.IFNA(SQRT((VLOOKUP(T$1,DATA!$A$3:$F$301,2,FALSE)-VLOOKUP($A68,DATA!$A$3:$F$301,2,FALSE))^2+(VLOOKUP(T$1,DATA!$A$3:$F$301,3,FALSE)-VLOOKUP($A68,DATA!$A$3:$F$301,3,FALSE))^2),"")</f>
        <v/>
      </c>
      <c r="U68" s="14" t="str">
        <f>_xlfn.IFNA(SQRT((VLOOKUP(U$1,DATA!$A$3:$F$301,2,FALSE)-VLOOKUP($A68,DATA!$A$3:$F$301,2,FALSE))^2+(VLOOKUP(U$1,DATA!$A$3:$F$301,3,FALSE)-VLOOKUP($A68,DATA!$A$3:$F$301,3,FALSE))^2),"")</f>
        <v/>
      </c>
      <c r="V68" s="14" t="str">
        <f>_xlfn.IFNA(SQRT((VLOOKUP(V$1,DATA!$A$3:$F$301,2,FALSE)-VLOOKUP($A68,DATA!$A$3:$F$301,2,FALSE))^2+(VLOOKUP(V$1,DATA!$A$3:$F$301,3,FALSE)-VLOOKUP($A68,DATA!$A$3:$F$301,3,FALSE))^2),"")</f>
        <v/>
      </c>
      <c r="W68" s="14" t="str">
        <f>_xlfn.IFNA(SQRT((VLOOKUP(W$1,DATA!$A$3:$F$301,2,FALSE)-VLOOKUP($A68,DATA!$A$3:$F$301,2,FALSE))^2+(VLOOKUP(W$1,DATA!$A$3:$F$301,3,FALSE)-VLOOKUP($A68,DATA!$A$3:$F$301,3,FALSE))^2),"")</f>
        <v/>
      </c>
      <c r="X68" s="14" t="str">
        <f>_xlfn.IFNA(SQRT((VLOOKUP(X$1,DATA!$A$3:$F$301,2,FALSE)-VLOOKUP($A68,DATA!$A$3:$F$301,2,FALSE))^2+(VLOOKUP(X$1,DATA!$A$3:$F$301,3,FALSE)-VLOOKUP($A68,DATA!$A$3:$F$301,3,FALSE))^2),"")</f>
        <v/>
      </c>
      <c r="Y68" s="14" t="str">
        <f>_xlfn.IFNA(SQRT((VLOOKUP(Y$1,DATA!$A$3:$F$301,2,FALSE)-VLOOKUP($A68,DATA!$A$3:$F$301,2,FALSE))^2+(VLOOKUP(Y$1,DATA!$A$3:$F$301,3,FALSE)-VLOOKUP($A68,DATA!$A$3:$F$301,3,FALSE))^2),"")</f>
        <v/>
      </c>
      <c r="Z68" s="14" t="str">
        <f>_xlfn.IFNA(SQRT((VLOOKUP(Z$1,DATA!$A$3:$F$301,2,FALSE)-VLOOKUP($A68,DATA!$A$3:$F$301,2,FALSE))^2+(VLOOKUP(Z$1,DATA!$A$3:$F$301,3,FALSE)-VLOOKUP($A68,DATA!$A$3:$F$301,3,FALSE))^2),"")</f>
        <v/>
      </c>
      <c r="AA68" s="14" t="str">
        <f>_xlfn.IFNA(SQRT((VLOOKUP(AA$1,DATA!$A$3:$F$301,2,FALSE)-VLOOKUP($A68,DATA!$A$3:$F$301,2,FALSE))^2+(VLOOKUP(AA$1,DATA!$A$3:$F$301,3,FALSE)-VLOOKUP($A68,DATA!$A$3:$F$301,3,FALSE))^2),"")</f>
        <v/>
      </c>
      <c r="AB68" s="14" t="str">
        <f>_xlfn.IFNA(SQRT((VLOOKUP(AB$1,DATA!$A$3:$F$301,2,FALSE)-VLOOKUP($A68,DATA!$A$3:$F$301,2,FALSE))^2+(VLOOKUP(AB$1,DATA!$A$3:$F$301,3,FALSE)-VLOOKUP($A68,DATA!$A$3:$F$301,3,FALSE))^2),"")</f>
        <v/>
      </c>
      <c r="AC68" s="14" t="str">
        <f>_xlfn.IFNA(SQRT((VLOOKUP(AC$1,DATA!$A$3:$F$301,2,FALSE)-VLOOKUP($A68,DATA!$A$3:$F$301,2,FALSE))^2+(VLOOKUP(AC$1,DATA!$A$3:$F$301,3,FALSE)-VLOOKUP($A68,DATA!$A$3:$F$301,3,FALSE))^2),"")</f>
        <v/>
      </c>
      <c r="AD68" s="14" t="str">
        <f>_xlfn.IFNA(SQRT((VLOOKUP(AD$1,DATA!$A$3:$F$301,2,FALSE)-VLOOKUP($A68,DATA!$A$3:$F$301,2,FALSE))^2+(VLOOKUP(AD$1,DATA!$A$3:$F$301,3,FALSE)-VLOOKUP($A68,DATA!$A$3:$F$301,3,FALSE))^2),"")</f>
        <v/>
      </c>
      <c r="AE68" s="14" t="str">
        <f>_xlfn.IFNA(SQRT((VLOOKUP(AE$1,DATA!$A$3:$F$301,2,FALSE)-VLOOKUP($A68,DATA!$A$3:$F$301,2,FALSE))^2+(VLOOKUP(AE$1,DATA!$A$3:$F$301,3,FALSE)-VLOOKUP($A68,DATA!$A$3:$F$301,3,FALSE))^2),"")</f>
        <v/>
      </c>
      <c r="AF68" s="14" t="str">
        <f>_xlfn.IFNA(SQRT((VLOOKUP(AF$1,DATA!$A$3:$F$301,2,FALSE)-VLOOKUP($A68,DATA!$A$3:$F$301,2,FALSE))^2+(VLOOKUP(AF$1,DATA!$A$3:$F$301,3,FALSE)-VLOOKUP($A68,DATA!$A$3:$F$301,3,FALSE))^2),"")</f>
        <v/>
      </c>
      <c r="AG68" s="14" t="str">
        <f>_xlfn.IFNA(SQRT((VLOOKUP(AG$1,DATA!$A$3:$F$301,2,FALSE)-VLOOKUP($A68,DATA!$A$3:$F$301,2,FALSE))^2+(VLOOKUP(AG$1,DATA!$A$3:$F$301,3,FALSE)-VLOOKUP($A68,DATA!$A$3:$F$301,3,FALSE))^2),"")</f>
        <v/>
      </c>
      <c r="AH68" s="14" t="str">
        <f>_xlfn.IFNA(SQRT((VLOOKUP(AH$1,DATA!$A$3:$F$301,2,FALSE)-VLOOKUP($A68,DATA!$A$3:$F$301,2,FALSE))^2+(VLOOKUP(AH$1,DATA!$A$3:$F$301,3,FALSE)-VLOOKUP($A68,DATA!$A$3:$F$301,3,FALSE))^2),"")</f>
        <v/>
      </c>
      <c r="AI68" s="14" t="str">
        <f>_xlfn.IFNA(SQRT((VLOOKUP(AI$1,DATA!$A$3:$F$301,2,FALSE)-VLOOKUP($A68,DATA!$A$3:$F$301,2,FALSE))^2+(VLOOKUP(AI$1,DATA!$A$3:$F$301,3,FALSE)-VLOOKUP($A68,DATA!$A$3:$F$301,3,FALSE))^2),"")</f>
        <v/>
      </c>
      <c r="AJ68" s="14" t="str">
        <f>_xlfn.IFNA(SQRT((VLOOKUP(AJ$1,DATA!$A$3:$F$301,2,FALSE)-VLOOKUP($A68,DATA!$A$3:$F$301,2,FALSE))^2+(VLOOKUP(AJ$1,DATA!$A$3:$F$301,3,FALSE)-VLOOKUP($A68,DATA!$A$3:$F$301,3,FALSE))^2),"")</f>
        <v/>
      </c>
      <c r="AK68" s="14" t="str">
        <f>_xlfn.IFNA(SQRT((VLOOKUP(AK$1,DATA!$A$3:$F$301,2,FALSE)-VLOOKUP($A68,DATA!$A$3:$F$301,2,FALSE))^2+(VLOOKUP(AK$1,DATA!$A$3:$F$301,3,FALSE)-VLOOKUP($A68,DATA!$A$3:$F$301,3,FALSE))^2),"")</f>
        <v/>
      </c>
      <c r="AL68" s="14" t="str">
        <f>_xlfn.IFNA(SQRT((VLOOKUP(AL$1,DATA!$A$3:$F$301,2,FALSE)-VLOOKUP($A68,DATA!$A$3:$F$301,2,FALSE))^2+(VLOOKUP(AL$1,DATA!$A$3:$F$301,3,FALSE)-VLOOKUP($A68,DATA!$A$3:$F$301,3,FALSE))^2),"")</f>
        <v/>
      </c>
      <c r="AM68" s="14" t="str">
        <f>_xlfn.IFNA(SQRT((VLOOKUP(AM$1,DATA!$A$3:$F$301,2,FALSE)-VLOOKUP($A68,DATA!$A$3:$F$301,2,FALSE))^2+(VLOOKUP(AM$1,DATA!$A$3:$F$301,3,FALSE)-VLOOKUP($A68,DATA!$A$3:$F$301,3,FALSE))^2),"")</f>
        <v/>
      </c>
      <c r="AN68" s="14" t="str">
        <f>_xlfn.IFNA(SQRT((VLOOKUP(AN$1,DATA!$A$3:$F$301,2,FALSE)-VLOOKUP($A68,DATA!$A$3:$F$301,2,FALSE))^2+(VLOOKUP(AN$1,DATA!$A$3:$F$301,3,FALSE)-VLOOKUP($A68,DATA!$A$3:$F$301,3,FALSE))^2),"")</f>
        <v/>
      </c>
      <c r="AO68" s="14" t="str">
        <f>_xlfn.IFNA(SQRT((VLOOKUP(AO$1,DATA!$A$3:$F$301,2,FALSE)-VLOOKUP($A68,DATA!$A$3:$F$301,2,FALSE))^2+(VLOOKUP(AO$1,DATA!$A$3:$F$301,3,FALSE)-VLOOKUP($A68,DATA!$A$3:$F$301,3,FALSE))^2),"")</f>
        <v/>
      </c>
      <c r="AP68" s="14" t="str">
        <f>_xlfn.IFNA(SQRT((VLOOKUP(AP$1,DATA!$A$3:$F$301,2,FALSE)-VLOOKUP($A68,DATA!$A$3:$F$301,2,FALSE))^2+(VLOOKUP(AP$1,DATA!$A$3:$F$301,3,FALSE)-VLOOKUP($A68,DATA!$A$3:$F$301,3,FALSE))^2),"")</f>
        <v/>
      </c>
      <c r="AQ68" s="14" t="str">
        <f>_xlfn.IFNA(SQRT((VLOOKUP(AQ$1,DATA!$A$3:$F$301,2,FALSE)-VLOOKUP($A68,DATA!$A$3:$F$301,2,FALSE))^2+(VLOOKUP(AQ$1,DATA!$A$3:$F$301,3,FALSE)-VLOOKUP($A68,DATA!$A$3:$F$301,3,FALSE))^2),"")</f>
        <v/>
      </c>
      <c r="AR68" s="14" t="str">
        <f>_xlfn.IFNA(SQRT((VLOOKUP(AR$1,DATA!$A$3:$F$301,2,FALSE)-VLOOKUP($A68,DATA!$A$3:$F$301,2,FALSE))^2+(VLOOKUP(AR$1,DATA!$A$3:$F$301,3,FALSE)-VLOOKUP($A68,DATA!$A$3:$F$301,3,FALSE))^2),"")</f>
        <v/>
      </c>
      <c r="AS68" s="14" t="str">
        <f>_xlfn.IFNA(SQRT((VLOOKUP(AS$1,DATA!$A$3:$F$301,2,FALSE)-VLOOKUP($A68,DATA!$A$3:$F$301,2,FALSE))^2+(VLOOKUP(AS$1,DATA!$A$3:$F$301,3,FALSE)-VLOOKUP($A68,DATA!$A$3:$F$301,3,FALSE))^2),"")</f>
        <v/>
      </c>
      <c r="AT68" s="14" t="str">
        <f>_xlfn.IFNA(SQRT((VLOOKUP(AT$1,DATA!$A$3:$F$301,2,FALSE)-VLOOKUP($A68,DATA!$A$3:$F$301,2,FALSE))^2+(VLOOKUP(AT$1,DATA!$A$3:$F$301,3,FALSE)-VLOOKUP($A68,DATA!$A$3:$F$301,3,FALSE))^2),"")</f>
        <v/>
      </c>
      <c r="AU68" s="14" t="str">
        <f>_xlfn.IFNA(SQRT((VLOOKUP(AU$1,DATA!$A$3:$F$301,2,FALSE)-VLOOKUP($A68,DATA!$A$3:$F$301,2,FALSE))^2+(VLOOKUP(AU$1,DATA!$A$3:$F$301,3,FALSE)-VLOOKUP($A68,DATA!$A$3:$F$301,3,FALSE))^2),"")</f>
        <v/>
      </c>
      <c r="AV68" s="14" t="str">
        <f>_xlfn.IFNA(SQRT((VLOOKUP(AV$1,DATA!$A$3:$F$301,2,FALSE)-VLOOKUP($A68,DATA!$A$3:$F$301,2,FALSE))^2+(VLOOKUP(AV$1,DATA!$A$3:$F$301,3,FALSE)-VLOOKUP($A68,DATA!$A$3:$F$301,3,FALSE))^2),"")</f>
        <v/>
      </c>
      <c r="AW68" s="14" t="str">
        <f>_xlfn.IFNA(SQRT((VLOOKUP(AW$1,DATA!$A$3:$F$301,2,FALSE)-VLOOKUP($A68,DATA!$A$3:$F$301,2,FALSE))^2+(VLOOKUP(AW$1,DATA!$A$3:$F$301,3,FALSE)-VLOOKUP($A68,DATA!$A$3:$F$301,3,FALSE))^2),"")</f>
        <v/>
      </c>
      <c r="AX68" s="14" t="str">
        <f>_xlfn.IFNA(SQRT((VLOOKUP(AX$1,DATA!$A$3:$F$301,2,FALSE)-VLOOKUP($A68,DATA!$A$3:$F$301,2,FALSE))^2+(VLOOKUP(AX$1,DATA!$A$3:$F$301,3,FALSE)-VLOOKUP($A68,DATA!$A$3:$F$301,3,FALSE))^2),"")</f>
        <v/>
      </c>
      <c r="AY68" s="14" t="str">
        <f>_xlfn.IFNA(SQRT((VLOOKUP(AY$1,DATA!$A$3:$F$301,2,FALSE)-VLOOKUP($A68,DATA!$A$3:$F$301,2,FALSE))^2+(VLOOKUP(AY$1,DATA!$A$3:$F$301,3,FALSE)-VLOOKUP($A68,DATA!$A$3:$F$301,3,FALSE))^2),"")</f>
        <v/>
      </c>
      <c r="AZ68" s="14" t="str">
        <f>_xlfn.IFNA(SQRT((VLOOKUP(AZ$1,DATA!$A$3:$F$301,2,FALSE)-VLOOKUP($A68,DATA!$A$3:$F$301,2,FALSE))^2+(VLOOKUP(AZ$1,DATA!$A$3:$F$301,3,FALSE)-VLOOKUP($A68,DATA!$A$3:$F$301,3,FALSE))^2),"")</f>
        <v/>
      </c>
      <c r="BA68" s="14" t="str">
        <f>_xlfn.IFNA(SQRT((VLOOKUP(BA$1,DATA!$A$3:$F$301,2,FALSE)-VLOOKUP($A68,DATA!$A$3:$F$301,2,FALSE))^2+(VLOOKUP(BA$1,DATA!$A$3:$F$301,3,FALSE)-VLOOKUP($A68,DATA!$A$3:$F$301,3,FALSE))^2),"")</f>
        <v/>
      </c>
      <c r="BB68" s="14" t="str">
        <f>_xlfn.IFNA(SQRT((VLOOKUP(BB$1,DATA!$A$3:$F$301,2,FALSE)-VLOOKUP($A68,DATA!$A$3:$F$301,2,FALSE))^2+(VLOOKUP(BB$1,DATA!$A$3:$F$301,3,FALSE)-VLOOKUP($A68,DATA!$A$3:$F$301,3,FALSE))^2),"")</f>
        <v/>
      </c>
      <c r="BC68" s="14" t="str">
        <f>_xlfn.IFNA(SQRT((VLOOKUP(BC$1,DATA!$A$3:$F$301,2,FALSE)-VLOOKUP($A68,DATA!$A$3:$F$301,2,FALSE))^2+(VLOOKUP(BC$1,DATA!$A$3:$F$301,3,FALSE)-VLOOKUP($A68,DATA!$A$3:$F$301,3,FALSE))^2),"")</f>
        <v/>
      </c>
      <c r="BD68" s="14" t="str">
        <f>_xlfn.IFNA(SQRT((VLOOKUP(BD$1,DATA!$A$3:$F$301,2,FALSE)-VLOOKUP($A68,DATA!$A$3:$F$301,2,FALSE))^2+(VLOOKUP(BD$1,DATA!$A$3:$F$301,3,FALSE)-VLOOKUP($A68,DATA!$A$3:$F$301,3,FALSE))^2),"")</f>
        <v/>
      </c>
      <c r="BE68" s="14" t="str">
        <f>_xlfn.IFNA(SQRT((VLOOKUP(BE$1,DATA!$A$3:$F$301,2,FALSE)-VLOOKUP($A68,DATA!$A$3:$F$301,2,FALSE))^2+(VLOOKUP(BE$1,DATA!$A$3:$F$301,3,FALSE)-VLOOKUP($A68,DATA!$A$3:$F$301,3,FALSE))^2),"")</f>
        <v/>
      </c>
      <c r="BF68" s="14" t="str">
        <f>_xlfn.IFNA(SQRT((VLOOKUP(BF$1,DATA!$A$3:$F$301,2,FALSE)-VLOOKUP($A68,DATA!$A$3:$F$301,2,FALSE))^2+(VLOOKUP(BF$1,DATA!$A$3:$F$301,3,FALSE)-VLOOKUP($A68,DATA!$A$3:$F$301,3,FALSE))^2),"")</f>
        <v/>
      </c>
      <c r="BG68" s="14" t="str">
        <f>_xlfn.IFNA(SQRT((VLOOKUP(BG$1,DATA!$A$3:$F$301,2,FALSE)-VLOOKUP($A68,DATA!$A$3:$F$301,2,FALSE))^2+(VLOOKUP(BG$1,DATA!$A$3:$F$301,3,FALSE)-VLOOKUP($A68,DATA!$A$3:$F$301,3,FALSE))^2),"")</f>
        <v/>
      </c>
      <c r="BH68" s="14" t="str">
        <f>_xlfn.IFNA(SQRT((VLOOKUP(BH$1,DATA!$A$3:$F$301,2,FALSE)-VLOOKUP($A68,DATA!$A$3:$F$301,2,FALSE))^2+(VLOOKUP(BH$1,DATA!$A$3:$F$301,3,FALSE)-VLOOKUP($A68,DATA!$A$3:$F$301,3,FALSE))^2),"")</f>
        <v/>
      </c>
      <c r="BI68" s="14" t="str">
        <f>_xlfn.IFNA(SQRT((VLOOKUP(BI$1,DATA!$A$3:$F$301,2,FALSE)-VLOOKUP($A68,DATA!$A$3:$F$301,2,FALSE))^2+(VLOOKUP(BI$1,DATA!$A$3:$F$301,3,FALSE)-VLOOKUP($A68,DATA!$A$3:$F$301,3,FALSE))^2),"")</f>
        <v/>
      </c>
      <c r="BJ68" s="14" t="str">
        <f>_xlfn.IFNA(SQRT((VLOOKUP(BJ$1,DATA!$A$3:$F$301,2,FALSE)-VLOOKUP($A68,DATA!$A$3:$F$301,2,FALSE))^2+(VLOOKUP(BJ$1,DATA!$A$3:$F$301,3,FALSE)-VLOOKUP($A68,DATA!$A$3:$F$301,3,FALSE))^2),"")</f>
        <v/>
      </c>
      <c r="BK68" s="14" t="str">
        <f>_xlfn.IFNA(SQRT((VLOOKUP(BK$1,DATA!$A$3:$F$301,2,FALSE)-VLOOKUP($A68,DATA!$A$3:$F$301,2,FALSE))^2+(VLOOKUP(BK$1,DATA!$A$3:$F$301,3,FALSE)-VLOOKUP($A68,DATA!$A$3:$F$301,3,FALSE))^2),"")</f>
        <v/>
      </c>
      <c r="BL68" s="14" t="str">
        <f>_xlfn.IFNA(SQRT((VLOOKUP(BL$1,DATA!$A$3:$F$301,2,FALSE)-VLOOKUP($A68,DATA!$A$3:$F$301,2,FALSE))^2+(VLOOKUP(BL$1,DATA!$A$3:$F$301,3,FALSE)-VLOOKUP($A68,DATA!$A$3:$F$301,3,FALSE))^2),"")</f>
        <v/>
      </c>
      <c r="BM68" s="14" t="str">
        <f>_xlfn.IFNA(SQRT((VLOOKUP(BM$1,DATA!$A$3:$F$301,2,FALSE)-VLOOKUP($A68,DATA!$A$3:$F$301,2,FALSE))^2+(VLOOKUP(BM$1,DATA!$A$3:$F$301,3,FALSE)-VLOOKUP($A68,DATA!$A$3:$F$301,3,FALSE))^2),"")</f>
        <v/>
      </c>
      <c r="BN68" s="14" t="str">
        <f>_xlfn.IFNA(SQRT((VLOOKUP(BN$1,DATA!$A$3:$F$301,2,FALSE)-VLOOKUP($A68,DATA!$A$3:$F$301,2,FALSE))^2+(VLOOKUP(BN$1,DATA!$A$3:$F$301,3,FALSE)-VLOOKUP($A68,DATA!$A$3:$F$301,3,FALSE))^2),"")</f>
        <v/>
      </c>
      <c r="BO68" s="14" t="str">
        <f>_xlfn.IFNA(SQRT((VLOOKUP(BO$1,DATA!$A$3:$F$301,2,FALSE)-VLOOKUP($A68,DATA!$A$3:$F$301,2,FALSE))^2+(VLOOKUP(BO$1,DATA!$A$3:$F$301,3,FALSE)-VLOOKUP($A68,DATA!$A$3:$F$301,3,FALSE))^2),"")</f>
        <v/>
      </c>
      <c r="BP68" s="14" t="str">
        <f>_xlfn.IFNA(SQRT((VLOOKUP(BP$1,DATA!$A$3:$F$301,2,FALSE)-VLOOKUP($A68,DATA!$A$3:$F$301,2,FALSE))^2+(VLOOKUP(BP$1,DATA!$A$3:$F$301,3,FALSE)-VLOOKUP($A68,DATA!$A$3:$F$301,3,FALSE))^2),"")</f>
        <v/>
      </c>
      <c r="BQ68" s="14" t="str">
        <f>_xlfn.IFNA(SQRT((VLOOKUP(BQ$1,DATA!$A$3:$F$301,2,FALSE)-VLOOKUP($A68,DATA!$A$3:$F$301,2,FALSE))^2+(VLOOKUP(BQ$1,DATA!$A$3:$F$301,3,FALSE)-VLOOKUP($A68,DATA!$A$3:$F$301,3,FALSE))^2),"")</f>
        <v/>
      </c>
      <c r="BR68" s="14" t="str">
        <f>_xlfn.IFNA(SQRT((VLOOKUP(BR$1,DATA!$A$3:$F$301,2,FALSE)-VLOOKUP($A68,DATA!$A$3:$F$301,2,FALSE))^2+(VLOOKUP(BR$1,DATA!$A$3:$F$301,3,FALSE)-VLOOKUP($A68,DATA!$A$3:$F$301,3,FALSE))^2),"")</f>
        <v/>
      </c>
      <c r="BS68" s="14" t="str">
        <f>_xlfn.IFNA(SQRT((VLOOKUP(BS$1,DATA!$A$3:$F$301,2,FALSE)-VLOOKUP($A68,DATA!$A$3:$F$301,2,FALSE))^2+(VLOOKUP(BS$1,DATA!$A$3:$F$301,3,FALSE)-VLOOKUP($A68,DATA!$A$3:$F$301,3,FALSE))^2),"")</f>
        <v/>
      </c>
      <c r="BT68" s="14" t="str">
        <f>_xlfn.IFNA(SQRT((VLOOKUP(BT$1,DATA!$A$3:$F$301,2,FALSE)-VLOOKUP($A68,DATA!$A$3:$F$301,2,FALSE))^2+(VLOOKUP(BT$1,DATA!$A$3:$F$301,3,FALSE)-VLOOKUP($A68,DATA!$A$3:$F$301,3,FALSE))^2),"")</f>
        <v/>
      </c>
      <c r="BU68" s="14" t="str">
        <f>_xlfn.IFNA(SQRT((VLOOKUP(BU$1,DATA!$A$3:$F$301,2,FALSE)-VLOOKUP($A68,DATA!$A$3:$F$301,2,FALSE))^2+(VLOOKUP(BU$1,DATA!$A$3:$F$301,3,FALSE)-VLOOKUP($A68,DATA!$A$3:$F$301,3,FALSE))^2),"")</f>
        <v/>
      </c>
      <c r="BV68" s="14" t="str">
        <f>_xlfn.IFNA(SQRT((VLOOKUP(BV$1,DATA!$A$3:$F$301,2,FALSE)-VLOOKUP($A68,DATA!$A$3:$F$301,2,FALSE))^2+(VLOOKUP(BV$1,DATA!$A$3:$F$301,3,FALSE)-VLOOKUP($A68,DATA!$A$3:$F$301,3,FALSE))^2),"")</f>
        <v/>
      </c>
      <c r="BW68" s="14" t="str">
        <f>_xlfn.IFNA(SQRT((VLOOKUP(BW$1,DATA!$A$3:$F$301,2,FALSE)-VLOOKUP($A68,DATA!$A$3:$F$301,2,FALSE))^2+(VLOOKUP(BW$1,DATA!$A$3:$F$301,3,FALSE)-VLOOKUP($A68,DATA!$A$3:$F$301,3,FALSE))^2),"")</f>
        <v/>
      </c>
      <c r="BX68" s="14" t="str">
        <f>_xlfn.IFNA(SQRT((VLOOKUP(BX$1,DATA!$A$3:$F$301,2,FALSE)-VLOOKUP($A68,DATA!$A$3:$F$301,2,FALSE))^2+(VLOOKUP(BX$1,DATA!$A$3:$F$301,3,FALSE)-VLOOKUP($A68,DATA!$A$3:$F$301,3,FALSE))^2),"")</f>
        <v/>
      </c>
      <c r="BY68" s="14" t="str">
        <f>_xlfn.IFNA(SQRT((VLOOKUP(BY$1,DATA!$A$3:$F$301,2,FALSE)-VLOOKUP($A68,DATA!$A$3:$F$301,2,FALSE))^2+(VLOOKUP(BY$1,DATA!$A$3:$F$301,3,FALSE)-VLOOKUP($A68,DATA!$A$3:$F$301,3,FALSE))^2),"")</f>
        <v/>
      </c>
      <c r="BZ68" s="14" t="str">
        <f>_xlfn.IFNA(SQRT((VLOOKUP(BZ$1,DATA!$A$3:$F$301,2,FALSE)-VLOOKUP($A68,DATA!$A$3:$F$301,2,FALSE))^2+(VLOOKUP(BZ$1,DATA!$A$3:$F$301,3,FALSE)-VLOOKUP($A68,DATA!$A$3:$F$301,3,FALSE))^2),"")</f>
        <v/>
      </c>
      <c r="CA68" s="14" t="str">
        <f>_xlfn.IFNA(SQRT((VLOOKUP(CA$1,DATA!$A$3:$F$301,2,FALSE)-VLOOKUP($A68,DATA!$A$3:$F$301,2,FALSE))^2+(VLOOKUP(CA$1,DATA!$A$3:$F$301,3,FALSE)-VLOOKUP($A68,DATA!$A$3:$F$301,3,FALSE))^2),"")</f>
        <v/>
      </c>
      <c r="CB68" s="14" t="str">
        <f>_xlfn.IFNA(SQRT((VLOOKUP(CB$1,DATA!$A$3:$F$301,2,FALSE)-VLOOKUP($A68,DATA!$A$3:$F$301,2,FALSE))^2+(VLOOKUP(CB$1,DATA!$A$3:$F$301,3,FALSE)-VLOOKUP($A68,DATA!$A$3:$F$301,3,FALSE))^2),"")</f>
        <v/>
      </c>
      <c r="CC68" s="14" t="str">
        <f>_xlfn.IFNA(SQRT((VLOOKUP(CC$1,DATA!$A$3:$F$301,2,FALSE)-VLOOKUP($A68,DATA!$A$3:$F$301,2,FALSE))^2+(VLOOKUP(CC$1,DATA!$A$3:$F$301,3,FALSE)-VLOOKUP($A68,DATA!$A$3:$F$301,3,FALSE))^2),"")</f>
        <v/>
      </c>
      <c r="CD68" s="14" t="str">
        <f>_xlfn.IFNA(SQRT((VLOOKUP(CD$1,DATA!$A$3:$F$301,2,FALSE)-VLOOKUP($A68,DATA!$A$3:$F$301,2,FALSE))^2+(VLOOKUP(CD$1,DATA!$A$3:$F$301,3,FALSE)-VLOOKUP($A68,DATA!$A$3:$F$301,3,FALSE))^2),"")</f>
        <v/>
      </c>
      <c r="CE68" s="14" t="str">
        <f>_xlfn.IFNA(SQRT((VLOOKUP(CE$1,DATA!$A$3:$F$301,2,FALSE)-VLOOKUP($A68,DATA!$A$3:$F$301,2,FALSE))^2+(VLOOKUP(CE$1,DATA!$A$3:$F$301,3,FALSE)-VLOOKUP($A68,DATA!$A$3:$F$301,3,FALSE))^2),"")</f>
        <v/>
      </c>
      <c r="CF68" s="14" t="str">
        <f>_xlfn.IFNA(SQRT((VLOOKUP(CF$1,DATA!$A$3:$F$301,2,FALSE)-VLOOKUP($A68,DATA!$A$3:$F$301,2,FALSE))^2+(VLOOKUP(CF$1,DATA!$A$3:$F$301,3,FALSE)-VLOOKUP($A68,DATA!$A$3:$F$301,3,FALSE))^2),"")</f>
        <v/>
      </c>
      <c r="CG68" s="14" t="str">
        <f>_xlfn.IFNA(SQRT((VLOOKUP(CG$1,DATA!$A$3:$F$301,2,FALSE)-VLOOKUP($A68,DATA!$A$3:$F$301,2,FALSE))^2+(VLOOKUP(CG$1,DATA!$A$3:$F$301,3,FALSE)-VLOOKUP($A68,DATA!$A$3:$F$301,3,FALSE))^2),"")</f>
        <v/>
      </c>
      <c r="CH68" s="14" t="str">
        <f>_xlfn.IFNA(SQRT((VLOOKUP(CH$1,DATA!$A$3:$F$301,2,FALSE)-VLOOKUP($A68,DATA!$A$3:$F$301,2,FALSE))^2+(VLOOKUP(CH$1,DATA!$A$3:$F$301,3,FALSE)-VLOOKUP($A68,DATA!$A$3:$F$301,3,FALSE))^2),"")</f>
        <v/>
      </c>
      <c r="CI68" s="14" t="str">
        <f>_xlfn.IFNA(SQRT((VLOOKUP(CI$1,DATA!$A$3:$F$301,2,FALSE)-VLOOKUP($A68,DATA!$A$3:$F$301,2,FALSE))^2+(VLOOKUP(CI$1,DATA!$A$3:$F$301,3,FALSE)-VLOOKUP($A68,DATA!$A$3:$F$301,3,FALSE))^2),"")</f>
        <v/>
      </c>
      <c r="CJ68" s="14" t="str">
        <f>_xlfn.IFNA(SQRT((VLOOKUP(CJ$1,DATA!$A$3:$F$301,2,FALSE)-VLOOKUP($A68,DATA!$A$3:$F$301,2,FALSE))^2+(VLOOKUP(CJ$1,DATA!$A$3:$F$301,3,FALSE)-VLOOKUP($A68,DATA!$A$3:$F$301,3,FALSE))^2),"")</f>
        <v/>
      </c>
      <c r="CK68" s="14" t="str">
        <f>_xlfn.IFNA(SQRT((VLOOKUP(CK$1,DATA!$A$3:$F$301,2,FALSE)-VLOOKUP($A68,DATA!$A$3:$F$301,2,FALSE))^2+(VLOOKUP(CK$1,DATA!$A$3:$F$301,3,FALSE)-VLOOKUP($A68,DATA!$A$3:$F$301,3,FALSE))^2),"")</f>
        <v/>
      </c>
      <c r="CL68" s="14" t="str">
        <f>_xlfn.IFNA(SQRT((VLOOKUP(CL$1,DATA!$A$3:$F$301,2,FALSE)-VLOOKUP($A68,DATA!$A$3:$F$301,2,FALSE))^2+(VLOOKUP(CL$1,DATA!$A$3:$F$301,3,FALSE)-VLOOKUP($A68,DATA!$A$3:$F$301,3,FALSE))^2),"")</f>
        <v/>
      </c>
      <c r="CM68" s="14" t="str">
        <f>_xlfn.IFNA(SQRT((VLOOKUP(CM$1,DATA!$A$3:$F$301,2,FALSE)-VLOOKUP($A68,DATA!$A$3:$F$301,2,FALSE))^2+(VLOOKUP(CM$1,DATA!$A$3:$F$301,3,FALSE)-VLOOKUP($A68,DATA!$A$3:$F$301,3,FALSE))^2),"")</f>
        <v/>
      </c>
      <c r="CN68" s="14" t="str">
        <f>_xlfn.IFNA(SQRT((VLOOKUP(CN$1,DATA!$A$3:$F$301,2,FALSE)-VLOOKUP($A68,DATA!$A$3:$F$301,2,FALSE))^2+(VLOOKUP(CN$1,DATA!$A$3:$F$301,3,FALSE)-VLOOKUP($A68,DATA!$A$3:$F$301,3,FALSE))^2),"")</f>
        <v/>
      </c>
      <c r="CO68" s="14" t="str">
        <f>_xlfn.IFNA(SQRT((VLOOKUP(CO$1,DATA!$A$3:$F$301,2,FALSE)-VLOOKUP($A68,DATA!$A$3:$F$301,2,FALSE))^2+(VLOOKUP(CO$1,DATA!$A$3:$F$301,3,FALSE)-VLOOKUP($A68,DATA!$A$3:$F$301,3,FALSE))^2),"")</f>
        <v/>
      </c>
      <c r="CP68" s="14" t="str">
        <f>_xlfn.IFNA(SQRT((VLOOKUP(CP$1,DATA!$A$3:$F$301,2,FALSE)-VLOOKUP($A68,DATA!$A$3:$F$301,2,FALSE))^2+(VLOOKUP(CP$1,DATA!$A$3:$F$301,3,FALSE)-VLOOKUP($A68,DATA!$A$3:$F$301,3,FALSE))^2),"")</f>
        <v/>
      </c>
      <c r="CQ68" s="14" t="str">
        <f>_xlfn.IFNA(SQRT((VLOOKUP(CQ$1,DATA!$A$3:$F$301,2,FALSE)-VLOOKUP($A68,DATA!$A$3:$F$301,2,FALSE))^2+(VLOOKUP(CQ$1,DATA!$A$3:$F$301,3,FALSE)-VLOOKUP($A68,DATA!$A$3:$F$301,3,FALSE))^2),"")</f>
        <v/>
      </c>
      <c r="CR68" s="14" t="str">
        <f>_xlfn.IFNA(SQRT((VLOOKUP(CR$1,DATA!$A$3:$F$301,2,FALSE)-VLOOKUP($A68,DATA!$A$3:$F$301,2,FALSE))^2+(VLOOKUP(CR$1,DATA!$A$3:$F$301,3,FALSE)-VLOOKUP($A68,DATA!$A$3:$F$301,3,FALSE))^2),"")</f>
        <v/>
      </c>
      <c r="CS68" s="14" t="str">
        <f>_xlfn.IFNA(SQRT((VLOOKUP(CS$1,DATA!$A$3:$F$301,2,FALSE)-VLOOKUP($A68,DATA!$A$3:$F$301,2,FALSE))^2+(VLOOKUP(CS$1,DATA!$A$3:$F$301,3,FALSE)-VLOOKUP($A68,DATA!$A$3:$F$301,3,FALSE))^2),"")</f>
        <v/>
      </c>
      <c r="CT68" s="14" t="str">
        <f>_xlfn.IFNA(SQRT((VLOOKUP(CT$1,DATA!$A$3:$F$301,2,FALSE)-VLOOKUP($A68,DATA!$A$3:$F$301,2,FALSE))^2+(VLOOKUP(CT$1,DATA!$A$3:$F$301,3,FALSE)-VLOOKUP($A68,DATA!$A$3:$F$301,3,FALSE))^2),"")</f>
        <v/>
      </c>
      <c r="CU68" s="14" t="str">
        <f>_xlfn.IFNA(SQRT((VLOOKUP(CU$1,DATA!$A$3:$F$301,2,FALSE)-VLOOKUP($A68,DATA!$A$3:$F$301,2,FALSE))^2+(VLOOKUP(CU$1,DATA!$A$3:$F$301,3,FALSE)-VLOOKUP($A68,DATA!$A$3:$F$301,3,FALSE))^2),"")</f>
        <v/>
      </c>
      <c r="CV68" s="14" t="str">
        <f>_xlfn.IFNA(SQRT((VLOOKUP(CV$1,DATA!$A$3:$F$301,2,FALSE)-VLOOKUP($A68,DATA!$A$3:$F$301,2,FALSE))^2+(VLOOKUP(CV$1,DATA!$A$3:$F$301,3,FALSE)-VLOOKUP($A68,DATA!$A$3:$F$301,3,FALSE))^2),"")</f>
        <v/>
      </c>
      <c r="CW68" s="14" t="str">
        <f>_xlfn.IFNA(SQRT((VLOOKUP(CW$1,DATA!$A$3:$F$301,2,FALSE)-VLOOKUP($A68,DATA!$A$3:$F$301,2,FALSE))^2+(VLOOKUP(CW$1,DATA!$A$3:$F$301,3,FALSE)-VLOOKUP($A68,DATA!$A$3:$F$301,3,FALSE))^2),"")</f>
        <v/>
      </c>
      <c r="CX68" s="14" t="str">
        <f>_xlfn.IFNA(SQRT((VLOOKUP(CX$1,DATA!$A$3:$F$301,2,FALSE)-VLOOKUP($A68,DATA!$A$3:$F$301,2,FALSE))^2+(VLOOKUP(CX$1,DATA!$A$3:$F$301,3,FALSE)-VLOOKUP($A68,DATA!$A$3:$F$301,3,FALSE))^2),"")</f>
        <v/>
      </c>
    </row>
    <row r="69" spans="1:102">
      <c r="A69" s="13">
        <v>68</v>
      </c>
      <c r="B69" s="14" t="str">
        <f>_xlfn.IFNA(SQRT((VLOOKUP(B$1,DATA!$A$3:$F$301,2,FALSE)-VLOOKUP($A69,DATA!$A$3:$F$301,2,FALSE))^2+(VLOOKUP(B$1,DATA!$A$3:$F$301,3,FALSE)-VLOOKUP($A69,DATA!$A$3:$F$301,3,FALSE))^2),"")</f>
        <v/>
      </c>
      <c r="C69" s="14" t="str">
        <f>_xlfn.IFNA(SQRT((VLOOKUP(C$1,DATA!$A$3:$F$301,2,FALSE)-VLOOKUP($A69,DATA!$A$3:$F$301,2,FALSE))^2+(VLOOKUP(C$1,DATA!$A$3:$F$301,3,FALSE)-VLOOKUP($A69,DATA!$A$3:$F$301,3,FALSE))^2),"")</f>
        <v/>
      </c>
      <c r="D69" s="14" t="str">
        <f>_xlfn.IFNA(SQRT((VLOOKUP(D$1,DATA!$A$3:$F$301,2,FALSE)-VLOOKUP($A69,DATA!$A$3:$F$301,2,FALSE))^2+(VLOOKUP(D$1,DATA!$A$3:$F$301,3,FALSE)-VLOOKUP($A69,DATA!$A$3:$F$301,3,FALSE))^2),"")</f>
        <v/>
      </c>
      <c r="E69" s="14" t="str">
        <f>_xlfn.IFNA(SQRT((VLOOKUP(E$1,DATA!$A$3:$F$301,2,FALSE)-VLOOKUP($A69,DATA!$A$3:$F$301,2,FALSE))^2+(VLOOKUP(E$1,DATA!$A$3:$F$301,3,FALSE)-VLOOKUP($A69,DATA!$A$3:$F$301,3,FALSE))^2),"")</f>
        <v/>
      </c>
      <c r="F69" s="14" t="str">
        <f>_xlfn.IFNA(SQRT((VLOOKUP(F$1,DATA!$A$3:$F$301,2,FALSE)-VLOOKUP($A69,DATA!$A$3:$F$301,2,FALSE))^2+(VLOOKUP(F$1,DATA!$A$3:$F$301,3,FALSE)-VLOOKUP($A69,DATA!$A$3:$F$301,3,FALSE))^2),"")</f>
        <v/>
      </c>
      <c r="G69" s="14" t="str">
        <f>_xlfn.IFNA(SQRT((VLOOKUP(G$1,DATA!$A$3:$F$301,2,FALSE)-VLOOKUP($A69,DATA!$A$3:$F$301,2,FALSE))^2+(VLOOKUP(G$1,DATA!$A$3:$F$301,3,FALSE)-VLOOKUP($A69,DATA!$A$3:$F$301,3,FALSE))^2),"")</f>
        <v/>
      </c>
      <c r="H69" s="14" t="str">
        <f>_xlfn.IFNA(SQRT((VLOOKUP(H$1,DATA!$A$3:$F$301,2,FALSE)-VLOOKUP($A69,DATA!$A$3:$F$301,2,FALSE))^2+(VLOOKUP(H$1,DATA!$A$3:$F$301,3,FALSE)-VLOOKUP($A69,DATA!$A$3:$F$301,3,FALSE))^2),"")</f>
        <v/>
      </c>
      <c r="I69" s="14" t="str">
        <f>_xlfn.IFNA(SQRT((VLOOKUP(I$1,DATA!$A$3:$F$301,2,FALSE)-VLOOKUP($A69,DATA!$A$3:$F$301,2,FALSE))^2+(VLOOKUP(I$1,DATA!$A$3:$F$301,3,FALSE)-VLOOKUP($A69,DATA!$A$3:$F$301,3,FALSE))^2),"")</f>
        <v/>
      </c>
      <c r="J69" s="14" t="str">
        <f>_xlfn.IFNA(SQRT((VLOOKUP(J$1,DATA!$A$3:$F$301,2,FALSE)-VLOOKUP($A69,DATA!$A$3:$F$301,2,FALSE))^2+(VLOOKUP(J$1,DATA!$A$3:$F$301,3,FALSE)-VLOOKUP($A69,DATA!$A$3:$F$301,3,FALSE))^2),"")</f>
        <v/>
      </c>
      <c r="K69" s="14" t="str">
        <f>_xlfn.IFNA(SQRT((VLOOKUP(K$1,DATA!$A$3:$F$301,2,FALSE)-VLOOKUP($A69,DATA!$A$3:$F$301,2,FALSE))^2+(VLOOKUP(K$1,DATA!$A$3:$F$301,3,FALSE)-VLOOKUP($A69,DATA!$A$3:$F$301,3,FALSE))^2),"")</f>
        <v/>
      </c>
      <c r="L69" s="14" t="str">
        <f>_xlfn.IFNA(SQRT((VLOOKUP(L$1,DATA!$A$3:$F$301,2,FALSE)-VLOOKUP($A69,DATA!$A$3:$F$301,2,FALSE))^2+(VLOOKUP(L$1,DATA!$A$3:$F$301,3,FALSE)-VLOOKUP($A69,DATA!$A$3:$F$301,3,FALSE))^2),"")</f>
        <v/>
      </c>
      <c r="M69" s="14" t="str">
        <f>_xlfn.IFNA(SQRT((VLOOKUP(M$1,DATA!$A$3:$F$301,2,FALSE)-VLOOKUP($A69,DATA!$A$3:$F$301,2,FALSE))^2+(VLOOKUP(M$1,DATA!$A$3:$F$301,3,FALSE)-VLOOKUP($A69,DATA!$A$3:$F$301,3,FALSE))^2),"")</f>
        <v/>
      </c>
      <c r="N69" s="14" t="str">
        <f>_xlfn.IFNA(SQRT((VLOOKUP(N$1,DATA!$A$3:$F$301,2,FALSE)-VLOOKUP($A69,DATA!$A$3:$F$301,2,FALSE))^2+(VLOOKUP(N$1,DATA!$A$3:$F$301,3,FALSE)-VLOOKUP($A69,DATA!$A$3:$F$301,3,FALSE))^2),"")</f>
        <v/>
      </c>
      <c r="O69" s="14" t="str">
        <f>_xlfn.IFNA(SQRT((VLOOKUP(O$1,DATA!$A$3:$F$301,2,FALSE)-VLOOKUP($A69,DATA!$A$3:$F$301,2,FALSE))^2+(VLOOKUP(O$1,DATA!$A$3:$F$301,3,FALSE)-VLOOKUP($A69,DATA!$A$3:$F$301,3,FALSE))^2),"")</f>
        <v/>
      </c>
      <c r="P69" s="14" t="str">
        <f>_xlfn.IFNA(SQRT((VLOOKUP(P$1,DATA!$A$3:$F$301,2,FALSE)-VLOOKUP($A69,DATA!$A$3:$F$301,2,FALSE))^2+(VLOOKUP(P$1,DATA!$A$3:$F$301,3,FALSE)-VLOOKUP($A69,DATA!$A$3:$F$301,3,FALSE))^2),"")</f>
        <v/>
      </c>
      <c r="Q69" s="14" t="str">
        <f>_xlfn.IFNA(SQRT((VLOOKUP(Q$1,DATA!$A$3:$F$301,2,FALSE)-VLOOKUP($A69,DATA!$A$3:$F$301,2,FALSE))^2+(VLOOKUP(Q$1,DATA!$A$3:$F$301,3,FALSE)-VLOOKUP($A69,DATA!$A$3:$F$301,3,FALSE))^2),"")</f>
        <v/>
      </c>
      <c r="R69" s="14" t="str">
        <f>_xlfn.IFNA(SQRT((VLOOKUP(R$1,DATA!$A$3:$F$301,2,FALSE)-VLOOKUP($A69,DATA!$A$3:$F$301,2,FALSE))^2+(VLOOKUP(R$1,DATA!$A$3:$F$301,3,FALSE)-VLOOKUP($A69,DATA!$A$3:$F$301,3,FALSE))^2),"")</f>
        <v/>
      </c>
      <c r="S69" s="14" t="str">
        <f>_xlfn.IFNA(SQRT((VLOOKUP(S$1,DATA!$A$3:$F$301,2,FALSE)-VLOOKUP($A69,DATA!$A$3:$F$301,2,FALSE))^2+(VLOOKUP(S$1,DATA!$A$3:$F$301,3,FALSE)-VLOOKUP($A69,DATA!$A$3:$F$301,3,FALSE))^2),"")</f>
        <v/>
      </c>
      <c r="T69" s="14" t="str">
        <f>_xlfn.IFNA(SQRT((VLOOKUP(T$1,DATA!$A$3:$F$301,2,FALSE)-VLOOKUP($A69,DATA!$A$3:$F$301,2,FALSE))^2+(VLOOKUP(T$1,DATA!$A$3:$F$301,3,FALSE)-VLOOKUP($A69,DATA!$A$3:$F$301,3,FALSE))^2),"")</f>
        <v/>
      </c>
      <c r="U69" s="14" t="str">
        <f>_xlfn.IFNA(SQRT((VLOOKUP(U$1,DATA!$A$3:$F$301,2,FALSE)-VLOOKUP($A69,DATA!$A$3:$F$301,2,FALSE))^2+(VLOOKUP(U$1,DATA!$A$3:$F$301,3,FALSE)-VLOOKUP($A69,DATA!$A$3:$F$301,3,FALSE))^2),"")</f>
        <v/>
      </c>
      <c r="V69" s="14" t="str">
        <f>_xlfn.IFNA(SQRT((VLOOKUP(V$1,DATA!$A$3:$F$301,2,FALSE)-VLOOKUP($A69,DATA!$A$3:$F$301,2,FALSE))^2+(VLOOKUP(V$1,DATA!$A$3:$F$301,3,FALSE)-VLOOKUP($A69,DATA!$A$3:$F$301,3,FALSE))^2),"")</f>
        <v/>
      </c>
      <c r="W69" s="14" t="str">
        <f>_xlfn.IFNA(SQRT((VLOOKUP(W$1,DATA!$A$3:$F$301,2,FALSE)-VLOOKUP($A69,DATA!$A$3:$F$301,2,FALSE))^2+(VLOOKUP(W$1,DATA!$A$3:$F$301,3,FALSE)-VLOOKUP($A69,DATA!$A$3:$F$301,3,FALSE))^2),"")</f>
        <v/>
      </c>
      <c r="X69" s="14" t="str">
        <f>_xlfn.IFNA(SQRT((VLOOKUP(X$1,DATA!$A$3:$F$301,2,FALSE)-VLOOKUP($A69,DATA!$A$3:$F$301,2,FALSE))^2+(VLOOKUP(X$1,DATA!$A$3:$F$301,3,FALSE)-VLOOKUP($A69,DATA!$A$3:$F$301,3,FALSE))^2),"")</f>
        <v/>
      </c>
      <c r="Y69" s="14" t="str">
        <f>_xlfn.IFNA(SQRT((VLOOKUP(Y$1,DATA!$A$3:$F$301,2,FALSE)-VLOOKUP($A69,DATA!$A$3:$F$301,2,FALSE))^2+(VLOOKUP(Y$1,DATA!$A$3:$F$301,3,FALSE)-VLOOKUP($A69,DATA!$A$3:$F$301,3,FALSE))^2),"")</f>
        <v/>
      </c>
      <c r="Z69" s="14" t="str">
        <f>_xlfn.IFNA(SQRT((VLOOKUP(Z$1,DATA!$A$3:$F$301,2,FALSE)-VLOOKUP($A69,DATA!$A$3:$F$301,2,FALSE))^2+(VLOOKUP(Z$1,DATA!$A$3:$F$301,3,FALSE)-VLOOKUP($A69,DATA!$A$3:$F$301,3,FALSE))^2),"")</f>
        <v/>
      </c>
      <c r="AA69" s="14" t="str">
        <f>_xlfn.IFNA(SQRT((VLOOKUP(AA$1,DATA!$A$3:$F$301,2,FALSE)-VLOOKUP($A69,DATA!$A$3:$F$301,2,FALSE))^2+(VLOOKUP(AA$1,DATA!$A$3:$F$301,3,FALSE)-VLOOKUP($A69,DATA!$A$3:$F$301,3,FALSE))^2),"")</f>
        <v/>
      </c>
      <c r="AB69" s="14" t="str">
        <f>_xlfn.IFNA(SQRT((VLOOKUP(AB$1,DATA!$A$3:$F$301,2,FALSE)-VLOOKUP($A69,DATA!$A$3:$F$301,2,FALSE))^2+(VLOOKUP(AB$1,DATA!$A$3:$F$301,3,FALSE)-VLOOKUP($A69,DATA!$A$3:$F$301,3,FALSE))^2),"")</f>
        <v/>
      </c>
      <c r="AC69" s="14" t="str">
        <f>_xlfn.IFNA(SQRT((VLOOKUP(AC$1,DATA!$A$3:$F$301,2,FALSE)-VLOOKUP($A69,DATA!$A$3:$F$301,2,FALSE))^2+(VLOOKUP(AC$1,DATA!$A$3:$F$301,3,FALSE)-VLOOKUP($A69,DATA!$A$3:$F$301,3,FALSE))^2),"")</f>
        <v/>
      </c>
      <c r="AD69" s="14" t="str">
        <f>_xlfn.IFNA(SQRT((VLOOKUP(AD$1,DATA!$A$3:$F$301,2,FALSE)-VLOOKUP($A69,DATA!$A$3:$F$301,2,FALSE))^2+(VLOOKUP(AD$1,DATA!$A$3:$F$301,3,FALSE)-VLOOKUP($A69,DATA!$A$3:$F$301,3,FALSE))^2),"")</f>
        <v/>
      </c>
      <c r="AE69" s="14" t="str">
        <f>_xlfn.IFNA(SQRT((VLOOKUP(AE$1,DATA!$A$3:$F$301,2,FALSE)-VLOOKUP($A69,DATA!$A$3:$F$301,2,FALSE))^2+(VLOOKUP(AE$1,DATA!$A$3:$F$301,3,FALSE)-VLOOKUP($A69,DATA!$A$3:$F$301,3,FALSE))^2),"")</f>
        <v/>
      </c>
      <c r="AF69" s="14" t="str">
        <f>_xlfn.IFNA(SQRT((VLOOKUP(AF$1,DATA!$A$3:$F$301,2,FALSE)-VLOOKUP($A69,DATA!$A$3:$F$301,2,FALSE))^2+(VLOOKUP(AF$1,DATA!$A$3:$F$301,3,FALSE)-VLOOKUP($A69,DATA!$A$3:$F$301,3,FALSE))^2),"")</f>
        <v/>
      </c>
      <c r="AG69" s="14" t="str">
        <f>_xlfn.IFNA(SQRT((VLOOKUP(AG$1,DATA!$A$3:$F$301,2,FALSE)-VLOOKUP($A69,DATA!$A$3:$F$301,2,FALSE))^2+(VLOOKUP(AG$1,DATA!$A$3:$F$301,3,FALSE)-VLOOKUP($A69,DATA!$A$3:$F$301,3,FALSE))^2),"")</f>
        <v/>
      </c>
      <c r="AH69" s="14" t="str">
        <f>_xlfn.IFNA(SQRT((VLOOKUP(AH$1,DATA!$A$3:$F$301,2,FALSE)-VLOOKUP($A69,DATA!$A$3:$F$301,2,FALSE))^2+(VLOOKUP(AH$1,DATA!$A$3:$F$301,3,FALSE)-VLOOKUP($A69,DATA!$A$3:$F$301,3,FALSE))^2),"")</f>
        <v/>
      </c>
      <c r="AI69" s="14" t="str">
        <f>_xlfn.IFNA(SQRT((VLOOKUP(AI$1,DATA!$A$3:$F$301,2,FALSE)-VLOOKUP($A69,DATA!$A$3:$F$301,2,FALSE))^2+(VLOOKUP(AI$1,DATA!$A$3:$F$301,3,FALSE)-VLOOKUP($A69,DATA!$A$3:$F$301,3,FALSE))^2),"")</f>
        <v/>
      </c>
      <c r="AJ69" s="14" t="str">
        <f>_xlfn.IFNA(SQRT((VLOOKUP(AJ$1,DATA!$A$3:$F$301,2,FALSE)-VLOOKUP($A69,DATA!$A$3:$F$301,2,FALSE))^2+(VLOOKUP(AJ$1,DATA!$A$3:$F$301,3,FALSE)-VLOOKUP($A69,DATA!$A$3:$F$301,3,FALSE))^2),"")</f>
        <v/>
      </c>
      <c r="AK69" s="14" t="str">
        <f>_xlfn.IFNA(SQRT((VLOOKUP(AK$1,DATA!$A$3:$F$301,2,FALSE)-VLOOKUP($A69,DATA!$A$3:$F$301,2,FALSE))^2+(VLOOKUP(AK$1,DATA!$A$3:$F$301,3,FALSE)-VLOOKUP($A69,DATA!$A$3:$F$301,3,FALSE))^2),"")</f>
        <v/>
      </c>
      <c r="AL69" s="14" t="str">
        <f>_xlfn.IFNA(SQRT((VLOOKUP(AL$1,DATA!$A$3:$F$301,2,FALSE)-VLOOKUP($A69,DATA!$A$3:$F$301,2,FALSE))^2+(VLOOKUP(AL$1,DATA!$A$3:$F$301,3,FALSE)-VLOOKUP($A69,DATA!$A$3:$F$301,3,FALSE))^2),"")</f>
        <v/>
      </c>
      <c r="AM69" s="14" t="str">
        <f>_xlfn.IFNA(SQRT((VLOOKUP(AM$1,DATA!$A$3:$F$301,2,FALSE)-VLOOKUP($A69,DATA!$A$3:$F$301,2,FALSE))^2+(VLOOKUP(AM$1,DATA!$A$3:$F$301,3,FALSE)-VLOOKUP($A69,DATA!$A$3:$F$301,3,FALSE))^2),"")</f>
        <v/>
      </c>
      <c r="AN69" s="14" t="str">
        <f>_xlfn.IFNA(SQRT((VLOOKUP(AN$1,DATA!$A$3:$F$301,2,FALSE)-VLOOKUP($A69,DATA!$A$3:$F$301,2,FALSE))^2+(VLOOKUP(AN$1,DATA!$A$3:$F$301,3,FALSE)-VLOOKUP($A69,DATA!$A$3:$F$301,3,FALSE))^2),"")</f>
        <v/>
      </c>
      <c r="AO69" s="14" t="str">
        <f>_xlfn.IFNA(SQRT((VLOOKUP(AO$1,DATA!$A$3:$F$301,2,FALSE)-VLOOKUP($A69,DATA!$A$3:$F$301,2,FALSE))^2+(VLOOKUP(AO$1,DATA!$A$3:$F$301,3,FALSE)-VLOOKUP($A69,DATA!$A$3:$F$301,3,FALSE))^2),"")</f>
        <v/>
      </c>
      <c r="AP69" s="14" t="str">
        <f>_xlfn.IFNA(SQRT((VLOOKUP(AP$1,DATA!$A$3:$F$301,2,FALSE)-VLOOKUP($A69,DATA!$A$3:$F$301,2,FALSE))^2+(VLOOKUP(AP$1,DATA!$A$3:$F$301,3,FALSE)-VLOOKUP($A69,DATA!$A$3:$F$301,3,FALSE))^2),"")</f>
        <v/>
      </c>
      <c r="AQ69" s="14" t="str">
        <f>_xlfn.IFNA(SQRT((VLOOKUP(AQ$1,DATA!$A$3:$F$301,2,FALSE)-VLOOKUP($A69,DATA!$A$3:$F$301,2,FALSE))^2+(VLOOKUP(AQ$1,DATA!$A$3:$F$301,3,FALSE)-VLOOKUP($A69,DATA!$A$3:$F$301,3,FALSE))^2),"")</f>
        <v/>
      </c>
      <c r="AR69" s="14" t="str">
        <f>_xlfn.IFNA(SQRT((VLOOKUP(AR$1,DATA!$A$3:$F$301,2,FALSE)-VLOOKUP($A69,DATA!$A$3:$F$301,2,FALSE))^2+(VLOOKUP(AR$1,DATA!$A$3:$F$301,3,FALSE)-VLOOKUP($A69,DATA!$A$3:$F$301,3,FALSE))^2),"")</f>
        <v/>
      </c>
      <c r="AS69" s="14" t="str">
        <f>_xlfn.IFNA(SQRT((VLOOKUP(AS$1,DATA!$A$3:$F$301,2,FALSE)-VLOOKUP($A69,DATA!$A$3:$F$301,2,FALSE))^2+(VLOOKUP(AS$1,DATA!$A$3:$F$301,3,FALSE)-VLOOKUP($A69,DATA!$A$3:$F$301,3,FALSE))^2),"")</f>
        <v/>
      </c>
      <c r="AT69" s="14" t="str">
        <f>_xlfn.IFNA(SQRT((VLOOKUP(AT$1,DATA!$A$3:$F$301,2,FALSE)-VLOOKUP($A69,DATA!$A$3:$F$301,2,FALSE))^2+(VLOOKUP(AT$1,DATA!$A$3:$F$301,3,FALSE)-VLOOKUP($A69,DATA!$A$3:$F$301,3,FALSE))^2),"")</f>
        <v/>
      </c>
      <c r="AU69" s="14" t="str">
        <f>_xlfn.IFNA(SQRT((VLOOKUP(AU$1,DATA!$A$3:$F$301,2,FALSE)-VLOOKUP($A69,DATA!$A$3:$F$301,2,FALSE))^2+(VLOOKUP(AU$1,DATA!$A$3:$F$301,3,FALSE)-VLOOKUP($A69,DATA!$A$3:$F$301,3,FALSE))^2),"")</f>
        <v/>
      </c>
      <c r="AV69" s="14" t="str">
        <f>_xlfn.IFNA(SQRT((VLOOKUP(AV$1,DATA!$A$3:$F$301,2,FALSE)-VLOOKUP($A69,DATA!$A$3:$F$301,2,FALSE))^2+(VLOOKUP(AV$1,DATA!$A$3:$F$301,3,FALSE)-VLOOKUP($A69,DATA!$A$3:$F$301,3,FALSE))^2),"")</f>
        <v/>
      </c>
      <c r="AW69" s="14" t="str">
        <f>_xlfn.IFNA(SQRT((VLOOKUP(AW$1,DATA!$A$3:$F$301,2,FALSE)-VLOOKUP($A69,DATA!$A$3:$F$301,2,FALSE))^2+(VLOOKUP(AW$1,DATA!$A$3:$F$301,3,FALSE)-VLOOKUP($A69,DATA!$A$3:$F$301,3,FALSE))^2),"")</f>
        <v/>
      </c>
      <c r="AX69" s="14" t="str">
        <f>_xlfn.IFNA(SQRT((VLOOKUP(AX$1,DATA!$A$3:$F$301,2,FALSE)-VLOOKUP($A69,DATA!$A$3:$F$301,2,FALSE))^2+(VLOOKUP(AX$1,DATA!$A$3:$F$301,3,FALSE)-VLOOKUP($A69,DATA!$A$3:$F$301,3,FALSE))^2),"")</f>
        <v/>
      </c>
      <c r="AY69" s="14" t="str">
        <f>_xlfn.IFNA(SQRT((VLOOKUP(AY$1,DATA!$A$3:$F$301,2,FALSE)-VLOOKUP($A69,DATA!$A$3:$F$301,2,FALSE))^2+(VLOOKUP(AY$1,DATA!$A$3:$F$301,3,FALSE)-VLOOKUP($A69,DATA!$A$3:$F$301,3,FALSE))^2),"")</f>
        <v/>
      </c>
      <c r="AZ69" s="14" t="str">
        <f>_xlfn.IFNA(SQRT((VLOOKUP(AZ$1,DATA!$A$3:$F$301,2,FALSE)-VLOOKUP($A69,DATA!$A$3:$F$301,2,FALSE))^2+(VLOOKUP(AZ$1,DATA!$A$3:$F$301,3,FALSE)-VLOOKUP($A69,DATA!$A$3:$F$301,3,FALSE))^2),"")</f>
        <v/>
      </c>
      <c r="BA69" s="14" t="str">
        <f>_xlfn.IFNA(SQRT((VLOOKUP(BA$1,DATA!$A$3:$F$301,2,FALSE)-VLOOKUP($A69,DATA!$A$3:$F$301,2,FALSE))^2+(VLOOKUP(BA$1,DATA!$A$3:$F$301,3,FALSE)-VLOOKUP($A69,DATA!$A$3:$F$301,3,FALSE))^2),"")</f>
        <v/>
      </c>
      <c r="BB69" s="14" t="str">
        <f>_xlfn.IFNA(SQRT((VLOOKUP(BB$1,DATA!$A$3:$F$301,2,FALSE)-VLOOKUP($A69,DATA!$A$3:$F$301,2,FALSE))^2+(VLOOKUP(BB$1,DATA!$A$3:$F$301,3,FALSE)-VLOOKUP($A69,DATA!$A$3:$F$301,3,FALSE))^2),"")</f>
        <v/>
      </c>
      <c r="BC69" s="14" t="str">
        <f>_xlfn.IFNA(SQRT((VLOOKUP(BC$1,DATA!$A$3:$F$301,2,FALSE)-VLOOKUP($A69,DATA!$A$3:$F$301,2,FALSE))^2+(VLOOKUP(BC$1,DATA!$A$3:$F$301,3,FALSE)-VLOOKUP($A69,DATA!$A$3:$F$301,3,FALSE))^2),"")</f>
        <v/>
      </c>
      <c r="BD69" s="14" t="str">
        <f>_xlfn.IFNA(SQRT((VLOOKUP(BD$1,DATA!$A$3:$F$301,2,FALSE)-VLOOKUP($A69,DATA!$A$3:$F$301,2,FALSE))^2+(VLOOKUP(BD$1,DATA!$A$3:$F$301,3,FALSE)-VLOOKUP($A69,DATA!$A$3:$F$301,3,FALSE))^2),"")</f>
        <v/>
      </c>
      <c r="BE69" s="14" t="str">
        <f>_xlfn.IFNA(SQRT((VLOOKUP(BE$1,DATA!$A$3:$F$301,2,FALSE)-VLOOKUP($A69,DATA!$A$3:$F$301,2,FALSE))^2+(VLOOKUP(BE$1,DATA!$A$3:$F$301,3,FALSE)-VLOOKUP($A69,DATA!$A$3:$F$301,3,FALSE))^2),"")</f>
        <v/>
      </c>
      <c r="BF69" s="14" t="str">
        <f>_xlfn.IFNA(SQRT((VLOOKUP(BF$1,DATA!$A$3:$F$301,2,FALSE)-VLOOKUP($A69,DATA!$A$3:$F$301,2,FALSE))^2+(VLOOKUP(BF$1,DATA!$A$3:$F$301,3,FALSE)-VLOOKUP($A69,DATA!$A$3:$F$301,3,FALSE))^2),"")</f>
        <v/>
      </c>
      <c r="BG69" s="14" t="str">
        <f>_xlfn.IFNA(SQRT((VLOOKUP(BG$1,DATA!$A$3:$F$301,2,FALSE)-VLOOKUP($A69,DATA!$A$3:$F$301,2,FALSE))^2+(VLOOKUP(BG$1,DATA!$A$3:$F$301,3,FALSE)-VLOOKUP($A69,DATA!$A$3:$F$301,3,FALSE))^2),"")</f>
        <v/>
      </c>
      <c r="BH69" s="14" t="str">
        <f>_xlfn.IFNA(SQRT((VLOOKUP(BH$1,DATA!$A$3:$F$301,2,FALSE)-VLOOKUP($A69,DATA!$A$3:$F$301,2,FALSE))^2+(VLOOKUP(BH$1,DATA!$A$3:$F$301,3,FALSE)-VLOOKUP($A69,DATA!$A$3:$F$301,3,FALSE))^2),"")</f>
        <v/>
      </c>
      <c r="BI69" s="14" t="str">
        <f>_xlfn.IFNA(SQRT((VLOOKUP(BI$1,DATA!$A$3:$F$301,2,FALSE)-VLOOKUP($A69,DATA!$A$3:$F$301,2,FALSE))^2+(VLOOKUP(BI$1,DATA!$A$3:$F$301,3,FALSE)-VLOOKUP($A69,DATA!$A$3:$F$301,3,FALSE))^2),"")</f>
        <v/>
      </c>
      <c r="BJ69" s="14" t="str">
        <f>_xlfn.IFNA(SQRT((VLOOKUP(BJ$1,DATA!$A$3:$F$301,2,FALSE)-VLOOKUP($A69,DATA!$A$3:$F$301,2,FALSE))^2+(VLOOKUP(BJ$1,DATA!$A$3:$F$301,3,FALSE)-VLOOKUP($A69,DATA!$A$3:$F$301,3,FALSE))^2),"")</f>
        <v/>
      </c>
      <c r="BK69" s="14" t="str">
        <f>_xlfn.IFNA(SQRT((VLOOKUP(BK$1,DATA!$A$3:$F$301,2,FALSE)-VLOOKUP($A69,DATA!$A$3:$F$301,2,FALSE))^2+(VLOOKUP(BK$1,DATA!$A$3:$F$301,3,FALSE)-VLOOKUP($A69,DATA!$A$3:$F$301,3,FALSE))^2),"")</f>
        <v/>
      </c>
      <c r="BL69" s="14" t="str">
        <f>_xlfn.IFNA(SQRT((VLOOKUP(BL$1,DATA!$A$3:$F$301,2,FALSE)-VLOOKUP($A69,DATA!$A$3:$F$301,2,FALSE))^2+(VLOOKUP(BL$1,DATA!$A$3:$F$301,3,FALSE)-VLOOKUP($A69,DATA!$A$3:$F$301,3,FALSE))^2),"")</f>
        <v/>
      </c>
      <c r="BM69" s="14" t="str">
        <f>_xlfn.IFNA(SQRT((VLOOKUP(BM$1,DATA!$A$3:$F$301,2,FALSE)-VLOOKUP($A69,DATA!$A$3:$F$301,2,FALSE))^2+(VLOOKUP(BM$1,DATA!$A$3:$F$301,3,FALSE)-VLOOKUP($A69,DATA!$A$3:$F$301,3,FALSE))^2),"")</f>
        <v/>
      </c>
      <c r="BN69" s="14" t="str">
        <f>_xlfn.IFNA(SQRT((VLOOKUP(BN$1,DATA!$A$3:$F$301,2,FALSE)-VLOOKUP($A69,DATA!$A$3:$F$301,2,FALSE))^2+(VLOOKUP(BN$1,DATA!$A$3:$F$301,3,FALSE)-VLOOKUP($A69,DATA!$A$3:$F$301,3,FALSE))^2),"")</f>
        <v/>
      </c>
      <c r="BO69" s="14" t="str">
        <f>_xlfn.IFNA(SQRT((VLOOKUP(BO$1,DATA!$A$3:$F$301,2,FALSE)-VLOOKUP($A69,DATA!$A$3:$F$301,2,FALSE))^2+(VLOOKUP(BO$1,DATA!$A$3:$F$301,3,FALSE)-VLOOKUP($A69,DATA!$A$3:$F$301,3,FALSE))^2),"")</f>
        <v/>
      </c>
      <c r="BP69" s="14" t="str">
        <f>_xlfn.IFNA(SQRT((VLOOKUP(BP$1,DATA!$A$3:$F$301,2,FALSE)-VLOOKUP($A69,DATA!$A$3:$F$301,2,FALSE))^2+(VLOOKUP(BP$1,DATA!$A$3:$F$301,3,FALSE)-VLOOKUP($A69,DATA!$A$3:$F$301,3,FALSE))^2),"")</f>
        <v/>
      </c>
      <c r="BQ69" s="14" t="str">
        <f>_xlfn.IFNA(SQRT((VLOOKUP(BQ$1,DATA!$A$3:$F$301,2,FALSE)-VLOOKUP($A69,DATA!$A$3:$F$301,2,FALSE))^2+(VLOOKUP(BQ$1,DATA!$A$3:$F$301,3,FALSE)-VLOOKUP($A69,DATA!$A$3:$F$301,3,FALSE))^2),"")</f>
        <v/>
      </c>
      <c r="BR69" s="14" t="str">
        <f>_xlfn.IFNA(SQRT((VLOOKUP(BR$1,DATA!$A$3:$F$301,2,FALSE)-VLOOKUP($A69,DATA!$A$3:$F$301,2,FALSE))^2+(VLOOKUP(BR$1,DATA!$A$3:$F$301,3,FALSE)-VLOOKUP($A69,DATA!$A$3:$F$301,3,FALSE))^2),"")</f>
        <v/>
      </c>
      <c r="BS69" s="14" t="str">
        <f>_xlfn.IFNA(SQRT((VLOOKUP(BS$1,DATA!$A$3:$F$301,2,FALSE)-VLOOKUP($A69,DATA!$A$3:$F$301,2,FALSE))^2+(VLOOKUP(BS$1,DATA!$A$3:$F$301,3,FALSE)-VLOOKUP($A69,DATA!$A$3:$F$301,3,FALSE))^2),"")</f>
        <v/>
      </c>
      <c r="BT69" s="14" t="str">
        <f>_xlfn.IFNA(SQRT((VLOOKUP(BT$1,DATA!$A$3:$F$301,2,FALSE)-VLOOKUP($A69,DATA!$A$3:$F$301,2,FALSE))^2+(VLOOKUP(BT$1,DATA!$A$3:$F$301,3,FALSE)-VLOOKUP($A69,DATA!$A$3:$F$301,3,FALSE))^2),"")</f>
        <v/>
      </c>
      <c r="BU69" s="14" t="str">
        <f>_xlfn.IFNA(SQRT((VLOOKUP(BU$1,DATA!$A$3:$F$301,2,FALSE)-VLOOKUP($A69,DATA!$A$3:$F$301,2,FALSE))^2+(VLOOKUP(BU$1,DATA!$A$3:$F$301,3,FALSE)-VLOOKUP($A69,DATA!$A$3:$F$301,3,FALSE))^2),"")</f>
        <v/>
      </c>
      <c r="BV69" s="14" t="str">
        <f>_xlfn.IFNA(SQRT((VLOOKUP(BV$1,DATA!$A$3:$F$301,2,FALSE)-VLOOKUP($A69,DATA!$A$3:$F$301,2,FALSE))^2+(VLOOKUP(BV$1,DATA!$A$3:$F$301,3,FALSE)-VLOOKUP($A69,DATA!$A$3:$F$301,3,FALSE))^2),"")</f>
        <v/>
      </c>
      <c r="BW69" s="14" t="str">
        <f>_xlfn.IFNA(SQRT((VLOOKUP(BW$1,DATA!$A$3:$F$301,2,FALSE)-VLOOKUP($A69,DATA!$A$3:$F$301,2,FALSE))^2+(VLOOKUP(BW$1,DATA!$A$3:$F$301,3,FALSE)-VLOOKUP($A69,DATA!$A$3:$F$301,3,FALSE))^2),"")</f>
        <v/>
      </c>
      <c r="BX69" s="14" t="str">
        <f>_xlfn.IFNA(SQRT((VLOOKUP(BX$1,DATA!$A$3:$F$301,2,FALSE)-VLOOKUP($A69,DATA!$A$3:$F$301,2,FALSE))^2+(VLOOKUP(BX$1,DATA!$A$3:$F$301,3,FALSE)-VLOOKUP($A69,DATA!$A$3:$F$301,3,FALSE))^2),"")</f>
        <v/>
      </c>
      <c r="BY69" s="14" t="str">
        <f>_xlfn.IFNA(SQRT((VLOOKUP(BY$1,DATA!$A$3:$F$301,2,FALSE)-VLOOKUP($A69,DATA!$A$3:$F$301,2,FALSE))^2+(VLOOKUP(BY$1,DATA!$A$3:$F$301,3,FALSE)-VLOOKUP($A69,DATA!$A$3:$F$301,3,FALSE))^2),"")</f>
        <v/>
      </c>
      <c r="BZ69" s="14" t="str">
        <f>_xlfn.IFNA(SQRT((VLOOKUP(BZ$1,DATA!$A$3:$F$301,2,FALSE)-VLOOKUP($A69,DATA!$A$3:$F$301,2,FALSE))^2+(VLOOKUP(BZ$1,DATA!$A$3:$F$301,3,FALSE)-VLOOKUP($A69,DATA!$A$3:$F$301,3,FALSE))^2),"")</f>
        <v/>
      </c>
      <c r="CA69" s="14" t="str">
        <f>_xlfn.IFNA(SQRT((VLOOKUP(CA$1,DATA!$A$3:$F$301,2,FALSE)-VLOOKUP($A69,DATA!$A$3:$F$301,2,FALSE))^2+(VLOOKUP(CA$1,DATA!$A$3:$F$301,3,FALSE)-VLOOKUP($A69,DATA!$A$3:$F$301,3,FALSE))^2),"")</f>
        <v/>
      </c>
      <c r="CB69" s="14" t="str">
        <f>_xlfn.IFNA(SQRT((VLOOKUP(CB$1,DATA!$A$3:$F$301,2,FALSE)-VLOOKUP($A69,DATA!$A$3:$F$301,2,FALSE))^2+(VLOOKUP(CB$1,DATA!$A$3:$F$301,3,FALSE)-VLOOKUP($A69,DATA!$A$3:$F$301,3,FALSE))^2),"")</f>
        <v/>
      </c>
      <c r="CC69" s="14" t="str">
        <f>_xlfn.IFNA(SQRT((VLOOKUP(CC$1,DATA!$A$3:$F$301,2,FALSE)-VLOOKUP($A69,DATA!$A$3:$F$301,2,FALSE))^2+(VLOOKUP(CC$1,DATA!$A$3:$F$301,3,FALSE)-VLOOKUP($A69,DATA!$A$3:$F$301,3,FALSE))^2),"")</f>
        <v/>
      </c>
      <c r="CD69" s="14" t="str">
        <f>_xlfn.IFNA(SQRT((VLOOKUP(CD$1,DATA!$A$3:$F$301,2,FALSE)-VLOOKUP($A69,DATA!$A$3:$F$301,2,FALSE))^2+(VLOOKUP(CD$1,DATA!$A$3:$F$301,3,FALSE)-VLOOKUP($A69,DATA!$A$3:$F$301,3,FALSE))^2),"")</f>
        <v/>
      </c>
      <c r="CE69" s="14" t="str">
        <f>_xlfn.IFNA(SQRT((VLOOKUP(CE$1,DATA!$A$3:$F$301,2,FALSE)-VLOOKUP($A69,DATA!$A$3:$F$301,2,FALSE))^2+(VLOOKUP(CE$1,DATA!$A$3:$F$301,3,FALSE)-VLOOKUP($A69,DATA!$A$3:$F$301,3,FALSE))^2),"")</f>
        <v/>
      </c>
      <c r="CF69" s="14" t="str">
        <f>_xlfn.IFNA(SQRT((VLOOKUP(CF$1,DATA!$A$3:$F$301,2,FALSE)-VLOOKUP($A69,DATA!$A$3:$F$301,2,FALSE))^2+(VLOOKUP(CF$1,DATA!$A$3:$F$301,3,FALSE)-VLOOKUP($A69,DATA!$A$3:$F$301,3,FALSE))^2),"")</f>
        <v/>
      </c>
      <c r="CG69" s="14" t="str">
        <f>_xlfn.IFNA(SQRT((VLOOKUP(CG$1,DATA!$A$3:$F$301,2,FALSE)-VLOOKUP($A69,DATA!$A$3:$F$301,2,FALSE))^2+(VLOOKUP(CG$1,DATA!$A$3:$F$301,3,FALSE)-VLOOKUP($A69,DATA!$A$3:$F$301,3,FALSE))^2),"")</f>
        <v/>
      </c>
      <c r="CH69" s="14" t="str">
        <f>_xlfn.IFNA(SQRT((VLOOKUP(CH$1,DATA!$A$3:$F$301,2,FALSE)-VLOOKUP($A69,DATA!$A$3:$F$301,2,FALSE))^2+(VLOOKUP(CH$1,DATA!$A$3:$F$301,3,FALSE)-VLOOKUP($A69,DATA!$A$3:$F$301,3,FALSE))^2),"")</f>
        <v/>
      </c>
      <c r="CI69" s="14" t="str">
        <f>_xlfn.IFNA(SQRT((VLOOKUP(CI$1,DATA!$A$3:$F$301,2,FALSE)-VLOOKUP($A69,DATA!$A$3:$F$301,2,FALSE))^2+(VLOOKUP(CI$1,DATA!$A$3:$F$301,3,FALSE)-VLOOKUP($A69,DATA!$A$3:$F$301,3,FALSE))^2),"")</f>
        <v/>
      </c>
      <c r="CJ69" s="14" t="str">
        <f>_xlfn.IFNA(SQRT((VLOOKUP(CJ$1,DATA!$A$3:$F$301,2,FALSE)-VLOOKUP($A69,DATA!$A$3:$F$301,2,FALSE))^2+(VLOOKUP(CJ$1,DATA!$A$3:$F$301,3,FALSE)-VLOOKUP($A69,DATA!$A$3:$F$301,3,FALSE))^2),"")</f>
        <v/>
      </c>
      <c r="CK69" s="14" t="str">
        <f>_xlfn.IFNA(SQRT((VLOOKUP(CK$1,DATA!$A$3:$F$301,2,FALSE)-VLOOKUP($A69,DATA!$A$3:$F$301,2,FALSE))^2+(VLOOKUP(CK$1,DATA!$A$3:$F$301,3,FALSE)-VLOOKUP($A69,DATA!$A$3:$F$301,3,FALSE))^2),"")</f>
        <v/>
      </c>
      <c r="CL69" s="14" t="str">
        <f>_xlfn.IFNA(SQRT((VLOOKUP(CL$1,DATA!$A$3:$F$301,2,FALSE)-VLOOKUP($A69,DATA!$A$3:$F$301,2,FALSE))^2+(VLOOKUP(CL$1,DATA!$A$3:$F$301,3,FALSE)-VLOOKUP($A69,DATA!$A$3:$F$301,3,FALSE))^2),"")</f>
        <v/>
      </c>
      <c r="CM69" s="14" t="str">
        <f>_xlfn.IFNA(SQRT((VLOOKUP(CM$1,DATA!$A$3:$F$301,2,FALSE)-VLOOKUP($A69,DATA!$A$3:$F$301,2,FALSE))^2+(VLOOKUP(CM$1,DATA!$A$3:$F$301,3,FALSE)-VLOOKUP($A69,DATA!$A$3:$F$301,3,FALSE))^2),"")</f>
        <v/>
      </c>
      <c r="CN69" s="14" t="str">
        <f>_xlfn.IFNA(SQRT((VLOOKUP(CN$1,DATA!$A$3:$F$301,2,FALSE)-VLOOKUP($A69,DATA!$A$3:$F$301,2,FALSE))^2+(VLOOKUP(CN$1,DATA!$A$3:$F$301,3,FALSE)-VLOOKUP($A69,DATA!$A$3:$F$301,3,FALSE))^2),"")</f>
        <v/>
      </c>
      <c r="CO69" s="14" t="str">
        <f>_xlfn.IFNA(SQRT((VLOOKUP(CO$1,DATA!$A$3:$F$301,2,FALSE)-VLOOKUP($A69,DATA!$A$3:$F$301,2,FALSE))^2+(VLOOKUP(CO$1,DATA!$A$3:$F$301,3,FALSE)-VLOOKUP($A69,DATA!$A$3:$F$301,3,FALSE))^2),"")</f>
        <v/>
      </c>
      <c r="CP69" s="14" t="str">
        <f>_xlfn.IFNA(SQRT((VLOOKUP(CP$1,DATA!$A$3:$F$301,2,FALSE)-VLOOKUP($A69,DATA!$A$3:$F$301,2,FALSE))^2+(VLOOKUP(CP$1,DATA!$A$3:$F$301,3,FALSE)-VLOOKUP($A69,DATA!$A$3:$F$301,3,FALSE))^2),"")</f>
        <v/>
      </c>
      <c r="CQ69" s="14" t="str">
        <f>_xlfn.IFNA(SQRT((VLOOKUP(CQ$1,DATA!$A$3:$F$301,2,FALSE)-VLOOKUP($A69,DATA!$A$3:$F$301,2,FALSE))^2+(VLOOKUP(CQ$1,DATA!$A$3:$F$301,3,FALSE)-VLOOKUP($A69,DATA!$A$3:$F$301,3,FALSE))^2),"")</f>
        <v/>
      </c>
      <c r="CR69" s="14" t="str">
        <f>_xlfn.IFNA(SQRT((VLOOKUP(CR$1,DATA!$A$3:$F$301,2,FALSE)-VLOOKUP($A69,DATA!$A$3:$F$301,2,FALSE))^2+(VLOOKUP(CR$1,DATA!$A$3:$F$301,3,FALSE)-VLOOKUP($A69,DATA!$A$3:$F$301,3,FALSE))^2),"")</f>
        <v/>
      </c>
      <c r="CS69" s="14" t="str">
        <f>_xlfn.IFNA(SQRT((VLOOKUP(CS$1,DATA!$A$3:$F$301,2,FALSE)-VLOOKUP($A69,DATA!$A$3:$F$301,2,FALSE))^2+(VLOOKUP(CS$1,DATA!$A$3:$F$301,3,FALSE)-VLOOKUP($A69,DATA!$A$3:$F$301,3,FALSE))^2),"")</f>
        <v/>
      </c>
      <c r="CT69" s="14" t="str">
        <f>_xlfn.IFNA(SQRT((VLOOKUP(CT$1,DATA!$A$3:$F$301,2,FALSE)-VLOOKUP($A69,DATA!$A$3:$F$301,2,FALSE))^2+(VLOOKUP(CT$1,DATA!$A$3:$F$301,3,FALSE)-VLOOKUP($A69,DATA!$A$3:$F$301,3,FALSE))^2),"")</f>
        <v/>
      </c>
      <c r="CU69" s="14" t="str">
        <f>_xlfn.IFNA(SQRT((VLOOKUP(CU$1,DATA!$A$3:$F$301,2,FALSE)-VLOOKUP($A69,DATA!$A$3:$F$301,2,FALSE))^2+(VLOOKUP(CU$1,DATA!$A$3:$F$301,3,FALSE)-VLOOKUP($A69,DATA!$A$3:$F$301,3,FALSE))^2),"")</f>
        <v/>
      </c>
      <c r="CV69" s="14" t="str">
        <f>_xlfn.IFNA(SQRT((VLOOKUP(CV$1,DATA!$A$3:$F$301,2,FALSE)-VLOOKUP($A69,DATA!$A$3:$F$301,2,FALSE))^2+(VLOOKUP(CV$1,DATA!$A$3:$F$301,3,FALSE)-VLOOKUP($A69,DATA!$A$3:$F$301,3,FALSE))^2),"")</f>
        <v/>
      </c>
      <c r="CW69" s="14" t="str">
        <f>_xlfn.IFNA(SQRT((VLOOKUP(CW$1,DATA!$A$3:$F$301,2,FALSE)-VLOOKUP($A69,DATA!$A$3:$F$301,2,FALSE))^2+(VLOOKUP(CW$1,DATA!$A$3:$F$301,3,FALSE)-VLOOKUP($A69,DATA!$A$3:$F$301,3,FALSE))^2),"")</f>
        <v/>
      </c>
      <c r="CX69" s="14" t="str">
        <f>_xlfn.IFNA(SQRT((VLOOKUP(CX$1,DATA!$A$3:$F$301,2,FALSE)-VLOOKUP($A69,DATA!$A$3:$F$301,2,FALSE))^2+(VLOOKUP(CX$1,DATA!$A$3:$F$301,3,FALSE)-VLOOKUP($A69,DATA!$A$3:$F$301,3,FALSE))^2),"")</f>
        <v/>
      </c>
    </row>
    <row r="70" spans="1:102">
      <c r="A70" s="13">
        <v>69</v>
      </c>
      <c r="B70" s="14" t="str">
        <f>_xlfn.IFNA(SQRT((VLOOKUP(B$1,DATA!$A$3:$F$301,2,FALSE)-VLOOKUP($A70,DATA!$A$3:$F$301,2,FALSE))^2+(VLOOKUP(B$1,DATA!$A$3:$F$301,3,FALSE)-VLOOKUP($A70,DATA!$A$3:$F$301,3,FALSE))^2),"")</f>
        <v/>
      </c>
      <c r="C70" s="14" t="str">
        <f>_xlfn.IFNA(SQRT((VLOOKUP(C$1,DATA!$A$3:$F$301,2,FALSE)-VLOOKUP($A70,DATA!$A$3:$F$301,2,FALSE))^2+(VLOOKUP(C$1,DATA!$A$3:$F$301,3,FALSE)-VLOOKUP($A70,DATA!$A$3:$F$301,3,FALSE))^2),"")</f>
        <v/>
      </c>
      <c r="D70" s="14" t="str">
        <f>_xlfn.IFNA(SQRT((VLOOKUP(D$1,DATA!$A$3:$F$301,2,FALSE)-VLOOKUP($A70,DATA!$A$3:$F$301,2,FALSE))^2+(VLOOKUP(D$1,DATA!$A$3:$F$301,3,FALSE)-VLOOKUP($A70,DATA!$A$3:$F$301,3,FALSE))^2),"")</f>
        <v/>
      </c>
      <c r="E70" s="14" t="str">
        <f>_xlfn.IFNA(SQRT((VLOOKUP(E$1,DATA!$A$3:$F$301,2,FALSE)-VLOOKUP($A70,DATA!$A$3:$F$301,2,FALSE))^2+(VLOOKUP(E$1,DATA!$A$3:$F$301,3,FALSE)-VLOOKUP($A70,DATA!$A$3:$F$301,3,FALSE))^2),"")</f>
        <v/>
      </c>
      <c r="F70" s="14" t="str">
        <f>_xlfn.IFNA(SQRT((VLOOKUP(F$1,DATA!$A$3:$F$301,2,FALSE)-VLOOKUP($A70,DATA!$A$3:$F$301,2,FALSE))^2+(VLOOKUP(F$1,DATA!$A$3:$F$301,3,FALSE)-VLOOKUP($A70,DATA!$A$3:$F$301,3,FALSE))^2),"")</f>
        <v/>
      </c>
      <c r="G70" s="14" t="str">
        <f>_xlfn.IFNA(SQRT((VLOOKUP(G$1,DATA!$A$3:$F$301,2,FALSE)-VLOOKUP($A70,DATA!$A$3:$F$301,2,FALSE))^2+(VLOOKUP(G$1,DATA!$A$3:$F$301,3,FALSE)-VLOOKUP($A70,DATA!$A$3:$F$301,3,FALSE))^2),"")</f>
        <v/>
      </c>
      <c r="H70" s="14" t="str">
        <f>_xlfn.IFNA(SQRT((VLOOKUP(H$1,DATA!$A$3:$F$301,2,FALSE)-VLOOKUP($A70,DATA!$A$3:$F$301,2,FALSE))^2+(VLOOKUP(H$1,DATA!$A$3:$F$301,3,FALSE)-VLOOKUP($A70,DATA!$A$3:$F$301,3,FALSE))^2),"")</f>
        <v/>
      </c>
      <c r="I70" s="14" t="str">
        <f>_xlfn.IFNA(SQRT((VLOOKUP(I$1,DATA!$A$3:$F$301,2,FALSE)-VLOOKUP($A70,DATA!$A$3:$F$301,2,FALSE))^2+(VLOOKUP(I$1,DATA!$A$3:$F$301,3,FALSE)-VLOOKUP($A70,DATA!$A$3:$F$301,3,FALSE))^2),"")</f>
        <v/>
      </c>
      <c r="J70" s="14" t="str">
        <f>_xlfn.IFNA(SQRT((VLOOKUP(J$1,DATA!$A$3:$F$301,2,FALSE)-VLOOKUP($A70,DATA!$A$3:$F$301,2,FALSE))^2+(VLOOKUP(J$1,DATA!$A$3:$F$301,3,FALSE)-VLOOKUP($A70,DATA!$A$3:$F$301,3,FALSE))^2),"")</f>
        <v/>
      </c>
      <c r="K70" s="14" t="str">
        <f>_xlfn.IFNA(SQRT((VLOOKUP(K$1,DATA!$A$3:$F$301,2,FALSE)-VLOOKUP($A70,DATA!$A$3:$F$301,2,FALSE))^2+(VLOOKUP(K$1,DATA!$A$3:$F$301,3,FALSE)-VLOOKUP($A70,DATA!$A$3:$F$301,3,FALSE))^2),"")</f>
        <v/>
      </c>
      <c r="L70" s="14" t="str">
        <f>_xlfn.IFNA(SQRT((VLOOKUP(L$1,DATA!$A$3:$F$301,2,FALSE)-VLOOKUP($A70,DATA!$A$3:$F$301,2,FALSE))^2+(VLOOKUP(L$1,DATA!$A$3:$F$301,3,FALSE)-VLOOKUP($A70,DATA!$A$3:$F$301,3,FALSE))^2),"")</f>
        <v/>
      </c>
      <c r="M70" s="14" t="str">
        <f>_xlfn.IFNA(SQRT((VLOOKUP(M$1,DATA!$A$3:$F$301,2,FALSE)-VLOOKUP($A70,DATA!$A$3:$F$301,2,FALSE))^2+(VLOOKUP(M$1,DATA!$A$3:$F$301,3,FALSE)-VLOOKUP($A70,DATA!$A$3:$F$301,3,FALSE))^2),"")</f>
        <v/>
      </c>
      <c r="N70" s="14" t="str">
        <f>_xlfn.IFNA(SQRT((VLOOKUP(N$1,DATA!$A$3:$F$301,2,FALSE)-VLOOKUP($A70,DATA!$A$3:$F$301,2,FALSE))^2+(VLOOKUP(N$1,DATA!$A$3:$F$301,3,FALSE)-VLOOKUP($A70,DATA!$A$3:$F$301,3,FALSE))^2),"")</f>
        <v/>
      </c>
      <c r="O70" s="14" t="str">
        <f>_xlfn.IFNA(SQRT((VLOOKUP(O$1,DATA!$A$3:$F$301,2,FALSE)-VLOOKUP($A70,DATA!$A$3:$F$301,2,FALSE))^2+(VLOOKUP(O$1,DATA!$A$3:$F$301,3,FALSE)-VLOOKUP($A70,DATA!$A$3:$F$301,3,FALSE))^2),"")</f>
        <v/>
      </c>
      <c r="P70" s="14" t="str">
        <f>_xlfn.IFNA(SQRT((VLOOKUP(P$1,DATA!$A$3:$F$301,2,FALSE)-VLOOKUP($A70,DATA!$A$3:$F$301,2,FALSE))^2+(VLOOKUP(P$1,DATA!$A$3:$F$301,3,FALSE)-VLOOKUP($A70,DATA!$A$3:$F$301,3,FALSE))^2),"")</f>
        <v/>
      </c>
      <c r="Q70" s="14" t="str">
        <f>_xlfn.IFNA(SQRT((VLOOKUP(Q$1,DATA!$A$3:$F$301,2,FALSE)-VLOOKUP($A70,DATA!$A$3:$F$301,2,FALSE))^2+(VLOOKUP(Q$1,DATA!$A$3:$F$301,3,FALSE)-VLOOKUP($A70,DATA!$A$3:$F$301,3,FALSE))^2),"")</f>
        <v/>
      </c>
      <c r="R70" s="14" t="str">
        <f>_xlfn.IFNA(SQRT((VLOOKUP(R$1,DATA!$A$3:$F$301,2,FALSE)-VLOOKUP($A70,DATA!$A$3:$F$301,2,FALSE))^2+(VLOOKUP(R$1,DATA!$A$3:$F$301,3,FALSE)-VLOOKUP($A70,DATA!$A$3:$F$301,3,FALSE))^2),"")</f>
        <v/>
      </c>
      <c r="S70" s="14" t="str">
        <f>_xlfn.IFNA(SQRT((VLOOKUP(S$1,DATA!$A$3:$F$301,2,FALSE)-VLOOKUP($A70,DATA!$A$3:$F$301,2,FALSE))^2+(VLOOKUP(S$1,DATA!$A$3:$F$301,3,FALSE)-VLOOKUP($A70,DATA!$A$3:$F$301,3,FALSE))^2),"")</f>
        <v/>
      </c>
      <c r="T70" s="14" t="str">
        <f>_xlfn.IFNA(SQRT((VLOOKUP(T$1,DATA!$A$3:$F$301,2,FALSE)-VLOOKUP($A70,DATA!$A$3:$F$301,2,FALSE))^2+(VLOOKUP(T$1,DATA!$A$3:$F$301,3,FALSE)-VLOOKUP($A70,DATA!$A$3:$F$301,3,FALSE))^2),"")</f>
        <v/>
      </c>
      <c r="U70" s="14" t="str">
        <f>_xlfn.IFNA(SQRT((VLOOKUP(U$1,DATA!$A$3:$F$301,2,FALSE)-VLOOKUP($A70,DATA!$A$3:$F$301,2,FALSE))^2+(VLOOKUP(U$1,DATA!$A$3:$F$301,3,FALSE)-VLOOKUP($A70,DATA!$A$3:$F$301,3,FALSE))^2),"")</f>
        <v/>
      </c>
      <c r="V70" s="14" t="str">
        <f>_xlfn.IFNA(SQRT((VLOOKUP(V$1,DATA!$A$3:$F$301,2,FALSE)-VLOOKUP($A70,DATA!$A$3:$F$301,2,FALSE))^2+(VLOOKUP(V$1,DATA!$A$3:$F$301,3,FALSE)-VLOOKUP($A70,DATA!$A$3:$F$301,3,FALSE))^2),"")</f>
        <v/>
      </c>
      <c r="W70" s="14" t="str">
        <f>_xlfn.IFNA(SQRT((VLOOKUP(W$1,DATA!$A$3:$F$301,2,FALSE)-VLOOKUP($A70,DATA!$A$3:$F$301,2,FALSE))^2+(VLOOKUP(W$1,DATA!$A$3:$F$301,3,FALSE)-VLOOKUP($A70,DATA!$A$3:$F$301,3,FALSE))^2),"")</f>
        <v/>
      </c>
      <c r="X70" s="14" t="str">
        <f>_xlfn.IFNA(SQRT((VLOOKUP(X$1,DATA!$A$3:$F$301,2,FALSE)-VLOOKUP($A70,DATA!$A$3:$F$301,2,FALSE))^2+(VLOOKUP(X$1,DATA!$A$3:$F$301,3,FALSE)-VLOOKUP($A70,DATA!$A$3:$F$301,3,FALSE))^2),"")</f>
        <v/>
      </c>
      <c r="Y70" s="14" t="str">
        <f>_xlfn.IFNA(SQRT((VLOOKUP(Y$1,DATA!$A$3:$F$301,2,FALSE)-VLOOKUP($A70,DATA!$A$3:$F$301,2,FALSE))^2+(VLOOKUP(Y$1,DATA!$A$3:$F$301,3,FALSE)-VLOOKUP($A70,DATA!$A$3:$F$301,3,FALSE))^2),"")</f>
        <v/>
      </c>
      <c r="Z70" s="14" t="str">
        <f>_xlfn.IFNA(SQRT((VLOOKUP(Z$1,DATA!$A$3:$F$301,2,FALSE)-VLOOKUP($A70,DATA!$A$3:$F$301,2,FALSE))^2+(VLOOKUP(Z$1,DATA!$A$3:$F$301,3,FALSE)-VLOOKUP($A70,DATA!$A$3:$F$301,3,FALSE))^2),"")</f>
        <v/>
      </c>
      <c r="AA70" s="14" t="str">
        <f>_xlfn.IFNA(SQRT((VLOOKUP(AA$1,DATA!$A$3:$F$301,2,FALSE)-VLOOKUP($A70,DATA!$A$3:$F$301,2,FALSE))^2+(VLOOKUP(AA$1,DATA!$A$3:$F$301,3,FALSE)-VLOOKUP($A70,DATA!$A$3:$F$301,3,FALSE))^2),"")</f>
        <v/>
      </c>
      <c r="AB70" s="14" t="str">
        <f>_xlfn.IFNA(SQRT((VLOOKUP(AB$1,DATA!$A$3:$F$301,2,FALSE)-VLOOKUP($A70,DATA!$A$3:$F$301,2,FALSE))^2+(VLOOKUP(AB$1,DATA!$A$3:$F$301,3,FALSE)-VLOOKUP($A70,DATA!$A$3:$F$301,3,FALSE))^2),"")</f>
        <v/>
      </c>
      <c r="AC70" s="14" t="str">
        <f>_xlfn.IFNA(SQRT((VLOOKUP(AC$1,DATA!$A$3:$F$301,2,FALSE)-VLOOKUP($A70,DATA!$A$3:$F$301,2,FALSE))^2+(VLOOKUP(AC$1,DATA!$A$3:$F$301,3,FALSE)-VLOOKUP($A70,DATA!$A$3:$F$301,3,FALSE))^2),"")</f>
        <v/>
      </c>
      <c r="AD70" s="14" t="str">
        <f>_xlfn.IFNA(SQRT((VLOOKUP(AD$1,DATA!$A$3:$F$301,2,FALSE)-VLOOKUP($A70,DATA!$A$3:$F$301,2,FALSE))^2+(VLOOKUP(AD$1,DATA!$A$3:$F$301,3,FALSE)-VLOOKUP($A70,DATA!$A$3:$F$301,3,FALSE))^2),"")</f>
        <v/>
      </c>
      <c r="AE70" s="14" t="str">
        <f>_xlfn.IFNA(SQRT((VLOOKUP(AE$1,DATA!$A$3:$F$301,2,FALSE)-VLOOKUP($A70,DATA!$A$3:$F$301,2,FALSE))^2+(VLOOKUP(AE$1,DATA!$A$3:$F$301,3,FALSE)-VLOOKUP($A70,DATA!$A$3:$F$301,3,FALSE))^2),"")</f>
        <v/>
      </c>
      <c r="AF70" s="14" t="str">
        <f>_xlfn.IFNA(SQRT((VLOOKUP(AF$1,DATA!$A$3:$F$301,2,FALSE)-VLOOKUP($A70,DATA!$A$3:$F$301,2,FALSE))^2+(VLOOKUP(AF$1,DATA!$A$3:$F$301,3,FALSE)-VLOOKUP($A70,DATA!$A$3:$F$301,3,FALSE))^2),"")</f>
        <v/>
      </c>
      <c r="AG70" s="14" t="str">
        <f>_xlfn.IFNA(SQRT((VLOOKUP(AG$1,DATA!$A$3:$F$301,2,FALSE)-VLOOKUP($A70,DATA!$A$3:$F$301,2,FALSE))^2+(VLOOKUP(AG$1,DATA!$A$3:$F$301,3,FALSE)-VLOOKUP($A70,DATA!$A$3:$F$301,3,FALSE))^2),"")</f>
        <v/>
      </c>
      <c r="AH70" s="14" t="str">
        <f>_xlfn.IFNA(SQRT((VLOOKUP(AH$1,DATA!$A$3:$F$301,2,FALSE)-VLOOKUP($A70,DATA!$A$3:$F$301,2,FALSE))^2+(VLOOKUP(AH$1,DATA!$A$3:$F$301,3,FALSE)-VLOOKUP($A70,DATA!$A$3:$F$301,3,FALSE))^2),"")</f>
        <v/>
      </c>
      <c r="AI70" s="14" t="str">
        <f>_xlfn.IFNA(SQRT((VLOOKUP(AI$1,DATA!$A$3:$F$301,2,FALSE)-VLOOKUP($A70,DATA!$A$3:$F$301,2,FALSE))^2+(VLOOKUP(AI$1,DATA!$A$3:$F$301,3,FALSE)-VLOOKUP($A70,DATA!$A$3:$F$301,3,FALSE))^2),"")</f>
        <v/>
      </c>
      <c r="AJ70" s="14" t="str">
        <f>_xlfn.IFNA(SQRT((VLOOKUP(AJ$1,DATA!$A$3:$F$301,2,FALSE)-VLOOKUP($A70,DATA!$A$3:$F$301,2,FALSE))^2+(VLOOKUP(AJ$1,DATA!$A$3:$F$301,3,FALSE)-VLOOKUP($A70,DATA!$A$3:$F$301,3,FALSE))^2),"")</f>
        <v/>
      </c>
      <c r="AK70" s="14" t="str">
        <f>_xlfn.IFNA(SQRT((VLOOKUP(AK$1,DATA!$A$3:$F$301,2,FALSE)-VLOOKUP($A70,DATA!$A$3:$F$301,2,FALSE))^2+(VLOOKUP(AK$1,DATA!$A$3:$F$301,3,FALSE)-VLOOKUP($A70,DATA!$A$3:$F$301,3,FALSE))^2),"")</f>
        <v/>
      </c>
      <c r="AL70" s="14" t="str">
        <f>_xlfn.IFNA(SQRT((VLOOKUP(AL$1,DATA!$A$3:$F$301,2,FALSE)-VLOOKUP($A70,DATA!$A$3:$F$301,2,FALSE))^2+(VLOOKUP(AL$1,DATA!$A$3:$F$301,3,FALSE)-VLOOKUP($A70,DATA!$A$3:$F$301,3,FALSE))^2),"")</f>
        <v/>
      </c>
      <c r="AM70" s="14" t="str">
        <f>_xlfn.IFNA(SQRT((VLOOKUP(AM$1,DATA!$A$3:$F$301,2,FALSE)-VLOOKUP($A70,DATA!$A$3:$F$301,2,FALSE))^2+(VLOOKUP(AM$1,DATA!$A$3:$F$301,3,FALSE)-VLOOKUP($A70,DATA!$A$3:$F$301,3,FALSE))^2),"")</f>
        <v/>
      </c>
      <c r="AN70" s="14" t="str">
        <f>_xlfn.IFNA(SQRT((VLOOKUP(AN$1,DATA!$A$3:$F$301,2,FALSE)-VLOOKUP($A70,DATA!$A$3:$F$301,2,FALSE))^2+(VLOOKUP(AN$1,DATA!$A$3:$F$301,3,FALSE)-VLOOKUP($A70,DATA!$A$3:$F$301,3,FALSE))^2),"")</f>
        <v/>
      </c>
      <c r="AO70" s="14" t="str">
        <f>_xlfn.IFNA(SQRT((VLOOKUP(AO$1,DATA!$A$3:$F$301,2,FALSE)-VLOOKUP($A70,DATA!$A$3:$F$301,2,FALSE))^2+(VLOOKUP(AO$1,DATA!$A$3:$F$301,3,FALSE)-VLOOKUP($A70,DATA!$A$3:$F$301,3,FALSE))^2),"")</f>
        <v/>
      </c>
      <c r="AP70" s="14" t="str">
        <f>_xlfn.IFNA(SQRT((VLOOKUP(AP$1,DATA!$A$3:$F$301,2,FALSE)-VLOOKUP($A70,DATA!$A$3:$F$301,2,FALSE))^2+(VLOOKUP(AP$1,DATA!$A$3:$F$301,3,FALSE)-VLOOKUP($A70,DATA!$A$3:$F$301,3,FALSE))^2),"")</f>
        <v/>
      </c>
      <c r="AQ70" s="14" t="str">
        <f>_xlfn.IFNA(SQRT((VLOOKUP(AQ$1,DATA!$A$3:$F$301,2,FALSE)-VLOOKUP($A70,DATA!$A$3:$F$301,2,FALSE))^2+(VLOOKUP(AQ$1,DATA!$A$3:$F$301,3,FALSE)-VLOOKUP($A70,DATA!$A$3:$F$301,3,FALSE))^2),"")</f>
        <v/>
      </c>
      <c r="AR70" s="14" t="str">
        <f>_xlfn.IFNA(SQRT((VLOOKUP(AR$1,DATA!$A$3:$F$301,2,FALSE)-VLOOKUP($A70,DATA!$A$3:$F$301,2,FALSE))^2+(VLOOKUP(AR$1,DATA!$A$3:$F$301,3,FALSE)-VLOOKUP($A70,DATA!$A$3:$F$301,3,FALSE))^2),"")</f>
        <v/>
      </c>
      <c r="AS70" s="14" t="str">
        <f>_xlfn.IFNA(SQRT((VLOOKUP(AS$1,DATA!$A$3:$F$301,2,FALSE)-VLOOKUP($A70,DATA!$A$3:$F$301,2,FALSE))^2+(VLOOKUP(AS$1,DATA!$A$3:$F$301,3,FALSE)-VLOOKUP($A70,DATA!$A$3:$F$301,3,FALSE))^2),"")</f>
        <v/>
      </c>
      <c r="AT70" s="14" t="str">
        <f>_xlfn.IFNA(SQRT((VLOOKUP(AT$1,DATA!$A$3:$F$301,2,FALSE)-VLOOKUP($A70,DATA!$A$3:$F$301,2,FALSE))^2+(VLOOKUP(AT$1,DATA!$A$3:$F$301,3,FALSE)-VLOOKUP($A70,DATA!$A$3:$F$301,3,FALSE))^2),"")</f>
        <v/>
      </c>
      <c r="AU70" s="14" t="str">
        <f>_xlfn.IFNA(SQRT((VLOOKUP(AU$1,DATA!$A$3:$F$301,2,FALSE)-VLOOKUP($A70,DATA!$A$3:$F$301,2,FALSE))^2+(VLOOKUP(AU$1,DATA!$A$3:$F$301,3,FALSE)-VLOOKUP($A70,DATA!$A$3:$F$301,3,FALSE))^2),"")</f>
        <v/>
      </c>
      <c r="AV70" s="14" t="str">
        <f>_xlfn.IFNA(SQRT((VLOOKUP(AV$1,DATA!$A$3:$F$301,2,FALSE)-VLOOKUP($A70,DATA!$A$3:$F$301,2,FALSE))^2+(VLOOKUP(AV$1,DATA!$A$3:$F$301,3,FALSE)-VLOOKUP($A70,DATA!$A$3:$F$301,3,FALSE))^2),"")</f>
        <v/>
      </c>
      <c r="AW70" s="14" t="str">
        <f>_xlfn.IFNA(SQRT((VLOOKUP(AW$1,DATA!$A$3:$F$301,2,FALSE)-VLOOKUP($A70,DATA!$A$3:$F$301,2,FALSE))^2+(VLOOKUP(AW$1,DATA!$A$3:$F$301,3,FALSE)-VLOOKUP($A70,DATA!$A$3:$F$301,3,FALSE))^2),"")</f>
        <v/>
      </c>
      <c r="AX70" s="14" t="str">
        <f>_xlfn.IFNA(SQRT((VLOOKUP(AX$1,DATA!$A$3:$F$301,2,FALSE)-VLOOKUP($A70,DATA!$A$3:$F$301,2,FALSE))^2+(VLOOKUP(AX$1,DATA!$A$3:$F$301,3,FALSE)-VLOOKUP($A70,DATA!$A$3:$F$301,3,FALSE))^2),"")</f>
        <v/>
      </c>
      <c r="AY70" s="14" t="str">
        <f>_xlfn.IFNA(SQRT((VLOOKUP(AY$1,DATA!$A$3:$F$301,2,FALSE)-VLOOKUP($A70,DATA!$A$3:$F$301,2,FALSE))^2+(VLOOKUP(AY$1,DATA!$A$3:$F$301,3,FALSE)-VLOOKUP($A70,DATA!$A$3:$F$301,3,FALSE))^2),"")</f>
        <v/>
      </c>
      <c r="AZ70" s="14" t="str">
        <f>_xlfn.IFNA(SQRT((VLOOKUP(AZ$1,DATA!$A$3:$F$301,2,FALSE)-VLOOKUP($A70,DATA!$A$3:$F$301,2,FALSE))^2+(VLOOKUP(AZ$1,DATA!$A$3:$F$301,3,FALSE)-VLOOKUP($A70,DATA!$A$3:$F$301,3,FALSE))^2),"")</f>
        <v/>
      </c>
      <c r="BA70" s="14" t="str">
        <f>_xlfn.IFNA(SQRT((VLOOKUP(BA$1,DATA!$A$3:$F$301,2,FALSE)-VLOOKUP($A70,DATA!$A$3:$F$301,2,FALSE))^2+(VLOOKUP(BA$1,DATA!$A$3:$F$301,3,FALSE)-VLOOKUP($A70,DATA!$A$3:$F$301,3,FALSE))^2),"")</f>
        <v/>
      </c>
      <c r="BB70" s="14" t="str">
        <f>_xlfn.IFNA(SQRT((VLOOKUP(BB$1,DATA!$A$3:$F$301,2,FALSE)-VLOOKUP($A70,DATA!$A$3:$F$301,2,FALSE))^2+(VLOOKUP(BB$1,DATA!$A$3:$F$301,3,FALSE)-VLOOKUP($A70,DATA!$A$3:$F$301,3,FALSE))^2),"")</f>
        <v/>
      </c>
      <c r="BC70" s="14" t="str">
        <f>_xlfn.IFNA(SQRT((VLOOKUP(BC$1,DATA!$A$3:$F$301,2,FALSE)-VLOOKUP($A70,DATA!$A$3:$F$301,2,FALSE))^2+(VLOOKUP(BC$1,DATA!$A$3:$F$301,3,FALSE)-VLOOKUP($A70,DATA!$A$3:$F$301,3,FALSE))^2),"")</f>
        <v/>
      </c>
      <c r="BD70" s="14" t="str">
        <f>_xlfn.IFNA(SQRT((VLOOKUP(BD$1,DATA!$A$3:$F$301,2,FALSE)-VLOOKUP($A70,DATA!$A$3:$F$301,2,FALSE))^2+(VLOOKUP(BD$1,DATA!$A$3:$F$301,3,FALSE)-VLOOKUP($A70,DATA!$A$3:$F$301,3,FALSE))^2),"")</f>
        <v/>
      </c>
      <c r="BE70" s="14" t="str">
        <f>_xlfn.IFNA(SQRT((VLOOKUP(BE$1,DATA!$A$3:$F$301,2,FALSE)-VLOOKUP($A70,DATA!$A$3:$F$301,2,FALSE))^2+(VLOOKUP(BE$1,DATA!$A$3:$F$301,3,FALSE)-VLOOKUP($A70,DATA!$A$3:$F$301,3,FALSE))^2),"")</f>
        <v/>
      </c>
      <c r="BF70" s="14" t="str">
        <f>_xlfn.IFNA(SQRT((VLOOKUP(BF$1,DATA!$A$3:$F$301,2,FALSE)-VLOOKUP($A70,DATA!$A$3:$F$301,2,FALSE))^2+(VLOOKUP(BF$1,DATA!$A$3:$F$301,3,FALSE)-VLOOKUP($A70,DATA!$A$3:$F$301,3,FALSE))^2),"")</f>
        <v/>
      </c>
      <c r="BG70" s="14" t="str">
        <f>_xlfn.IFNA(SQRT((VLOOKUP(BG$1,DATA!$A$3:$F$301,2,FALSE)-VLOOKUP($A70,DATA!$A$3:$F$301,2,FALSE))^2+(VLOOKUP(BG$1,DATA!$A$3:$F$301,3,FALSE)-VLOOKUP($A70,DATA!$A$3:$F$301,3,FALSE))^2),"")</f>
        <v/>
      </c>
      <c r="BH70" s="14" t="str">
        <f>_xlfn.IFNA(SQRT((VLOOKUP(BH$1,DATA!$A$3:$F$301,2,FALSE)-VLOOKUP($A70,DATA!$A$3:$F$301,2,FALSE))^2+(VLOOKUP(BH$1,DATA!$A$3:$F$301,3,FALSE)-VLOOKUP($A70,DATA!$A$3:$F$301,3,FALSE))^2),"")</f>
        <v/>
      </c>
      <c r="BI70" s="14" t="str">
        <f>_xlfn.IFNA(SQRT((VLOOKUP(BI$1,DATA!$A$3:$F$301,2,FALSE)-VLOOKUP($A70,DATA!$A$3:$F$301,2,FALSE))^2+(VLOOKUP(BI$1,DATA!$A$3:$F$301,3,FALSE)-VLOOKUP($A70,DATA!$A$3:$F$301,3,FALSE))^2),"")</f>
        <v/>
      </c>
      <c r="BJ70" s="14" t="str">
        <f>_xlfn.IFNA(SQRT((VLOOKUP(BJ$1,DATA!$A$3:$F$301,2,FALSE)-VLOOKUP($A70,DATA!$A$3:$F$301,2,FALSE))^2+(VLOOKUP(BJ$1,DATA!$A$3:$F$301,3,FALSE)-VLOOKUP($A70,DATA!$A$3:$F$301,3,FALSE))^2),"")</f>
        <v/>
      </c>
      <c r="BK70" s="14" t="str">
        <f>_xlfn.IFNA(SQRT((VLOOKUP(BK$1,DATA!$A$3:$F$301,2,FALSE)-VLOOKUP($A70,DATA!$A$3:$F$301,2,FALSE))^2+(VLOOKUP(BK$1,DATA!$A$3:$F$301,3,FALSE)-VLOOKUP($A70,DATA!$A$3:$F$301,3,FALSE))^2),"")</f>
        <v/>
      </c>
      <c r="BL70" s="14" t="str">
        <f>_xlfn.IFNA(SQRT((VLOOKUP(BL$1,DATA!$A$3:$F$301,2,FALSE)-VLOOKUP($A70,DATA!$A$3:$F$301,2,FALSE))^2+(VLOOKUP(BL$1,DATA!$A$3:$F$301,3,FALSE)-VLOOKUP($A70,DATA!$A$3:$F$301,3,FALSE))^2),"")</f>
        <v/>
      </c>
      <c r="BM70" s="14" t="str">
        <f>_xlfn.IFNA(SQRT((VLOOKUP(BM$1,DATA!$A$3:$F$301,2,FALSE)-VLOOKUP($A70,DATA!$A$3:$F$301,2,FALSE))^2+(VLOOKUP(BM$1,DATA!$A$3:$F$301,3,FALSE)-VLOOKUP($A70,DATA!$A$3:$F$301,3,FALSE))^2),"")</f>
        <v/>
      </c>
      <c r="BN70" s="14" t="str">
        <f>_xlfn.IFNA(SQRT((VLOOKUP(BN$1,DATA!$A$3:$F$301,2,FALSE)-VLOOKUP($A70,DATA!$A$3:$F$301,2,FALSE))^2+(VLOOKUP(BN$1,DATA!$A$3:$F$301,3,FALSE)-VLOOKUP($A70,DATA!$A$3:$F$301,3,FALSE))^2),"")</f>
        <v/>
      </c>
      <c r="BO70" s="14" t="str">
        <f>_xlfn.IFNA(SQRT((VLOOKUP(BO$1,DATA!$A$3:$F$301,2,FALSE)-VLOOKUP($A70,DATA!$A$3:$F$301,2,FALSE))^2+(VLOOKUP(BO$1,DATA!$A$3:$F$301,3,FALSE)-VLOOKUP($A70,DATA!$A$3:$F$301,3,FALSE))^2),"")</f>
        <v/>
      </c>
      <c r="BP70" s="14" t="str">
        <f>_xlfn.IFNA(SQRT((VLOOKUP(BP$1,DATA!$A$3:$F$301,2,FALSE)-VLOOKUP($A70,DATA!$A$3:$F$301,2,FALSE))^2+(VLOOKUP(BP$1,DATA!$A$3:$F$301,3,FALSE)-VLOOKUP($A70,DATA!$A$3:$F$301,3,FALSE))^2),"")</f>
        <v/>
      </c>
      <c r="BQ70" s="14" t="str">
        <f>_xlfn.IFNA(SQRT((VLOOKUP(BQ$1,DATA!$A$3:$F$301,2,FALSE)-VLOOKUP($A70,DATA!$A$3:$F$301,2,FALSE))^2+(VLOOKUP(BQ$1,DATA!$A$3:$F$301,3,FALSE)-VLOOKUP($A70,DATA!$A$3:$F$301,3,FALSE))^2),"")</f>
        <v/>
      </c>
      <c r="BR70" s="14" t="str">
        <f>_xlfn.IFNA(SQRT((VLOOKUP(BR$1,DATA!$A$3:$F$301,2,FALSE)-VLOOKUP($A70,DATA!$A$3:$F$301,2,FALSE))^2+(VLOOKUP(BR$1,DATA!$A$3:$F$301,3,FALSE)-VLOOKUP($A70,DATA!$A$3:$F$301,3,FALSE))^2),"")</f>
        <v/>
      </c>
      <c r="BS70" s="14" t="str">
        <f>_xlfn.IFNA(SQRT((VLOOKUP(BS$1,DATA!$A$3:$F$301,2,FALSE)-VLOOKUP($A70,DATA!$A$3:$F$301,2,FALSE))^2+(VLOOKUP(BS$1,DATA!$A$3:$F$301,3,FALSE)-VLOOKUP($A70,DATA!$A$3:$F$301,3,FALSE))^2),"")</f>
        <v/>
      </c>
      <c r="BT70" s="14" t="str">
        <f>_xlfn.IFNA(SQRT((VLOOKUP(BT$1,DATA!$A$3:$F$301,2,FALSE)-VLOOKUP($A70,DATA!$A$3:$F$301,2,FALSE))^2+(VLOOKUP(BT$1,DATA!$A$3:$F$301,3,FALSE)-VLOOKUP($A70,DATA!$A$3:$F$301,3,FALSE))^2),"")</f>
        <v/>
      </c>
      <c r="BU70" s="14" t="str">
        <f>_xlfn.IFNA(SQRT((VLOOKUP(BU$1,DATA!$A$3:$F$301,2,FALSE)-VLOOKUP($A70,DATA!$A$3:$F$301,2,FALSE))^2+(VLOOKUP(BU$1,DATA!$A$3:$F$301,3,FALSE)-VLOOKUP($A70,DATA!$A$3:$F$301,3,FALSE))^2),"")</f>
        <v/>
      </c>
      <c r="BV70" s="14" t="str">
        <f>_xlfn.IFNA(SQRT((VLOOKUP(BV$1,DATA!$A$3:$F$301,2,FALSE)-VLOOKUP($A70,DATA!$A$3:$F$301,2,FALSE))^2+(VLOOKUP(BV$1,DATA!$A$3:$F$301,3,FALSE)-VLOOKUP($A70,DATA!$A$3:$F$301,3,FALSE))^2),"")</f>
        <v/>
      </c>
      <c r="BW70" s="14" t="str">
        <f>_xlfn.IFNA(SQRT((VLOOKUP(BW$1,DATA!$A$3:$F$301,2,FALSE)-VLOOKUP($A70,DATA!$A$3:$F$301,2,FALSE))^2+(VLOOKUP(BW$1,DATA!$A$3:$F$301,3,FALSE)-VLOOKUP($A70,DATA!$A$3:$F$301,3,FALSE))^2),"")</f>
        <v/>
      </c>
      <c r="BX70" s="14" t="str">
        <f>_xlfn.IFNA(SQRT((VLOOKUP(BX$1,DATA!$A$3:$F$301,2,FALSE)-VLOOKUP($A70,DATA!$A$3:$F$301,2,FALSE))^2+(VLOOKUP(BX$1,DATA!$A$3:$F$301,3,FALSE)-VLOOKUP($A70,DATA!$A$3:$F$301,3,FALSE))^2),"")</f>
        <v/>
      </c>
      <c r="BY70" s="14" t="str">
        <f>_xlfn.IFNA(SQRT((VLOOKUP(BY$1,DATA!$A$3:$F$301,2,FALSE)-VLOOKUP($A70,DATA!$A$3:$F$301,2,FALSE))^2+(VLOOKUP(BY$1,DATA!$A$3:$F$301,3,FALSE)-VLOOKUP($A70,DATA!$A$3:$F$301,3,FALSE))^2),"")</f>
        <v/>
      </c>
      <c r="BZ70" s="14" t="str">
        <f>_xlfn.IFNA(SQRT((VLOOKUP(BZ$1,DATA!$A$3:$F$301,2,FALSE)-VLOOKUP($A70,DATA!$A$3:$F$301,2,FALSE))^2+(VLOOKUP(BZ$1,DATA!$A$3:$F$301,3,FALSE)-VLOOKUP($A70,DATA!$A$3:$F$301,3,FALSE))^2),"")</f>
        <v/>
      </c>
      <c r="CA70" s="14" t="str">
        <f>_xlfn.IFNA(SQRT((VLOOKUP(CA$1,DATA!$A$3:$F$301,2,FALSE)-VLOOKUP($A70,DATA!$A$3:$F$301,2,FALSE))^2+(VLOOKUP(CA$1,DATA!$A$3:$F$301,3,FALSE)-VLOOKUP($A70,DATA!$A$3:$F$301,3,FALSE))^2),"")</f>
        <v/>
      </c>
      <c r="CB70" s="14" t="str">
        <f>_xlfn.IFNA(SQRT((VLOOKUP(CB$1,DATA!$A$3:$F$301,2,FALSE)-VLOOKUP($A70,DATA!$A$3:$F$301,2,FALSE))^2+(VLOOKUP(CB$1,DATA!$A$3:$F$301,3,FALSE)-VLOOKUP($A70,DATA!$A$3:$F$301,3,FALSE))^2),"")</f>
        <v/>
      </c>
      <c r="CC70" s="14" t="str">
        <f>_xlfn.IFNA(SQRT((VLOOKUP(CC$1,DATA!$A$3:$F$301,2,FALSE)-VLOOKUP($A70,DATA!$A$3:$F$301,2,FALSE))^2+(VLOOKUP(CC$1,DATA!$A$3:$F$301,3,FALSE)-VLOOKUP($A70,DATA!$A$3:$F$301,3,FALSE))^2),"")</f>
        <v/>
      </c>
      <c r="CD70" s="14" t="str">
        <f>_xlfn.IFNA(SQRT((VLOOKUP(CD$1,DATA!$A$3:$F$301,2,FALSE)-VLOOKUP($A70,DATA!$A$3:$F$301,2,FALSE))^2+(VLOOKUP(CD$1,DATA!$A$3:$F$301,3,FALSE)-VLOOKUP($A70,DATA!$A$3:$F$301,3,FALSE))^2),"")</f>
        <v/>
      </c>
      <c r="CE70" s="14" t="str">
        <f>_xlfn.IFNA(SQRT((VLOOKUP(CE$1,DATA!$A$3:$F$301,2,FALSE)-VLOOKUP($A70,DATA!$A$3:$F$301,2,FALSE))^2+(VLOOKUP(CE$1,DATA!$A$3:$F$301,3,FALSE)-VLOOKUP($A70,DATA!$A$3:$F$301,3,FALSE))^2),"")</f>
        <v/>
      </c>
      <c r="CF70" s="14" t="str">
        <f>_xlfn.IFNA(SQRT((VLOOKUP(CF$1,DATA!$A$3:$F$301,2,FALSE)-VLOOKUP($A70,DATA!$A$3:$F$301,2,FALSE))^2+(VLOOKUP(CF$1,DATA!$A$3:$F$301,3,FALSE)-VLOOKUP($A70,DATA!$A$3:$F$301,3,FALSE))^2),"")</f>
        <v/>
      </c>
      <c r="CG70" s="14" t="str">
        <f>_xlfn.IFNA(SQRT((VLOOKUP(CG$1,DATA!$A$3:$F$301,2,FALSE)-VLOOKUP($A70,DATA!$A$3:$F$301,2,FALSE))^2+(VLOOKUP(CG$1,DATA!$A$3:$F$301,3,FALSE)-VLOOKUP($A70,DATA!$A$3:$F$301,3,FALSE))^2),"")</f>
        <v/>
      </c>
      <c r="CH70" s="14" t="str">
        <f>_xlfn.IFNA(SQRT((VLOOKUP(CH$1,DATA!$A$3:$F$301,2,FALSE)-VLOOKUP($A70,DATA!$A$3:$F$301,2,FALSE))^2+(VLOOKUP(CH$1,DATA!$A$3:$F$301,3,FALSE)-VLOOKUP($A70,DATA!$A$3:$F$301,3,FALSE))^2),"")</f>
        <v/>
      </c>
      <c r="CI70" s="14" t="str">
        <f>_xlfn.IFNA(SQRT((VLOOKUP(CI$1,DATA!$A$3:$F$301,2,FALSE)-VLOOKUP($A70,DATA!$A$3:$F$301,2,FALSE))^2+(VLOOKUP(CI$1,DATA!$A$3:$F$301,3,FALSE)-VLOOKUP($A70,DATA!$A$3:$F$301,3,FALSE))^2),"")</f>
        <v/>
      </c>
      <c r="CJ70" s="14" t="str">
        <f>_xlfn.IFNA(SQRT((VLOOKUP(CJ$1,DATA!$A$3:$F$301,2,FALSE)-VLOOKUP($A70,DATA!$A$3:$F$301,2,FALSE))^2+(VLOOKUP(CJ$1,DATA!$A$3:$F$301,3,FALSE)-VLOOKUP($A70,DATA!$A$3:$F$301,3,FALSE))^2),"")</f>
        <v/>
      </c>
      <c r="CK70" s="14" t="str">
        <f>_xlfn.IFNA(SQRT((VLOOKUP(CK$1,DATA!$A$3:$F$301,2,FALSE)-VLOOKUP($A70,DATA!$A$3:$F$301,2,FALSE))^2+(VLOOKUP(CK$1,DATA!$A$3:$F$301,3,FALSE)-VLOOKUP($A70,DATA!$A$3:$F$301,3,FALSE))^2),"")</f>
        <v/>
      </c>
      <c r="CL70" s="14" t="str">
        <f>_xlfn.IFNA(SQRT((VLOOKUP(CL$1,DATA!$A$3:$F$301,2,FALSE)-VLOOKUP($A70,DATA!$A$3:$F$301,2,FALSE))^2+(VLOOKUP(CL$1,DATA!$A$3:$F$301,3,FALSE)-VLOOKUP($A70,DATA!$A$3:$F$301,3,FALSE))^2),"")</f>
        <v/>
      </c>
      <c r="CM70" s="14" t="str">
        <f>_xlfn.IFNA(SQRT((VLOOKUP(CM$1,DATA!$A$3:$F$301,2,FALSE)-VLOOKUP($A70,DATA!$A$3:$F$301,2,FALSE))^2+(VLOOKUP(CM$1,DATA!$A$3:$F$301,3,FALSE)-VLOOKUP($A70,DATA!$A$3:$F$301,3,FALSE))^2),"")</f>
        <v/>
      </c>
      <c r="CN70" s="14" t="str">
        <f>_xlfn.IFNA(SQRT((VLOOKUP(CN$1,DATA!$A$3:$F$301,2,FALSE)-VLOOKUP($A70,DATA!$A$3:$F$301,2,FALSE))^2+(VLOOKUP(CN$1,DATA!$A$3:$F$301,3,FALSE)-VLOOKUP($A70,DATA!$A$3:$F$301,3,FALSE))^2),"")</f>
        <v/>
      </c>
      <c r="CO70" s="14" t="str">
        <f>_xlfn.IFNA(SQRT((VLOOKUP(CO$1,DATA!$A$3:$F$301,2,FALSE)-VLOOKUP($A70,DATA!$A$3:$F$301,2,FALSE))^2+(VLOOKUP(CO$1,DATA!$A$3:$F$301,3,FALSE)-VLOOKUP($A70,DATA!$A$3:$F$301,3,FALSE))^2),"")</f>
        <v/>
      </c>
      <c r="CP70" s="14" t="str">
        <f>_xlfn.IFNA(SQRT((VLOOKUP(CP$1,DATA!$A$3:$F$301,2,FALSE)-VLOOKUP($A70,DATA!$A$3:$F$301,2,FALSE))^2+(VLOOKUP(CP$1,DATA!$A$3:$F$301,3,FALSE)-VLOOKUP($A70,DATA!$A$3:$F$301,3,FALSE))^2),"")</f>
        <v/>
      </c>
      <c r="CQ70" s="14" t="str">
        <f>_xlfn.IFNA(SQRT((VLOOKUP(CQ$1,DATA!$A$3:$F$301,2,FALSE)-VLOOKUP($A70,DATA!$A$3:$F$301,2,FALSE))^2+(VLOOKUP(CQ$1,DATA!$A$3:$F$301,3,FALSE)-VLOOKUP($A70,DATA!$A$3:$F$301,3,FALSE))^2),"")</f>
        <v/>
      </c>
      <c r="CR70" s="14" t="str">
        <f>_xlfn.IFNA(SQRT((VLOOKUP(CR$1,DATA!$A$3:$F$301,2,FALSE)-VLOOKUP($A70,DATA!$A$3:$F$301,2,FALSE))^2+(VLOOKUP(CR$1,DATA!$A$3:$F$301,3,FALSE)-VLOOKUP($A70,DATA!$A$3:$F$301,3,FALSE))^2),"")</f>
        <v/>
      </c>
      <c r="CS70" s="14" t="str">
        <f>_xlfn.IFNA(SQRT((VLOOKUP(CS$1,DATA!$A$3:$F$301,2,FALSE)-VLOOKUP($A70,DATA!$A$3:$F$301,2,FALSE))^2+(VLOOKUP(CS$1,DATA!$A$3:$F$301,3,FALSE)-VLOOKUP($A70,DATA!$A$3:$F$301,3,FALSE))^2),"")</f>
        <v/>
      </c>
      <c r="CT70" s="14" t="str">
        <f>_xlfn.IFNA(SQRT((VLOOKUP(CT$1,DATA!$A$3:$F$301,2,FALSE)-VLOOKUP($A70,DATA!$A$3:$F$301,2,FALSE))^2+(VLOOKUP(CT$1,DATA!$A$3:$F$301,3,FALSE)-VLOOKUP($A70,DATA!$A$3:$F$301,3,FALSE))^2),"")</f>
        <v/>
      </c>
      <c r="CU70" s="14" t="str">
        <f>_xlfn.IFNA(SQRT((VLOOKUP(CU$1,DATA!$A$3:$F$301,2,FALSE)-VLOOKUP($A70,DATA!$A$3:$F$301,2,FALSE))^2+(VLOOKUP(CU$1,DATA!$A$3:$F$301,3,FALSE)-VLOOKUP($A70,DATA!$A$3:$F$301,3,FALSE))^2),"")</f>
        <v/>
      </c>
      <c r="CV70" s="14" t="str">
        <f>_xlfn.IFNA(SQRT((VLOOKUP(CV$1,DATA!$A$3:$F$301,2,FALSE)-VLOOKUP($A70,DATA!$A$3:$F$301,2,FALSE))^2+(VLOOKUP(CV$1,DATA!$A$3:$F$301,3,FALSE)-VLOOKUP($A70,DATA!$A$3:$F$301,3,FALSE))^2),"")</f>
        <v/>
      </c>
      <c r="CW70" s="14" t="str">
        <f>_xlfn.IFNA(SQRT((VLOOKUP(CW$1,DATA!$A$3:$F$301,2,FALSE)-VLOOKUP($A70,DATA!$A$3:$F$301,2,FALSE))^2+(VLOOKUP(CW$1,DATA!$A$3:$F$301,3,FALSE)-VLOOKUP($A70,DATA!$A$3:$F$301,3,FALSE))^2),"")</f>
        <v/>
      </c>
      <c r="CX70" s="14" t="str">
        <f>_xlfn.IFNA(SQRT((VLOOKUP(CX$1,DATA!$A$3:$F$301,2,FALSE)-VLOOKUP($A70,DATA!$A$3:$F$301,2,FALSE))^2+(VLOOKUP(CX$1,DATA!$A$3:$F$301,3,FALSE)-VLOOKUP($A70,DATA!$A$3:$F$301,3,FALSE))^2),"")</f>
        <v/>
      </c>
    </row>
    <row r="71" spans="1:102">
      <c r="A71" s="13">
        <v>70</v>
      </c>
      <c r="B71" s="14" t="str">
        <f>_xlfn.IFNA(SQRT((VLOOKUP(B$1,DATA!$A$3:$F$301,2,FALSE)-VLOOKUP($A71,DATA!$A$3:$F$301,2,FALSE))^2+(VLOOKUP(B$1,DATA!$A$3:$F$301,3,FALSE)-VLOOKUP($A71,DATA!$A$3:$F$301,3,FALSE))^2),"")</f>
        <v/>
      </c>
      <c r="C71" s="14" t="str">
        <f>_xlfn.IFNA(SQRT((VLOOKUP(C$1,DATA!$A$3:$F$301,2,FALSE)-VLOOKUP($A71,DATA!$A$3:$F$301,2,FALSE))^2+(VLOOKUP(C$1,DATA!$A$3:$F$301,3,FALSE)-VLOOKUP($A71,DATA!$A$3:$F$301,3,FALSE))^2),"")</f>
        <v/>
      </c>
      <c r="D71" s="14" t="str">
        <f>_xlfn.IFNA(SQRT((VLOOKUP(D$1,DATA!$A$3:$F$301,2,FALSE)-VLOOKUP($A71,DATA!$A$3:$F$301,2,FALSE))^2+(VLOOKUP(D$1,DATA!$A$3:$F$301,3,FALSE)-VLOOKUP($A71,DATA!$A$3:$F$301,3,FALSE))^2),"")</f>
        <v/>
      </c>
      <c r="E71" s="14" t="str">
        <f>_xlfn.IFNA(SQRT((VLOOKUP(E$1,DATA!$A$3:$F$301,2,FALSE)-VLOOKUP($A71,DATA!$A$3:$F$301,2,FALSE))^2+(VLOOKUP(E$1,DATA!$A$3:$F$301,3,FALSE)-VLOOKUP($A71,DATA!$A$3:$F$301,3,FALSE))^2),"")</f>
        <v/>
      </c>
      <c r="F71" s="14" t="str">
        <f>_xlfn.IFNA(SQRT((VLOOKUP(F$1,DATA!$A$3:$F$301,2,FALSE)-VLOOKUP($A71,DATA!$A$3:$F$301,2,FALSE))^2+(VLOOKUP(F$1,DATA!$A$3:$F$301,3,FALSE)-VLOOKUP($A71,DATA!$A$3:$F$301,3,FALSE))^2),"")</f>
        <v/>
      </c>
      <c r="G71" s="14" t="str">
        <f>_xlfn.IFNA(SQRT((VLOOKUP(G$1,DATA!$A$3:$F$301,2,FALSE)-VLOOKUP($A71,DATA!$A$3:$F$301,2,FALSE))^2+(VLOOKUP(G$1,DATA!$A$3:$F$301,3,FALSE)-VLOOKUP($A71,DATA!$A$3:$F$301,3,FALSE))^2),"")</f>
        <v/>
      </c>
      <c r="H71" s="14" t="str">
        <f>_xlfn.IFNA(SQRT((VLOOKUP(H$1,DATA!$A$3:$F$301,2,FALSE)-VLOOKUP($A71,DATA!$A$3:$F$301,2,FALSE))^2+(VLOOKUP(H$1,DATA!$A$3:$F$301,3,FALSE)-VLOOKUP($A71,DATA!$A$3:$F$301,3,FALSE))^2),"")</f>
        <v/>
      </c>
      <c r="I71" s="14" t="str">
        <f>_xlfn.IFNA(SQRT((VLOOKUP(I$1,DATA!$A$3:$F$301,2,FALSE)-VLOOKUP($A71,DATA!$A$3:$F$301,2,FALSE))^2+(VLOOKUP(I$1,DATA!$A$3:$F$301,3,FALSE)-VLOOKUP($A71,DATA!$A$3:$F$301,3,FALSE))^2),"")</f>
        <v/>
      </c>
      <c r="J71" s="14" t="str">
        <f>_xlfn.IFNA(SQRT((VLOOKUP(J$1,DATA!$A$3:$F$301,2,FALSE)-VLOOKUP($A71,DATA!$A$3:$F$301,2,FALSE))^2+(VLOOKUP(J$1,DATA!$A$3:$F$301,3,FALSE)-VLOOKUP($A71,DATA!$A$3:$F$301,3,FALSE))^2),"")</f>
        <v/>
      </c>
      <c r="K71" s="14" t="str">
        <f>_xlfn.IFNA(SQRT((VLOOKUP(K$1,DATA!$A$3:$F$301,2,FALSE)-VLOOKUP($A71,DATA!$A$3:$F$301,2,FALSE))^2+(VLOOKUP(K$1,DATA!$A$3:$F$301,3,FALSE)-VLOOKUP($A71,DATA!$A$3:$F$301,3,FALSE))^2),"")</f>
        <v/>
      </c>
      <c r="L71" s="14" t="str">
        <f>_xlfn.IFNA(SQRT((VLOOKUP(L$1,DATA!$A$3:$F$301,2,FALSE)-VLOOKUP($A71,DATA!$A$3:$F$301,2,FALSE))^2+(VLOOKUP(L$1,DATA!$A$3:$F$301,3,FALSE)-VLOOKUP($A71,DATA!$A$3:$F$301,3,FALSE))^2),"")</f>
        <v/>
      </c>
      <c r="M71" s="14" t="str">
        <f>_xlfn.IFNA(SQRT((VLOOKUP(M$1,DATA!$A$3:$F$301,2,FALSE)-VLOOKUP($A71,DATA!$A$3:$F$301,2,FALSE))^2+(VLOOKUP(M$1,DATA!$A$3:$F$301,3,FALSE)-VLOOKUP($A71,DATA!$A$3:$F$301,3,FALSE))^2),"")</f>
        <v/>
      </c>
      <c r="N71" s="14" t="str">
        <f>_xlfn.IFNA(SQRT((VLOOKUP(N$1,DATA!$A$3:$F$301,2,FALSE)-VLOOKUP($A71,DATA!$A$3:$F$301,2,FALSE))^2+(VLOOKUP(N$1,DATA!$A$3:$F$301,3,FALSE)-VLOOKUP($A71,DATA!$A$3:$F$301,3,FALSE))^2),"")</f>
        <v/>
      </c>
      <c r="O71" s="14" t="str">
        <f>_xlfn.IFNA(SQRT((VLOOKUP(O$1,DATA!$A$3:$F$301,2,FALSE)-VLOOKUP($A71,DATA!$A$3:$F$301,2,FALSE))^2+(VLOOKUP(O$1,DATA!$A$3:$F$301,3,FALSE)-VLOOKUP($A71,DATA!$A$3:$F$301,3,FALSE))^2),"")</f>
        <v/>
      </c>
      <c r="P71" s="14" t="str">
        <f>_xlfn.IFNA(SQRT((VLOOKUP(P$1,DATA!$A$3:$F$301,2,FALSE)-VLOOKUP($A71,DATA!$A$3:$F$301,2,FALSE))^2+(VLOOKUP(P$1,DATA!$A$3:$F$301,3,FALSE)-VLOOKUP($A71,DATA!$A$3:$F$301,3,FALSE))^2),"")</f>
        <v/>
      </c>
      <c r="Q71" s="14" t="str">
        <f>_xlfn.IFNA(SQRT((VLOOKUP(Q$1,DATA!$A$3:$F$301,2,FALSE)-VLOOKUP($A71,DATA!$A$3:$F$301,2,FALSE))^2+(VLOOKUP(Q$1,DATA!$A$3:$F$301,3,FALSE)-VLOOKUP($A71,DATA!$A$3:$F$301,3,FALSE))^2),"")</f>
        <v/>
      </c>
      <c r="R71" s="14" t="str">
        <f>_xlfn.IFNA(SQRT((VLOOKUP(R$1,DATA!$A$3:$F$301,2,FALSE)-VLOOKUP($A71,DATA!$A$3:$F$301,2,FALSE))^2+(VLOOKUP(R$1,DATA!$A$3:$F$301,3,FALSE)-VLOOKUP($A71,DATA!$A$3:$F$301,3,FALSE))^2),"")</f>
        <v/>
      </c>
      <c r="S71" s="14" t="str">
        <f>_xlfn.IFNA(SQRT((VLOOKUP(S$1,DATA!$A$3:$F$301,2,FALSE)-VLOOKUP($A71,DATA!$A$3:$F$301,2,FALSE))^2+(VLOOKUP(S$1,DATA!$A$3:$F$301,3,FALSE)-VLOOKUP($A71,DATA!$A$3:$F$301,3,FALSE))^2),"")</f>
        <v/>
      </c>
      <c r="T71" s="14" t="str">
        <f>_xlfn.IFNA(SQRT((VLOOKUP(T$1,DATA!$A$3:$F$301,2,FALSE)-VLOOKUP($A71,DATA!$A$3:$F$301,2,FALSE))^2+(VLOOKUP(T$1,DATA!$A$3:$F$301,3,FALSE)-VLOOKUP($A71,DATA!$A$3:$F$301,3,FALSE))^2),"")</f>
        <v/>
      </c>
      <c r="U71" s="14" t="str">
        <f>_xlfn.IFNA(SQRT((VLOOKUP(U$1,DATA!$A$3:$F$301,2,FALSE)-VLOOKUP($A71,DATA!$A$3:$F$301,2,FALSE))^2+(VLOOKUP(U$1,DATA!$A$3:$F$301,3,FALSE)-VLOOKUP($A71,DATA!$A$3:$F$301,3,FALSE))^2),"")</f>
        <v/>
      </c>
      <c r="V71" s="14" t="str">
        <f>_xlfn.IFNA(SQRT((VLOOKUP(V$1,DATA!$A$3:$F$301,2,FALSE)-VLOOKUP($A71,DATA!$A$3:$F$301,2,FALSE))^2+(VLOOKUP(V$1,DATA!$A$3:$F$301,3,FALSE)-VLOOKUP($A71,DATA!$A$3:$F$301,3,FALSE))^2),"")</f>
        <v/>
      </c>
      <c r="W71" s="14" t="str">
        <f>_xlfn.IFNA(SQRT((VLOOKUP(W$1,DATA!$A$3:$F$301,2,FALSE)-VLOOKUP($A71,DATA!$A$3:$F$301,2,FALSE))^2+(VLOOKUP(W$1,DATA!$A$3:$F$301,3,FALSE)-VLOOKUP($A71,DATA!$A$3:$F$301,3,FALSE))^2),"")</f>
        <v/>
      </c>
      <c r="X71" s="14" t="str">
        <f>_xlfn.IFNA(SQRT((VLOOKUP(X$1,DATA!$A$3:$F$301,2,FALSE)-VLOOKUP($A71,DATA!$A$3:$F$301,2,FALSE))^2+(VLOOKUP(X$1,DATA!$A$3:$F$301,3,FALSE)-VLOOKUP($A71,DATA!$A$3:$F$301,3,FALSE))^2),"")</f>
        <v/>
      </c>
      <c r="Y71" s="14" t="str">
        <f>_xlfn.IFNA(SQRT((VLOOKUP(Y$1,DATA!$A$3:$F$301,2,FALSE)-VLOOKUP($A71,DATA!$A$3:$F$301,2,FALSE))^2+(VLOOKUP(Y$1,DATA!$A$3:$F$301,3,FALSE)-VLOOKUP($A71,DATA!$A$3:$F$301,3,FALSE))^2),"")</f>
        <v/>
      </c>
      <c r="Z71" s="14" t="str">
        <f>_xlfn.IFNA(SQRT((VLOOKUP(Z$1,DATA!$A$3:$F$301,2,FALSE)-VLOOKUP($A71,DATA!$A$3:$F$301,2,FALSE))^2+(VLOOKUP(Z$1,DATA!$A$3:$F$301,3,FALSE)-VLOOKUP($A71,DATA!$A$3:$F$301,3,FALSE))^2),"")</f>
        <v/>
      </c>
      <c r="AA71" s="14" t="str">
        <f>_xlfn.IFNA(SQRT((VLOOKUP(AA$1,DATA!$A$3:$F$301,2,FALSE)-VLOOKUP($A71,DATA!$A$3:$F$301,2,FALSE))^2+(VLOOKUP(AA$1,DATA!$A$3:$F$301,3,FALSE)-VLOOKUP($A71,DATA!$A$3:$F$301,3,FALSE))^2),"")</f>
        <v/>
      </c>
      <c r="AB71" s="14" t="str">
        <f>_xlfn.IFNA(SQRT((VLOOKUP(AB$1,DATA!$A$3:$F$301,2,FALSE)-VLOOKUP($A71,DATA!$A$3:$F$301,2,FALSE))^2+(VLOOKUP(AB$1,DATA!$A$3:$F$301,3,FALSE)-VLOOKUP($A71,DATA!$A$3:$F$301,3,FALSE))^2),"")</f>
        <v/>
      </c>
      <c r="AC71" s="14" t="str">
        <f>_xlfn.IFNA(SQRT((VLOOKUP(AC$1,DATA!$A$3:$F$301,2,FALSE)-VLOOKUP($A71,DATA!$A$3:$F$301,2,FALSE))^2+(VLOOKUP(AC$1,DATA!$A$3:$F$301,3,FALSE)-VLOOKUP($A71,DATA!$A$3:$F$301,3,FALSE))^2),"")</f>
        <v/>
      </c>
      <c r="AD71" s="14" t="str">
        <f>_xlfn.IFNA(SQRT((VLOOKUP(AD$1,DATA!$A$3:$F$301,2,FALSE)-VLOOKUP($A71,DATA!$A$3:$F$301,2,FALSE))^2+(VLOOKUP(AD$1,DATA!$A$3:$F$301,3,FALSE)-VLOOKUP($A71,DATA!$A$3:$F$301,3,FALSE))^2),"")</f>
        <v/>
      </c>
      <c r="AE71" s="14" t="str">
        <f>_xlfn.IFNA(SQRT((VLOOKUP(AE$1,DATA!$A$3:$F$301,2,FALSE)-VLOOKUP($A71,DATA!$A$3:$F$301,2,FALSE))^2+(VLOOKUP(AE$1,DATA!$A$3:$F$301,3,FALSE)-VLOOKUP($A71,DATA!$A$3:$F$301,3,FALSE))^2),"")</f>
        <v/>
      </c>
      <c r="AF71" s="14" t="str">
        <f>_xlfn.IFNA(SQRT((VLOOKUP(AF$1,DATA!$A$3:$F$301,2,FALSE)-VLOOKUP($A71,DATA!$A$3:$F$301,2,FALSE))^2+(VLOOKUP(AF$1,DATA!$A$3:$F$301,3,FALSE)-VLOOKUP($A71,DATA!$A$3:$F$301,3,FALSE))^2),"")</f>
        <v/>
      </c>
      <c r="AG71" s="14" t="str">
        <f>_xlfn.IFNA(SQRT((VLOOKUP(AG$1,DATA!$A$3:$F$301,2,FALSE)-VLOOKUP($A71,DATA!$A$3:$F$301,2,FALSE))^2+(VLOOKUP(AG$1,DATA!$A$3:$F$301,3,FALSE)-VLOOKUP($A71,DATA!$A$3:$F$301,3,FALSE))^2),"")</f>
        <v/>
      </c>
      <c r="AH71" s="14" t="str">
        <f>_xlfn.IFNA(SQRT((VLOOKUP(AH$1,DATA!$A$3:$F$301,2,FALSE)-VLOOKUP($A71,DATA!$A$3:$F$301,2,FALSE))^2+(VLOOKUP(AH$1,DATA!$A$3:$F$301,3,FALSE)-VLOOKUP($A71,DATA!$A$3:$F$301,3,FALSE))^2),"")</f>
        <v/>
      </c>
      <c r="AI71" s="14" t="str">
        <f>_xlfn.IFNA(SQRT((VLOOKUP(AI$1,DATA!$A$3:$F$301,2,FALSE)-VLOOKUP($A71,DATA!$A$3:$F$301,2,FALSE))^2+(VLOOKUP(AI$1,DATA!$A$3:$F$301,3,FALSE)-VLOOKUP($A71,DATA!$A$3:$F$301,3,FALSE))^2),"")</f>
        <v/>
      </c>
      <c r="AJ71" s="14" t="str">
        <f>_xlfn.IFNA(SQRT((VLOOKUP(AJ$1,DATA!$A$3:$F$301,2,FALSE)-VLOOKUP($A71,DATA!$A$3:$F$301,2,FALSE))^2+(VLOOKUP(AJ$1,DATA!$A$3:$F$301,3,FALSE)-VLOOKUP($A71,DATA!$A$3:$F$301,3,FALSE))^2),"")</f>
        <v/>
      </c>
      <c r="AK71" s="14" t="str">
        <f>_xlfn.IFNA(SQRT((VLOOKUP(AK$1,DATA!$A$3:$F$301,2,FALSE)-VLOOKUP($A71,DATA!$A$3:$F$301,2,FALSE))^2+(VLOOKUP(AK$1,DATA!$A$3:$F$301,3,FALSE)-VLOOKUP($A71,DATA!$A$3:$F$301,3,FALSE))^2),"")</f>
        <v/>
      </c>
      <c r="AL71" s="14" t="str">
        <f>_xlfn.IFNA(SQRT((VLOOKUP(AL$1,DATA!$A$3:$F$301,2,FALSE)-VLOOKUP($A71,DATA!$A$3:$F$301,2,FALSE))^2+(VLOOKUP(AL$1,DATA!$A$3:$F$301,3,FALSE)-VLOOKUP($A71,DATA!$A$3:$F$301,3,FALSE))^2),"")</f>
        <v/>
      </c>
      <c r="AM71" s="14" t="str">
        <f>_xlfn.IFNA(SQRT((VLOOKUP(AM$1,DATA!$A$3:$F$301,2,FALSE)-VLOOKUP($A71,DATA!$A$3:$F$301,2,FALSE))^2+(VLOOKUP(AM$1,DATA!$A$3:$F$301,3,FALSE)-VLOOKUP($A71,DATA!$A$3:$F$301,3,FALSE))^2),"")</f>
        <v/>
      </c>
      <c r="AN71" s="14" t="str">
        <f>_xlfn.IFNA(SQRT((VLOOKUP(AN$1,DATA!$A$3:$F$301,2,FALSE)-VLOOKUP($A71,DATA!$A$3:$F$301,2,FALSE))^2+(VLOOKUP(AN$1,DATA!$A$3:$F$301,3,FALSE)-VLOOKUP($A71,DATA!$A$3:$F$301,3,FALSE))^2),"")</f>
        <v/>
      </c>
      <c r="AO71" s="14" t="str">
        <f>_xlfn.IFNA(SQRT((VLOOKUP(AO$1,DATA!$A$3:$F$301,2,FALSE)-VLOOKUP($A71,DATA!$A$3:$F$301,2,FALSE))^2+(VLOOKUP(AO$1,DATA!$A$3:$F$301,3,FALSE)-VLOOKUP($A71,DATA!$A$3:$F$301,3,FALSE))^2),"")</f>
        <v/>
      </c>
      <c r="AP71" s="14" t="str">
        <f>_xlfn.IFNA(SQRT((VLOOKUP(AP$1,DATA!$A$3:$F$301,2,FALSE)-VLOOKUP($A71,DATA!$A$3:$F$301,2,FALSE))^2+(VLOOKUP(AP$1,DATA!$A$3:$F$301,3,FALSE)-VLOOKUP($A71,DATA!$A$3:$F$301,3,FALSE))^2),"")</f>
        <v/>
      </c>
      <c r="AQ71" s="14" t="str">
        <f>_xlfn.IFNA(SQRT((VLOOKUP(AQ$1,DATA!$A$3:$F$301,2,FALSE)-VLOOKUP($A71,DATA!$A$3:$F$301,2,FALSE))^2+(VLOOKUP(AQ$1,DATA!$A$3:$F$301,3,FALSE)-VLOOKUP($A71,DATA!$A$3:$F$301,3,FALSE))^2),"")</f>
        <v/>
      </c>
      <c r="AR71" s="14" t="str">
        <f>_xlfn.IFNA(SQRT((VLOOKUP(AR$1,DATA!$A$3:$F$301,2,FALSE)-VLOOKUP($A71,DATA!$A$3:$F$301,2,FALSE))^2+(VLOOKUP(AR$1,DATA!$A$3:$F$301,3,FALSE)-VLOOKUP($A71,DATA!$A$3:$F$301,3,FALSE))^2),"")</f>
        <v/>
      </c>
      <c r="AS71" s="14" t="str">
        <f>_xlfn.IFNA(SQRT((VLOOKUP(AS$1,DATA!$A$3:$F$301,2,FALSE)-VLOOKUP($A71,DATA!$A$3:$F$301,2,FALSE))^2+(VLOOKUP(AS$1,DATA!$A$3:$F$301,3,FALSE)-VLOOKUP($A71,DATA!$A$3:$F$301,3,FALSE))^2),"")</f>
        <v/>
      </c>
      <c r="AT71" s="14" t="str">
        <f>_xlfn.IFNA(SQRT((VLOOKUP(AT$1,DATA!$A$3:$F$301,2,FALSE)-VLOOKUP($A71,DATA!$A$3:$F$301,2,FALSE))^2+(VLOOKUP(AT$1,DATA!$A$3:$F$301,3,FALSE)-VLOOKUP($A71,DATA!$A$3:$F$301,3,FALSE))^2),"")</f>
        <v/>
      </c>
      <c r="AU71" s="14" t="str">
        <f>_xlfn.IFNA(SQRT((VLOOKUP(AU$1,DATA!$A$3:$F$301,2,FALSE)-VLOOKUP($A71,DATA!$A$3:$F$301,2,FALSE))^2+(VLOOKUP(AU$1,DATA!$A$3:$F$301,3,FALSE)-VLOOKUP($A71,DATA!$A$3:$F$301,3,FALSE))^2),"")</f>
        <v/>
      </c>
      <c r="AV71" s="14" t="str">
        <f>_xlfn.IFNA(SQRT((VLOOKUP(AV$1,DATA!$A$3:$F$301,2,FALSE)-VLOOKUP($A71,DATA!$A$3:$F$301,2,FALSE))^2+(VLOOKUP(AV$1,DATA!$A$3:$F$301,3,FALSE)-VLOOKUP($A71,DATA!$A$3:$F$301,3,FALSE))^2),"")</f>
        <v/>
      </c>
      <c r="AW71" s="14" t="str">
        <f>_xlfn.IFNA(SQRT((VLOOKUP(AW$1,DATA!$A$3:$F$301,2,FALSE)-VLOOKUP($A71,DATA!$A$3:$F$301,2,FALSE))^2+(VLOOKUP(AW$1,DATA!$A$3:$F$301,3,FALSE)-VLOOKUP($A71,DATA!$A$3:$F$301,3,FALSE))^2),"")</f>
        <v/>
      </c>
      <c r="AX71" s="14" t="str">
        <f>_xlfn.IFNA(SQRT((VLOOKUP(AX$1,DATA!$A$3:$F$301,2,FALSE)-VLOOKUP($A71,DATA!$A$3:$F$301,2,FALSE))^2+(VLOOKUP(AX$1,DATA!$A$3:$F$301,3,FALSE)-VLOOKUP($A71,DATA!$A$3:$F$301,3,FALSE))^2),"")</f>
        <v/>
      </c>
      <c r="AY71" s="14" t="str">
        <f>_xlfn.IFNA(SQRT((VLOOKUP(AY$1,DATA!$A$3:$F$301,2,FALSE)-VLOOKUP($A71,DATA!$A$3:$F$301,2,FALSE))^2+(VLOOKUP(AY$1,DATA!$A$3:$F$301,3,FALSE)-VLOOKUP($A71,DATA!$A$3:$F$301,3,FALSE))^2),"")</f>
        <v/>
      </c>
      <c r="AZ71" s="14" t="str">
        <f>_xlfn.IFNA(SQRT((VLOOKUP(AZ$1,DATA!$A$3:$F$301,2,FALSE)-VLOOKUP($A71,DATA!$A$3:$F$301,2,FALSE))^2+(VLOOKUP(AZ$1,DATA!$A$3:$F$301,3,FALSE)-VLOOKUP($A71,DATA!$A$3:$F$301,3,FALSE))^2),"")</f>
        <v/>
      </c>
      <c r="BA71" s="14" t="str">
        <f>_xlfn.IFNA(SQRT((VLOOKUP(BA$1,DATA!$A$3:$F$301,2,FALSE)-VLOOKUP($A71,DATA!$A$3:$F$301,2,FALSE))^2+(VLOOKUP(BA$1,DATA!$A$3:$F$301,3,FALSE)-VLOOKUP($A71,DATA!$A$3:$F$301,3,FALSE))^2),"")</f>
        <v/>
      </c>
      <c r="BB71" s="14" t="str">
        <f>_xlfn.IFNA(SQRT((VLOOKUP(BB$1,DATA!$A$3:$F$301,2,FALSE)-VLOOKUP($A71,DATA!$A$3:$F$301,2,FALSE))^2+(VLOOKUP(BB$1,DATA!$A$3:$F$301,3,FALSE)-VLOOKUP($A71,DATA!$A$3:$F$301,3,FALSE))^2),"")</f>
        <v/>
      </c>
      <c r="BC71" s="14" t="str">
        <f>_xlfn.IFNA(SQRT((VLOOKUP(BC$1,DATA!$A$3:$F$301,2,FALSE)-VLOOKUP($A71,DATA!$A$3:$F$301,2,FALSE))^2+(VLOOKUP(BC$1,DATA!$A$3:$F$301,3,FALSE)-VLOOKUP($A71,DATA!$A$3:$F$301,3,FALSE))^2),"")</f>
        <v/>
      </c>
      <c r="BD71" s="14" t="str">
        <f>_xlfn.IFNA(SQRT((VLOOKUP(BD$1,DATA!$A$3:$F$301,2,FALSE)-VLOOKUP($A71,DATA!$A$3:$F$301,2,FALSE))^2+(VLOOKUP(BD$1,DATA!$A$3:$F$301,3,FALSE)-VLOOKUP($A71,DATA!$A$3:$F$301,3,FALSE))^2),"")</f>
        <v/>
      </c>
      <c r="BE71" s="14" t="str">
        <f>_xlfn.IFNA(SQRT((VLOOKUP(BE$1,DATA!$A$3:$F$301,2,FALSE)-VLOOKUP($A71,DATA!$A$3:$F$301,2,FALSE))^2+(VLOOKUP(BE$1,DATA!$A$3:$F$301,3,FALSE)-VLOOKUP($A71,DATA!$A$3:$F$301,3,FALSE))^2),"")</f>
        <v/>
      </c>
      <c r="BF71" s="14" t="str">
        <f>_xlfn.IFNA(SQRT((VLOOKUP(BF$1,DATA!$A$3:$F$301,2,FALSE)-VLOOKUP($A71,DATA!$A$3:$F$301,2,FALSE))^2+(VLOOKUP(BF$1,DATA!$A$3:$F$301,3,FALSE)-VLOOKUP($A71,DATA!$A$3:$F$301,3,FALSE))^2),"")</f>
        <v/>
      </c>
      <c r="BG71" s="14" t="str">
        <f>_xlfn.IFNA(SQRT((VLOOKUP(BG$1,DATA!$A$3:$F$301,2,FALSE)-VLOOKUP($A71,DATA!$A$3:$F$301,2,FALSE))^2+(VLOOKUP(BG$1,DATA!$A$3:$F$301,3,FALSE)-VLOOKUP($A71,DATA!$A$3:$F$301,3,FALSE))^2),"")</f>
        <v/>
      </c>
      <c r="BH71" s="14" t="str">
        <f>_xlfn.IFNA(SQRT((VLOOKUP(BH$1,DATA!$A$3:$F$301,2,FALSE)-VLOOKUP($A71,DATA!$A$3:$F$301,2,FALSE))^2+(VLOOKUP(BH$1,DATA!$A$3:$F$301,3,FALSE)-VLOOKUP($A71,DATA!$A$3:$F$301,3,FALSE))^2),"")</f>
        <v/>
      </c>
      <c r="BI71" s="14" t="str">
        <f>_xlfn.IFNA(SQRT((VLOOKUP(BI$1,DATA!$A$3:$F$301,2,FALSE)-VLOOKUP($A71,DATA!$A$3:$F$301,2,FALSE))^2+(VLOOKUP(BI$1,DATA!$A$3:$F$301,3,FALSE)-VLOOKUP($A71,DATA!$A$3:$F$301,3,FALSE))^2),"")</f>
        <v/>
      </c>
      <c r="BJ71" s="14" t="str">
        <f>_xlfn.IFNA(SQRT((VLOOKUP(BJ$1,DATA!$A$3:$F$301,2,FALSE)-VLOOKUP($A71,DATA!$A$3:$F$301,2,FALSE))^2+(VLOOKUP(BJ$1,DATA!$A$3:$F$301,3,FALSE)-VLOOKUP($A71,DATA!$A$3:$F$301,3,FALSE))^2),"")</f>
        <v/>
      </c>
      <c r="BK71" s="14" t="str">
        <f>_xlfn.IFNA(SQRT((VLOOKUP(BK$1,DATA!$A$3:$F$301,2,FALSE)-VLOOKUP($A71,DATA!$A$3:$F$301,2,FALSE))^2+(VLOOKUP(BK$1,DATA!$A$3:$F$301,3,FALSE)-VLOOKUP($A71,DATA!$A$3:$F$301,3,FALSE))^2),"")</f>
        <v/>
      </c>
      <c r="BL71" s="14" t="str">
        <f>_xlfn.IFNA(SQRT((VLOOKUP(BL$1,DATA!$A$3:$F$301,2,FALSE)-VLOOKUP($A71,DATA!$A$3:$F$301,2,FALSE))^2+(VLOOKUP(BL$1,DATA!$A$3:$F$301,3,FALSE)-VLOOKUP($A71,DATA!$A$3:$F$301,3,FALSE))^2),"")</f>
        <v/>
      </c>
      <c r="BM71" s="14" t="str">
        <f>_xlfn.IFNA(SQRT((VLOOKUP(BM$1,DATA!$A$3:$F$301,2,FALSE)-VLOOKUP($A71,DATA!$A$3:$F$301,2,FALSE))^2+(VLOOKUP(BM$1,DATA!$A$3:$F$301,3,FALSE)-VLOOKUP($A71,DATA!$A$3:$F$301,3,FALSE))^2),"")</f>
        <v/>
      </c>
      <c r="BN71" s="14" t="str">
        <f>_xlfn.IFNA(SQRT((VLOOKUP(BN$1,DATA!$A$3:$F$301,2,FALSE)-VLOOKUP($A71,DATA!$A$3:$F$301,2,FALSE))^2+(VLOOKUP(BN$1,DATA!$A$3:$F$301,3,FALSE)-VLOOKUP($A71,DATA!$A$3:$F$301,3,FALSE))^2),"")</f>
        <v/>
      </c>
      <c r="BO71" s="14" t="str">
        <f>_xlfn.IFNA(SQRT((VLOOKUP(BO$1,DATA!$A$3:$F$301,2,FALSE)-VLOOKUP($A71,DATA!$A$3:$F$301,2,FALSE))^2+(VLOOKUP(BO$1,DATA!$A$3:$F$301,3,FALSE)-VLOOKUP($A71,DATA!$A$3:$F$301,3,FALSE))^2),"")</f>
        <v/>
      </c>
      <c r="BP71" s="14" t="str">
        <f>_xlfn.IFNA(SQRT((VLOOKUP(BP$1,DATA!$A$3:$F$301,2,FALSE)-VLOOKUP($A71,DATA!$A$3:$F$301,2,FALSE))^2+(VLOOKUP(BP$1,DATA!$A$3:$F$301,3,FALSE)-VLOOKUP($A71,DATA!$A$3:$F$301,3,FALSE))^2),"")</f>
        <v/>
      </c>
      <c r="BQ71" s="14" t="str">
        <f>_xlfn.IFNA(SQRT((VLOOKUP(BQ$1,DATA!$A$3:$F$301,2,FALSE)-VLOOKUP($A71,DATA!$A$3:$F$301,2,FALSE))^2+(VLOOKUP(BQ$1,DATA!$A$3:$F$301,3,FALSE)-VLOOKUP($A71,DATA!$A$3:$F$301,3,FALSE))^2),"")</f>
        <v/>
      </c>
      <c r="BR71" s="14" t="str">
        <f>_xlfn.IFNA(SQRT((VLOOKUP(BR$1,DATA!$A$3:$F$301,2,FALSE)-VLOOKUP($A71,DATA!$A$3:$F$301,2,FALSE))^2+(VLOOKUP(BR$1,DATA!$A$3:$F$301,3,FALSE)-VLOOKUP($A71,DATA!$A$3:$F$301,3,FALSE))^2),"")</f>
        <v/>
      </c>
      <c r="BS71" s="14" t="str">
        <f>_xlfn.IFNA(SQRT((VLOOKUP(BS$1,DATA!$A$3:$F$301,2,FALSE)-VLOOKUP($A71,DATA!$A$3:$F$301,2,FALSE))^2+(VLOOKUP(BS$1,DATA!$A$3:$F$301,3,FALSE)-VLOOKUP($A71,DATA!$A$3:$F$301,3,FALSE))^2),"")</f>
        <v/>
      </c>
      <c r="BT71" s="14" t="str">
        <f>_xlfn.IFNA(SQRT((VLOOKUP(BT$1,DATA!$A$3:$F$301,2,FALSE)-VLOOKUP($A71,DATA!$A$3:$F$301,2,FALSE))^2+(VLOOKUP(BT$1,DATA!$A$3:$F$301,3,FALSE)-VLOOKUP($A71,DATA!$A$3:$F$301,3,FALSE))^2),"")</f>
        <v/>
      </c>
      <c r="BU71" s="14" t="str">
        <f>_xlfn.IFNA(SQRT((VLOOKUP(BU$1,DATA!$A$3:$F$301,2,FALSE)-VLOOKUP($A71,DATA!$A$3:$F$301,2,FALSE))^2+(VLOOKUP(BU$1,DATA!$A$3:$F$301,3,FALSE)-VLOOKUP($A71,DATA!$A$3:$F$301,3,FALSE))^2),"")</f>
        <v/>
      </c>
      <c r="BV71" s="14" t="str">
        <f>_xlfn.IFNA(SQRT((VLOOKUP(BV$1,DATA!$A$3:$F$301,2,FALSE)-VLOOKUP($A71,DATA!$A$3:$F$301,2,FALSE))^2+(VLOOKUP(BV$1,DATA!$A$3:$F$301,3,FALSE)-VLOOKUP($A71,DATA!$A$3:$F$301,3,FALSE))^2),"")</f>
        <v/>
      </c>
      <c r="BW71" s="14" t="str">
        <f>_xlfn.IFNA(SQRT((VLOOKUP(BW$1,DATA!$A$3:$F$301,2,FALSE)-VLOOKUP($A71,DATA!$A$3:$F$301,2,FALSE))^2+(VLOOKUP(BW$1,DATA!$A$3:$F$301,3,FALSE)-VLOOKUP($A71,DATA!$A$3:$F$301,3,FALSE))^2),"")</f>
        <v/>
      </c>
      <c r="BX71" s="14" t="str">
        <f>_xlfn.IFNA(SQRT((VLOOKUP(BX$1,DATA!$A$3:$F$301,2,FALSE)-VLOOKUP($A71,DATA!$A$3:$F$301,2,FALSE))^2+(VLOOKUP(BX$1,DATA!$A$3:$F$301,3,FALSE)-VLOOKUP($A71,DATA!$A$3:$F$301,3,FALSE))^2),"")</f>
        <v/>
      </c>
      <c r="BY71" s="14" t="str">
        <f>_xlfn.IFNA(SQRT((VLOOKUP(BY$1,DATA!$A$3:$F$301,2,FALSE)-VLOOKUP($A71,DATA!$A$3:$F$301,2,FALSE))^2+(VLOOKUP(BY$1,DATA!$A$3:$F$301,3,FALSE)-VLOOKUP($A71,DATA!$A$3:$F$301,3,FALSE))^2),"")</f>
        <v/>
      </c>
      <c r="BZ71" s="14" t="str">
        <f>_xlfn.IFNA(SQRT((VLOOKUP(BZ$1,DATA!$A$3:$F$301,2,FALSE)-VLOOKUP($A71,DATA!$A$3:$F$301,2,FALSE))^2+(VLOOKUP(BZ$1,DATA!$A$3:$F$301,3,FALSE)-VLOOKUP($A71,DATA!$A$3:$F$301,3,FALSE))^2),"")</f>
        <v/>
      </c>
      <c r="CA71" s="14" t="str">
        <f>_xlfn.IFNA(SQRT((VLOOKUP(CA$1,DATA!$A$3:$F$301,2,FALSE)-VLOOKUP($A71,DATA!$A$3:$F$301,2,FALSE))^2+(VLOOKUP(CA$1,DATA!$A$3:$F$301,3,FALSE)-VLOOKUP($A71,DATA!$A$3:$F$301,3,FALSE))^2),"")</f>
        <v/>
      </c>
      <c r="CB71" s="14" t="str">
        <f>_xlfn.IFNA(SQRT((VLOOKUP(CB$1,DATA!$A$3:$F$301,2,FALSE)-VLOOKUP($A71,DATA!$A$3:$F$301,2,FALSE))^2+(VLOOKUP(CB$1,DATA!$A$3:$F$301,3,FALSE)-VLOOKUP($A71,DATA!$A$3:$F$301,3,FALSE))^2),"")</f>
        <v/>
      </c>
      <c r="CC71" s="14" t="str">
        <f>_xlfn.IFNA(SQRT((VLOOKUP(CC$1,DATA!$A$3:$F$301,2,FALSE)-VLOOKUP($A71,DATA!$A$3:$F$301,2,FALSE))^2+(VLOOKUP(CC$1,DATA!$A$3:$F$301,3,FALSE)-VLOOKUP($A71,DATA!$A$3:$F$301,3,FALSE))^2),"")</f>
        <v/>
      </c>
      <c r="CD71" s="14" t="str">
        <f>_xlfn.IFNA(SQRT((VLOOKUP(CD$1,DATA!$A$3:$F$301,2,FALSE)-VLOOKUP($A71,DATA!$A$3:$F$301,2,FALSE))^2+(VLOOKUP(CD$1,DATA!$A$3:$F$301,3,FALSE)-VLOOKUP($A71,DATA!$A$3:$F$301,3,FALSE))^2),"")</f>
        <v/>
      </c>
      <c r="CE71" s="14" t="str">
        <f>_xlfn.IFNA(SQRT((VLOOKUP(CE$1,DATA!$A$3:$F$301,2,FALSE)-VLOOKUP($A71,DATA!$A$3:$F$301,2,FALSE))^2+(VLOOKUP(CE$1,DATA!$A$3:$F$301,3,FALSE)-VLOOKUP($A71,DATA!$A$3:$F$301,3,FALSE))^2),"")</f>
        <v/>
      </c>
      <c r="CF71" s="14" t="str">
        <f>_xlfn.IFNA(SQRT((VLOOKUP(CF$1,DATA!$A$3:$F$301,2,FALSE)-VLOOKUP($A71,DATA!$A$3:$F$301,2,FALSE))^2+(VLOOKUP(CF$1,DATA!$A$3:$F$301,3,FALSE)-VLOOKUP($A71,DATA!$A$3:$F$301,3,FALSE))^2),"")</f>
        <v/>
      </c>
      <c r="CG71" s="14" t="str">
        <f>_xlfn.IFNA(SQRT((VLOOKUP(CG$1,DATA!$A$3:$F$301,2,FALSE)-VLOOKUP($A71,DATA!$A$3:$F$301,2,FALSE))^2+(VLOOKUP(CG$1,DATA!$A$3:$F$301,3,FALSE)-VLOOKUP($A71,DATA!$A$3:$F$301,3,FALSE))^2),"")</f>
        <v/>
      </c>
      <c r="CH71" s="14" t="str">
        <f>_xlfn.IFNA(SQRT((VLOOKUP(CH$1,DATA!$A$3:$F$301,2,FALSE)-VLOOKUP($A71,DATA!$A$3:$F$301,2,FALSE))^2+(VLOOKUP(CH$1,DATA!$A$3:$F$301,3,FALSE)-VLOOKUP($A71,DATA!$A$3:$F$301,3,FALSE))^2),"")</f>
        <v/>
      </c>
      <c r="CI71" s="14" t="str">
        <f>_xlfn.IFNA(SQRT((VLOOKUP(CI$1,DATA!$A$3:$F$301,2,FALSE)-VLOOKUP($A71,DATA!$A$3:$F$301,2,FALSE))^2+(VLOOKUP(CI$1,DATA!$A$3:$F$301,3,FALSE)-VLOOKUP($A71,DATA!$A$3:$F$301,3,FALSE))^2),"")</f>
        <v/>
      </c>
      <c r="CJ71" s="14" t="str">
        <f>_xlfn.IFNA(SQRT((VLOOKUP(CJ$1,DATA!$A$3:$F$301,2,FALSE)-VLOOKUP($A71,DATA!$A$3:$F$301,2,FALSE))^2+(VLOOKUP(CJ$1,DATA!$A$3:$F$301,3,FALSE)-VLOOKUP($A71,DATA!$A$3:$F$301,3,FALSE))^2),"")</f>
        <v/>
      </c>
      <c r="CK71" s="14" t="str">
        <f>_xlfn.IFNA(SQRT((VLOOKUP(CK$1,DATA!$A$3:$F$301,2,FALSE)-VLOOKUP($A71,DATA!$A$3:$F$301,2,FALSE))^2+(VLOOKUP(CK$1,DATA!$A$3:$F$301,3,FALSE)-VLOOKUP($A71,DATA!$A$3:$F$301,3,FALSE))^2),"")</f>
        <v/>
      </c>
      <c r="CL71" s="14" t="str">
        <f>_xlfn.IFNA(SQRT((VLOOKUP(CL$1,DATA!$A$3:$F$301,2,FALSE)-VLOOKUP($A71,DATA!$A$3:$F$301,2,FALSE))^2+(VLOOKUP(CL$1,DATA!$A$3:$F$301,3,FALSE)-VLOOKUP($A71,DATA!$A$3:$F$301,3,FALSE))^2),"")</f>
        <v/>
      </c>
      <c r="CM71" s="14" t="str">
        <f>_xlfn.IFNA(SQRT((VLOOKUP(CM$1,DATA!$A$3:$F$301,2,FALSE)-VLOOKUP($A71,DATA!$A$3:$F$301,2,FALSE))^2+(VLOOKUP(CM$1,DATA!$A$3:$F$301,3,FALSE)-VLOOKUP($A71,DATA!$A$3:$F$301,3,FALSE))^2),"")</f>
        <v/>
      </c>
      <c r="CN71" s="14" t="str">
        <f>_xlfn.IFNA(SQRT((VLOOKUP(CN$1,DATA!$A$3:$F$301,2,FALSE)-VLOOKUP($A71,DATA!$A$3:$F$301,2,FALSE))^2+(VLOOKUP(CN$1,DATA!$A$3:$F$301,3,FALSE)-VLOOKUP($A71,DATA!$A$3:$F$301,3,FALSE))^2),"")</f>
        <v/>
      </c>
      <c r="CO71" s="14" t="str">
        <f>_xlfn.IFNA(SQRT((VLOOKUP(CO$1,DATA!$A$3:$F$301,2,FALSE)-VLOOKUP($A71,DATA!$A$3:$F$301,2,FALSE))^2+(VLOOKUP(CO$1,DATA!$A$3:$F$301,3,FALSE)-VLOOKUP($A71,DATA!$A$3:$F$301,3,FALSE))^2),"")</f>
        <v/>
      </c>
      <c r="CP71" s="14" t="str">
        <f>_xlfn.IFNA(SQRT((VLOOKUP(CP$1,DATA!$A$3:$F$301,2,FALSE)-VLOOKUP($A71,DATA!$A$3:$F$301,2,FALSE))^2+(VLOOKUP(CP$1,DATA!$A$3:$F$301,3,FALSE)-VLOOKUP($A71,DATA!$A$3:$F$301,3,FALSE))^2),"")</f>
        <v/>
      </c>
      <c r="CQ71" s="14" t="str">
        <f>_xlfn.IFNA(SQRT((VLOOKUP(CQ$1,DATA!$A$3:$F$301,2,FALSE)-VLOOKUP($A71,DATA!$A$3:$F$301,2,FALSE))^2+(VLOOKUP(CQ$1,DATA!$A$3:$F$301,3,FALSE)-VLOOKUP($A71,DATA!$A$3:$F$301,3,FALSE))^2),"")</f>
        <v/>
      </c>
      <c r="CR71" s="14" t="str">
        <f>_xlfn.IFNA(SQRT((VLOOKUP(CR$1,DATA!$A$3:$F$301,2,FALSE)-VLOOKUP($A71,DATA!$A$3:$F$301,2,FALSE))^2+(VLOOKUP(CR$1,DATA!$A$3:$F$301,3,FALSE)-VLOOKUP($A71,DATA!$A$3:$F$301,3,FALSE))^2),"")</f>
        <v/>
      </c>
      <c r="CS71" s="14" t="str">
        <f>_xlfn.IFNA(SQRT((VLOOKUP(CS$1,DATA!$A$3:$F$301,2,FALSE)-VLOOKUP($A71,DATA!$A$3:$F$301,2,FALSE))^2+(VLOOKUP(CS$1,DATA!$A$3:$F$301,3,FALSE)-VLOOKUP($A71,DATA!$A$3:$F$301,3,FALSE))^2),"")</f>
        <v/>
      </c>
      <c r="CT71" s="14" t="str">
        <f>_xlfn.IFNA(SQRT((VLOOKUP(CT$1,DATA!$A$3:$F$301,2,FALSE)-VLOOKUP($A71,DATA!$A$3:$F$301,2,FALSE))^2+(VLOOKUP(CT$1,DATA!$A$3:$F$301,3,FALSE)-VLOOKUP($A71,DATA!$A$3:$F$301,3,FALSE))^2),"")</f>
        <v/>
      </c>
      <c r="CU71" s="14" t="str">
        <f>_xlfn.IFNA(SQRT((VLOOKUP(CU$1,DATA!$A$3:$F$301,2,FALSE)-VLOOKUP($A71,DATA!$A$3:$F$301,2,FALSE))^2+(VLOOKUP(CU$1,DATA!$A$3:$F$301,3,FALSE)-VLOOKUP($A71,DATA!$A$3:$F$301,3,FALSE))^2),"")</f>
        <v/>
      </c>
      <c r="CV71" s="14" t="str">
        <f>_xlfn.IFNA(SQRT((VLOOKUP(CV$1,DATA!$A$3:$F$301,2,FALSE)-VLOOKUP($A71,DATA!$A$3:$F$301,2,FALSE))^2+(VLOOKUP(CV$1,DATA!$A$3:$F$301,3,FALSE)-VLOOKUP($A71,DATA!$A$3:$F$301,3,FALSE))^2),"")</f>
        <v/>
      </c>
      <c r="CW71" s="14" t="str">
        <f>_xlfn.IFNA(SQRT((VLOOKUP(CW$1,DATA!$A$3:$F$301,2,FALSE)-VLOOKUP($A71,DATA!$A$3:$F$301,2,FALSE))^2+(VLOOKUP(CW$1,DATA!$A$3:$F$301,3,FALSE)-VLOOKUP($A71,DATA!$A$3:$F$301,3,FALSE))^2),"")</f>
        <v/>
      </c>
      <c r="CX71" s="14" t="str">
        <f>_xlfn.IFNA(SQRT((VLOOKUP(CX$1,DATA!$A$3:$F$301,2,FALSE)-VLOOKUP($A71,DATA!$A$3:$F$301,2,FALSE))^2+(VLOOKUP(CX$1,DATA!$A$3:$F$301,3,FALSE)-VLOOKUP($A71,DATA!$A$3:$F$301,3,FALSE))^2),"")</f>
        <v/>
      </c>
    </row>
    <row r="72" spans="1:102">
      <c r="A72" s="13">
        <v>71</v>
      </c>
      <c r="B72" s="14" t="str">
        <f>_xlfn.IFNA(SQRT((VLOOKUP(B$1,DATA!$A$3:$F$301,2,FALSE)-VLOOKUP($A72,DATA!$A$3:$F$301,2,FALSE))^2+(VLOOKUP(B$1,DATA!$A$3:$F$301,3,FALSE)-VLOOKUP($A72,DATA!$A$3:$F$301,3,FALSE))^2),"")</f>
        <v/>
      </c>
      <c r="C72" s="14" t="str">
        <f>_xlfn.IFNA(SQRT((VLOOKUP(C$1,DATA!$A$3:$F$301,2,FALSE)-VLOOKUP($A72,DATA!$A$3:$F$301,2,FALSE))^2+(VLOOKUP(C$1,DATA!$A$3:$F$301,3,FALSE)-VLOOKUP($A72,DATA!$A$3:$F$301,3,FALSE))^2),"")</f>
        <v/>
      </c>
      <c r="D72" s="14" t="str">
        <f>_xlfn.IFNA(SQRT((VLOOKUP(D$1,DATA!$A$3:$F$301,2,FALSE)-VLOOKUP($A72,DATA!$A$3:$F$301,2,FALSE))^2+(VLOOKUP(D$1,DATA!$A$3:$F$301,3,FALSE)-VLOOKUP($A72,DATA!$A$3:$F$301,3,FALSE))^2),"")</f>
        <v/>
      </c>
      <c r="E72" s="14" t="str">
        <f>_xlfn.IFNA(SQRT((VLOOKUP(E$1,DATA!$A$3:$F$301,2,FALSE)-VLOOKUP($A72,DATA!$A$3:$F$301,2,FALSE))^2+(VLOOKUP(E$1,DATA!$A$3:$F$301,3,FALSE)-VLOOKUP($A72,DATA!$A$3:$F$301,3,FALSE))^2),"")</f>
        <v/>
      </c>
      <c r="F72" s="14" t="str">
        <f>_xlfn.IFNA(SQRT((VLOOKUP(F$1,DATA!$A$3:$F$301,2,FALSE)-VLOOKUP($A72,DATA!$A$3:$F$301,2,FALSE))^2+(VLOOKUP(F$1,DATA!$A$3:$F$301,3,FALSE)-VLOOKUP($A72,DATA!$A$3:$F$301,3,FALSE))^2),"")</f>
        <v/>
      </c>
      <c r="G72" s="14" t="str">
        <f>_xlfn.IFNA(SQRT((VLOOKUP(G$1,DATA!$A$3:$F$301,2,FALSE)-VLOOKUP($A72,DATA!$A$3:$F$301,2,FALSE))^2+(VLOOKUP(G$1,DATA!$A$3:$F$301,3,FALSE)-VLOOKUP($A72,DATA!$A$3:$F$301,3,FALSE))^2),"")</f>
        <v/>
      </c>
      <c r="H72" s="14" t="str">
        <f>_xlfn.IFNA(SQRT((VLOOKUP(H$1,DATA!$A$3:$F$301,2,FALSE)-VLOOKUP($A72,DATA!$A$3:$F$301,2,FALSE))^2+(VLOOKUP(H$1,DATA!$A$3:$F$301,3,FALSE)-VLOOKUP($A72,DATA!$A$3:$F$301,3,FALSE))^2),"")</f>
        <v/>
      </c>
      <c r="I72" s="14" t="str">
        <f>_xlfn.IFNA(SQRT((VLOOKUP(I$1,DATA!$A$3:$F$301,2,FALSE)-VLOOKUP($A72,DATA!$A$3:$F$301,2,FALSE))^2+(VLOOKUP(I$1,DATA!$A$3:$F$301,3,FALSE)-VLOOKUP($A72,DATA!$A$3:$F$301,3,FALSE))^2),"")</f>
        <v/>
      </c>
      <c r="J72" s="14" t="str">
        <f>_xlfn.IFNA(SQRT((VLOOKUP(J$1,DATA!$A$3:$F$301,2,FALSE)-VLOOKUP($A72,DATA!$A$3:$F$301,2,FALSE))^2+(VLOOKUP(J$1,DATA!$A$3:$F$301,3,FALSE)-VLOOKUP($A72,DATA!$A$3:$F$301,3,FALSE))^2),"")</f>
        <v/>
      </c>
      <c r="K72" s="14" t="str">
        <f>_xlfn.IFNA(SQRT((VLOOKUP(K$1,DATA!$A$3:$F$301,2,FALSE)-VLOOKUP($A72,DATA!$A$3:$F$301,2,FALSE))^2+(VLOOKUP(K$1,DATA!$A$3:$F$301,3,FALSE)-VLOOKUP($A72,DATA!$A$3:$F$301,3,FALSE))^2),"")</f>
        <v/>
      </c>
      <c r="L72" s="14" t="str">
        <f>_xlfn.IFNA(SQRT((VLOOKUP(L$1,DATA!$A$3:$F$301,2,FALSE)-VLOOKUP($A72,DATA!$A$3:$F$301,2,FALSE))^2+(VLOOKUP(L$1,DATA!$A$3:$F$301,3,FALSE)-VLOOKUP($A72,DATA!$A$3:$F$301,3,FALSE))^2),"")</f>
        <v/>
      </c>
      <c r="M72" s="14" t="str">
        <f>_xlfn.IFNA(SQRT((VLOOKUP(M$1,DATA!$A$3:$F$301,2,FALSE)-VLOOKUP($A72,DATA!$A$3:$F$301,2,FALSE))^2+(VLOOKUP(M$1,DATA!$A$3:$F$301,3,FALSE)-VLOOKUP($A72,DATA!$A$3:$F$301,3,FALSE))^2),"")</f>
        <v/>
      </c>
      <c r="N72" s="14" t="str">
        <f>_xlfn.IFNA(SQRT((VLOOKUP(N$1,DATA!$A$3:$F$301,2,FALSE)-VLOOKUP($A72,DATA!$A$3:$F$301,2,FALSE))^2+(VLOOKUP(N$1,DATA!$A$3:$F$301,3,FALSE)-VLOOKUP($A72,DATA!$A$3:$F$301,3,FALSE))^2),"")</f>
        <v/>
      </c>
      <c r="O72" s="14" t="str">
        <f>_xlfn.IFNA(SQRT((VLOOKUP(O$1,DATA!$A$3:$F$301,2,FALSE)-VLOOKUP($A72,DATA!$A$3:$F$301,2,FALSE))^2+(VLOOKUP(O$1,DATA!$A$3:$F$301,3,FALSE)-VLOOKUP($A72,DATA!$A$3:$F$301,3,FALSE))^2),"")</f>
        <v/>
      </c>
      <c r="P72" s="14" t="str">
        <f>_xlfn.IFNA(SQRT((VLOOKUP(P$1,DATA!$A$3:$F$301,2,FALSE)-VLOOKUP($A72,DATA!$A$3:$F$301,2,FALSE))^2+(VLOOKUP(P$1,DATA!$A$3:$F$301,3,FALSE)-VLOOKUP($A72,DATA!$A$3:$F$301,3,FALSE))^2),"")</f>
        <v/>
      </c>
      <c r="Q72" s="14" t="str">
        <f>_xlfn.IFNA(SQRT((VLOOKUP(Q$1,DATA!$A$3:$F$301,2,FALSE)-VLOOKUP($A72,DATA!$A$3:$F$301,2,FALSE))^2+(VLOOKUP(Q$1,DATA!$A$3:$F$301,3,FALSE)-VLOOKUP($A72,DATA!$A$3:$F$301,3,FALSE))^2),"")</f>
        <v/>
      </c>
      <c r="R72" s="14" t="str">
        <f>_xlfn.IFNA(SQRT((VLOOKUP(R$1,DATA!$A$3:$F$301,2,FALSE)-VLOOKUP($A72,DATA!$A$3:$F$301,2,FALSE))^2+(VLOOKUP(R$1,DATA!$A$3:$F$301,3,FALSE)-VLOOKUP($A72,DATA!$A$3:$F$301,3,FALSE))^2),"")</f>
        <v/>
      </c>
      <c r="S72" s="14" t="str">
        <f>_xlfn.IFNA(SQRT((VLOOKUP(S$1,DATA!$A$3:$F$301,2,FALSE)-VLOOKUP($A72,DATA!$A$3:$F$301,2,FALSE))^2+(VLOOKUP(S$1,DATA!$A$3:$F$301,3,FALSE)-VLOOKUP($A72,DATA!$A$3:$F$301,3,FALSE))^2),"")</f>
        <v/>
      </c>
      <c r="T72" s="14" t="str">
        <f>_xlfn.IFNA(SQRT((VLOOKUP(T$1,DATA!$A$3:$F$301,2,FALSE)-VLOOKUP($A72,DATA!$A$3:$F$301,2,FALSE))^2+(VLOOKUP(T$1,DATA!$A$3:$F$301,3,FALSE)-VLOOKUP($A72,DATA!$A$3:$F$301,3,FALSE))^2),"")</f>
        <v/>
      </c>
      <c r="U72" s="14" t="str">
        <f>_xlfn.IFNA(SQRT((VLOOKUP(U$1,DATA!$A$3:$F$301,2,FALSE)-VLOOKUP($A72,DATA!$A$3:$F$301,2,FALSE))^2+(VLOOKUP(U$1,DATA!$A$3:$F$301,3,FALSE)-VLOOKUP($A72,DATA!$A$3:$F$301,3,FALSE))^2),"")</f>
        <v/>
      </c>
      <c r="V72" s="14" t="str">
        <f>_xlfn.IFNA(SQRT((VLOOKUP(V$1,DATA!$A$3:$F$301,2,FALSE)-VLOOKUP($A72,DATA!$A$3:$F$301,2,FALSE))^2+(VLOOKUP(V$1,DATA!$A$3:$F$301,3,FALSE)-VLOOKUP($A72,DATA!$A$3:$F$301,3,FALSE))^2),"")</f>
        <v/>
      </c>
      <c r="W72" s="14" t="str">
        <f>_xlfn.IFNA(SQRT((VLOOKUP(W$1,DATA!$A$3:$F$301,2,FALSE)-VLOOKUP($A72,DATA!$A$3:$F$301,2,FALSE))^2+(VLOOKUP(W$1,DATA!$A$3:$F$301,3,FALSE)-VLOOKUP($A72,DATA!$A$3:$F$301,3,FALSE))^2),"")</f>
        <v/>
      </c>
      <c r="X72" s="14" t="str">
        <f>_xlfn.IFNA(SQRT((VLOOKUP(X$1,DATA!$A$3:$F$301,2,FALSE)-VLOOKUP($A72,DATA!$A$3:$F$301,2,FALSE))^2+(VLOOKUP(X$1,DATA!$A$3:$F$301,3,FALSE)-VLOOKUP($A72,DATA!$A$3:$F$301,3,FALSE))^2),"")</f>
        <v/>
      </c>
      <c r="Y72" s="14" t="str">
        <f>_xlfn.IFNA(SQRT((VLOOKUP(Y$1,DATA!$A$3:$F$301,2,FALSE)-VLOOKUP($A72,DATA!$A$3:$F$301,2,FALSE))^2+(VLOOKUP(Y$1,DATA!$A$3:$F$301,3,FALSE)-VLOOKUP($A72,DATA!$A$3:$F$301,3,FALSE))^2),"")</f>
        <v/>
      </c>
      <c r="Z72" s="14" t="str">
        <f>_xlfn.IFNA(SQRT((VLOOKUP(Z$1,DATA!$A$3:$F$301,2,FALSE)-VLOOKUP($A72,DATA!$A$3:$F$301,2,FALSE))^2+(VLOOKUP(Z$1,DATA!$A$3:$F$301,3,FALSE)-VLOOKUP($A72,DATA!$A$3:$F$301,3,FALSE))^2),"")</f>
        <v/>
      </c>
      <c r="AA72" s="14" t="str">
        <f>_xlfn.IFNA(SQRT((VLOOKUP(AA$1,DATA!$A$3:$F$301,2,FALSE)-VLOOKUP($A72,DATA!$A$3:$F$301,2,FALSE))^2+(VLOOKUP(AA$1,DATA!$A$3:$F$301,3,FALSE)-VLOOKUP($A72,DATA!$A$3:$F$301,3,FALSE))^2),"")</f>
        <v/>
      </c>
      <c r="AB72" s="14" t="str">
        <f>_xlfn.IFNA(SQRT((VLOOKUP(AB$1,DATA!$A$3:$F$301,2,FALSE)-VLOOKUP($A72,DATA!$A$3:$F$301,2,FALSE))^2+(VLOOKUP(AB$1,DATA!$A$3:$F$301,3,FALSE)-VLOOKUP($A72,DATA!$A$3:$F$301,3,FALSE))^2),"")</f>
        <v/>
      </c>
      <c r="AC72" s="14" t="str">
        <f>_xlfn.IFNA(SQRT((VLOOKUP(AC$1,DATA!$A$3:$F$301,2,FALSE)-VLOOKUP($A72,DATA!$A$3:$F$301,2,FALSE))^2+(VLOOKUP(AC$1,DATA!$A$3:$F$301,3,FALSE)-VLOOKUP($A72,DATA!$A$3:$F$301,3,FALSE))^2),"")</f>
        <v/>
      </c>
      <c r="AD72" s="14" t="str">
        <f>_xlfn.IFNA(SQRT((VLOOKUP(AD$1,DATA!$A$3:$F$301,2,FALSE)-VLOOKUP($A72,DATA!$A$3:$F$301,2,FALSE))^2+(VLOOKUP(AD$1,DATA!$A$3:$F$301,3,FALSE)-VLOOKUP($A72,DATA!$A$3:$F$301,3,FALSE))^2),"")</f>
        <v/>
      </c>
      <c r="AE72" s="14" t="str">
        <f>_xlfn.IFNA(SQRT((VLOOKUP(AE$1,DATA!$A$3:$F$301,2,FALSE)-VLOOKUP($A72,DATA!$A$3:$F$301,2,FALSE))^2+(VLOOKUP(AE$1,DATA!$A$3:$F$301,3,FALSE)-VLOOKUP($A72,DATA!$A$3:$F$301,3,FALSE))^2),"")</f>
        <v/>
      </c>
      <c r="AF72" s="14" t="str">
        <f>_xlfn.IFNA(SQRT((VLOOKUP(AF$1,DATA!$A$3:$F$301,2,FALSE)-VLOOKUP($A72,DATA!$A$3:$F$301,2,FALSE))^2+(VLOOKUP(AF$1,DATA!$A$3:$F$301,3,FALSE)-VLOOKUP($A72,DATA!$A$3:$F$301,3,FALSE))^2),"")</f>
        <v/>
      </c>
      <c r="AG72" s="14" t="str">
        <f>_xlfn.IFNA(SQRT((VLOOKUP(AG$1,DATA!$A$3:$F$301,2,FALSE)-VLOOKUP($A72,DATA!$A$3:$F$301,2,FALSE))^2+(VLOOKUP(AG$1,DATA!$A$3:$F$301,3,FALSE)-VLOOKUP($A72,DATA!$A$3:$F$301,3,FALSE))^2),"")</f>
        <v/>
      </c>
      <c r="AH72" s="14" t="str">
        <f>_xlfn.IFNA(SQRT((VLOOKUP(AH$1,DATA!$A$3:$F$301,2,FALSE)-VLOOKUP($A72,DATA!$A$3:$F$301,2,FALSE))^2+(VLOOKUP(AH$1,DATA!$A$3:$F$301,3,FALSE)-VLOOKUP($A72,DATA!$A$3:$F$301,3,FALSE))^2),"")</f>
        <v/>
      </c>
      <c r="AI72" s="14" t="str">
        <f>_xlfn.IFNA(SQRT((VLOOKUP(AI$1,DATA!$A$3:$F$301,2,FALSE)-VLOOKUP($A72,DATA!$A$3:$F$301,2,FALSE))^2+(VLOOKUP(AI$1,DATA!$A$3:$F$301,3,FALSE)-VLOOKUP($A72,DATA!$A$3:$F$301,3,FALSE))^2),"")</f>
        <v/>
      </c>
      <c r="AJ72" s="14" t="str">
        <f>_xlfn.IFNA(SQRT((VLOOKUP(AJ$1,DATA!$A$3:$F$301,2,FALSE)-VLOOKUP($A72,DATA!$A$3:$F$301,2,FALSE))^2+(VLOOKUP(AJ$1,DATA!$A$3:$F$301,3,FALSE)-VLOOKUP($A72,DATA!$A$3:$F$301,3,FALSE))^2),"")</f>
        <v/>
      </c>
      <c r="AK72" s="14" t="str">
        <f>_xlfn.IFNA(SQRT((VLOOKUP(AK$1,DATA!$A$3:$F$301,2,FALSE)-VLOOKUP($A72,DATA!$A$3:$F$301,2,FALSE))^2+(VLOOKUP(AK$1,DATA!$A$3:$F$301,3,FALSE)-VLOOKUP($A72,DATA!$A$3:$F$301,3,FALSE))^2),"")</f>
        <v/>
      </c>
      <c r="AL72" s="14" t="str">
        <f>_xlfn.IFNA(SQRT((VLOOKUP(AL$1,DATA!$A$3:$F$301,2,FALSE)-VLOOKUP($A72,DATA!$A$3:$F$301,2,FALSE))^2+(VLOOKUP(AL$1,DATA!$A$3:$F$301,3,FALSE)-VLOOKUP($A72,DATA!$A$3:$F$301,3,FALSE))^2),"")</f>
        <v/>
      </c>
      <c r="AM72" s="14" t="str">
        <f>_xlfn.IFNA(SQRT((VLOOKUP(AM$1,DATA!$A$3:$F$301,2,FALSE)-VLOOKUP($A72,DATA!$A$3:$F$301,2,FALSE))^2+(VLOOKUP(AM$1,DATA!$A$3:$F$301,3,FALSE)-VLOOKUP($A72,DATA!$A$3:$F$301,3,FALSE))^2),"")</f>
        <v/>
      </c>
      <c r="AN72" s="14" t="str">
        <f>_xlfn.IFNA(SQRT((VLOOKUP(AN$1,DATA!$A$3:$F$301,2,FALSE)-VLOOKUP($A72,DATA!$A$3:$F$301,2,FALSE))^2+(VLOOKUP(AN$1,DATA!$A$3:$F$301,3,FALSE)-VLOOKUP($A72,DATA!$A$3:$F$301,3,FALSE))^2),"")</f>
        <v/>
      </c>
      <c r="AO72" s="14" t="str">
        <f>_xlfn.IFNA(SQRT((VLOOKUP(AO$1,DATA!$A$3:$F$301,2,FALSE)-VLOOKUP($A72,DATA!$A$3:$F$301,2,FALSE))^2+(VLOOKUP(AO$1,DATA!$A$3:$F$301,3,FALSE)-VLOOKUP($A72,DATA!$A$3:$F$301,3,FALSE))^2),"")</f>
        <v/>
      </c>
      <c r="AP72" s="14" t="str">
        <f>_xlfn.IFNA(SQRT((VLOOKUP(AP$1,DATA!$A$3:$F$301,2,FALSE)-VLOOKUP($A72,DATA!$A$3:$F$301,2,FALSE))^2+(VLOOKUP(AP$1,DATA!$A$3:$F$301,3,FALSE)-VLOOKUP($A72,DATA!$A$3:$F$301,3,FALSE))^2),"")</f>
        <v/>
      </c>
      <c r="AQ72" s="14" t="str">
        <f>_xlfn.IFNA(SQRT((VLOOKUP(AQ$1,DATA!$A$3:$F$301,2,FALSE)-VLOOKUP($A72,DATA!$A$3:$F$301,2,FALSE))^2+(VLOOKUP(AQ$1,DATA!$A$3:$F$301,3,FALSE)-VLOOKUP($A72,DATA!$A$3:$F$301,3,FALSE))^2),"")</f>
        <v/>
      </c>
      <c r="AR72" s="14" t="str">
        <f>_xlfn.IFNA(SQRT((VLOOKUP(AR$1,DATA!$A$3:$F$301,2,FALSE)-VLOOKUP($A72,DATA!$A$3:$F$301,2,FALSE))^2+(VLOOKUP(AR$1,DATA!$A$3:$F$301,3,FALSE)-VLOOKUP($A72,DATA!$A$3:$F$301,3,FALSE))^2),"")</f>
        <v/>
      </c>
      <c r="AS72" s="14" t="str">
        <f>_xlfn.IFNA(SQRT((VLOOKUP(AS$1,DATA!$A$3:$F$301,2,FALSE)-VLOOKUP($A72,DATA!$A$3:$F$301,2,FALSE))^2+(VLOOKUP(AS$1,DATA!$A$3:$F$301,3,FALSE)-VLOOKUP($A72,DATA!$A$3:$F$301,3,FALSE))^2),"")</f>
        <v/>
      </c>
      <c r="AT72" s="14" t="str">
        <f>_xlfn.IFNA(SQRT((VLOOKUP(AT$1,DATA!$A$3:$F$301,2,FALSE)-VLOOKUP($A72,DATA!$A$3:$F$301,2,FALSE))^2+(VLOOKUP(AT$1,DATA!$A$3:$F$301,3,FALSE)-VLOOKUP($A72,DATA!$A$3:$F$301,3,FALSE))^2),"")</f>
        <v/>
      </c>
      <c r="AU72" s="14" t="str">
        <f>_xlfn.IFNA(SQRT((VLOOKUP(AU$1,DATA!$A$3:$F$301,2,FALSE)-VLOOKUP($A72,DATA!$A$3:$F$301,2,FALSE))^2+(VLOOKUP(AU$1,DATA!$A$3:$F$301,3,FALSE)-VLOOKUP($A72,DATA!$A$3:$F$301,3,FALSE))^2),"")</f>
        <v/>
      </c>
      <c r="AV72" s="14" t="str">
        <f>_xlfn.IFNA(SQRT((VLOOKUP(AV$1,DATA!$A$3:$F$301,2,FALSE)-VLOOKUP($A72,DATA!$A$3:$F$301,2,FALSE))^2+(VLOOKUP(AV$1,DATA!$A$3:$F$301,3,FALSE)-VLOOKUP($A72,DATA!$A$3:$F$301,3,FALSE))^2),"")</f>
        <v/>
      </c>
      <c r="AW72" s="14" t="str">
        <f>_xlfn.IFNA(SQRT((VLOOKUP(AW$1,DATA!$A$3:$F$301,2,FALSE)-VLOOKUP($A72,DATA!$A$3:$F$301,2,FALSE))^2+(VLOOKUP(AW$1,DATA!$A$3:$F$301,3,FALSE)-VLOOKUP($A72,DATA!$A$3:$F$301,3,FALSE))^2),"")</f>
        <v/>
      </c>
      <c r="AX72" s="14" t="str">
        <f>_xlfn.IFNA(SQRT((VLOOKUP(AX$1,DATA!$A$3:$F$301,2,FALSE)-VLOOKUP($A72,DATA!$A$3:$F$301,2,FALSE))^2+(VLOOKUP(AX$1,DATA!$A$3:$F$301,3,FALSE)-VLOOKUP($A72,DATA!$A$3:$F$301,3,FALSE))^2),"")</f>
        <v/>
      </c>
      <c r="AY72" s="14" t="str">
        <f>_xlfn.IFNA(SQRT((VLOOKUP(AY$1,DATA!$A$3:$F$301,2,FALSE)-VLOOKUP($A72,DATA!$A$3:$F$301,2,FALSE))^2+(VLOOKUP(AY$1,DATA!$A$3:$F$301,3,FALSE)-VLOOKUP($A72,DATA!$A$3:$F$301,3,FALSE))^2),"")</f>
        <v/>
      </c>
      <c r="AZ72" s="14" t="str">
        <f>_xlfn.IFNA(SQRT((VLOOKUP(AZ$1,DATA!$A$3:$F$301,2,FALSE)-VLOOKUP($A72,DATA!$A$3:$F$301,2,FALSE))^2+(VLOOKUP(AZ$1,DATA!$A$3:$F$301,3,FALSE)-VLOOKUP($A72,DATA!$A$3:$F$301,3,FALSE))^2),"")</f>
        <v/>
      </c>
      <c r="BA72" s="14" t="str">
        <f>_xlfn.IFNA(SQRT((VLOOKUP(BA$1,DATA!$A$3:$F$301,2,FALSE)-VLOOKUP($A72,DATA!$A$3:$F$301,2,FALSE))^2+(VLOOKUP(BA$1,DATA!$A$3:$F$301,3,FALSE)-VLOOKUP($A72,DATA!$A$3:$F$301,3,FALSE))^2),"")</f>
        <v/>
      </c>
      <c r="BB72" s="14" t="str">
        <f>_xlfn.IFNA(SQRT((VLOOKUP(BB$1,DATA!$A$3:$F$301,2,FALSE)-VLOOKUP($A72,DATA!$A$3:$F$301,2,FALSE))^2+(VLOOKUP(BB$1,DATA!$A$3:$F$301,3,FALSE)-VLOOKUP($A72,DATA!$A$3:$F$301,3,FALSE))^2),"")</f>
        <v/>
      </c>
      <c r="BC72" s="14" t="str">
        <f>_xlfn.IFNA(SQRT((VLOOKUP(BC$1,DATA!$A$3:$F$301,2,FALSE)-VLOOKUP($A72,DATA!$A$3:$F$301,2,FALSE))^2+(VLOOKUP(BC$1,DATA!$A$3:$F$301,3,FALSE)-VLOOKUP($A72,DATA!$A$3:$F$301,3,FALSE))^2),"")</f>
        <v/>
      </c>
      <c r="BD72" s="14" t="str">
        <f>_xlfn.IFNA(SQRT((VLOOKUP(BD$1,DATA!$A$3:$F$301,2,FALSE)-VLOOKUP($A72,DATA!$A$3:$F$301,2,FALSE))^2+(VLOOKUP(BD$1,DATA!$A$3:$F$301,3,FALSE)-VLOOKUP($A72,DATA!$A$3:$F$301,3,FALSE))^2),"")</f>
        <v/>
      </c>
      <c r="BE72" s="14" t="str">
        <f>_xlfn.IFNA(SQRT((VLOOKUP(BE$1,DATA!$A$3:$F$301,2,FALSE)-VLOOKUP($A72,DATA!$A$3:$F$301,2,FALSE))^2+(VLOOKUP(BE$1,DATA!$A$3:$F$301,3,FALSE)-VLOOKUP($A72,DATA!$A$3:$F$301,3,FALSE))^2),"")</f>
        <v/>
      </c>
      <c r="BF72" s="14" t="str">
        <f>_xlfn.IFNA(SQRT((VLOOKUP(BF$1,DATA!$A$3:$F$301,2,FALSE)-VLOOKUP($A72,DATA!$A$3:$F$301,2,FALSE))^2+(VLOOKUP(BF$1,DATA!$A$3:$F$301,3,FALSE)-VLOOKUP($A72,DATA!$A$3:$F$301,3,FALSE))^2),"")</f>
        <v/>
      </c>
      <c r="BG72" s="14" t="str">
        <f>_xlfn.IFNA(SQRT((VLOOKUP(BG$1,DATA!$A$3:$F$301,2,FALSE)-VLOOKUP($A72,DATA!$A$3:$F$301,2,FALSE))^2+(VLOOKUP(BG$1,DATA!$A$3:$F$301,3,FALSE)-VLOOKUP($A72,DATA!$A$3:$F$301,3,FALSE))^2),"")</f>
        <v/>
      </c>
      <c r="BH72" s="14" t="str">
        <f>_xlfn.IFNA(SQRT((VLOOKUP(BH$1,DATA!$A$3:$F$301,2,FALSE)-VLOOKUP($A72,DATA!$A$3:$F$301,2,FALSE))^2+(VLOOKUP(BH$1,DATA!$A$3:$F$301,3,FALSE)-VLOOKUP($A72,DATA!$A$3:$F$301,3,FALSE))^2),"")</f>
        <v/>
      </c>
      <c r="BI72" s="14" t="str">
        <f>_xlfn.IFNA(SQRT((VLOOKUP(BI$1,DATA!$A$3:$F$301,2,FALSE)-VLOOKUP($A72,DATA!$A$3:$F$301,2,FALSE))^2+(VLOOKUP(BI$1,DATA!$A$3:$F$301,3,FALSE)-VLOOKUP($A72,DATA!$A$3:$F$301,3,FALSE))^2),"")</f>
        <v/>
      </c>
      <c r="BJ72" s="14" t="str">
        <f>_xlfn.IFNA(SQRT((VLOOKUP(BJ$1,DATA!$A$3:$F$301,2,FALSE)-VLOOKUP($A72,DATA!$A$3:$F$301,2,FALSE))^2+(VLOOKUP(BJ$1,DATA!$A$3:$F$301,3,FALSE)-VLOOKUP($A72,DATA!$A$3:$F$301,3,FALSE))^2),"")</f>
        <v/>
      </c>
      <c r="BK72" s="14" t="str">
        <f>_xlfn.IFNA(SQRT((VLOOKUP(BK$1,DATA!$A$3:$F$301,2,FALSE)-VLOOKUP($A72,DATA!$A$3:$F$301,2,FALSE))^2+(VLOOKUP(BK$1,DATA!$A$3:$F$301,3,FALSE)-VLOOKUP($A72,DATA!$A$3:$F$301,3,FALSE))^2),"")</f>
        <v/>
      </c>
      <c r="BL72" s="14" t="str">
        <f>_xlfn.IFNA(SQRT((VLOOKUP(BL$1,DATA!$A$3:$F$301,2,FALSE)-VLOOKUP($A72,DATA!$A$3:$F$301,2,FALSE))^2+(VLOOKUP(BL$1,DATA!$A$3:$F$301,3,FALSE)-VLOOKUP($A72,DATA!$A$3:$F$301,3,FALSE))^2),"")</f>
        <v/>
      </c>
      <c r="BM72" s="14" t="str">
        <f>_xlfn.IFNA(SQRT((VLOOKUP(BM$1,DATA!$A$3:$F$301,2,FALSE)-VLOOKUP($A72,DATA!$A$3:$F$301,2,FALSE))^2+(VLOOKUP(BM$1,DATA!$A$3:$F$301,3,FALSE)-VLOOKUP($A72,DATA!$A$3:$F$301,3,FALSE))^2),"")</f>
        <v/>
      </c>
      <c r="BN72" s="14" t="str">
        <f>_xlfn.IFNA(SQRT((VLOOKUP(BN$1,DATA!$A$3:$F$301,2,FALSE)-VLOOKUP($A72,DATA!$A$3:$F$301,2,FALSE))^2+(VLOOKUP(BN$1,DATA!$A$3:$F$301,3,FALSE)-VLOOKUP($A72,DATA!$A$3:$F$301,3,FALSE))^2),"")</f>
        <v/>
      </c>
      <c r="BO72" s="14" t="str">
        <f>_xlfn.IFNA(SQRT((VLOOKUP(BO$1,DATA!$A$3:$F$301,2,FALSE)-VLOOKUP($A72,DATA!$A$3:$F$301,2,FALSE))^2+(VLOOKUP(BO$1,DATA!$A$3:$F$301,3,FALSE)-VLOOKUP($A72,DATA!$A$3:$F$301,3,FALSE))^2),"")</f>
        <v/>
      </c>
      <c r="BP72" s="14" t="str">
        <f>_xlfn.IFNA(SQRT((VLOOKUP(BP$1,DATA!$A$3:$F$301,2,FALSE)-VLOOKUP($A72,DATA!$A$3:$F$301,2,FALSE))^2+(VLOOKUP(BP$1,DATA!$A$3:$F$301,3,FALSE)-VLOOKUP($A72,DATA!$A$3:$F$301,3,FALSE))^2),"")</f>
        <v/>
      </c>
      <c r="BQ72" s="14" t="str">
        <f>_xlfn.IFNA(SQRT((VLOOKUP(BQ$1,DATA!$A$3:$F$301,2,FALSE)-VLOOKUP($A72,DATA!$A$3:$F$301,2,FALSE))^2+(VLOOKUP(BQ$1,DATA!$A$3:$F$301,3,FALSE)-VLOOKUP($A72,DATA!$A$3:$F$301,3,FALSE))^2),"")</f>
        <v/>
      </c>
      <c r="BR72" s="14" t="str">
        <f>_xlfn.IFNA(SQRT((VLOOKUP(BR$1,DATA!$A$3:$F$301,2,FALSE)-VLOOKUP($A72,DATA!$A$3:$F$301,2,FALSE))^2+(VLOOKUP(BR$1,DATA!$A$3:$F$301,3,FALSE)-VLOOKUP($A72,DATA!$A$3:$F$301,3,FALSE))^2),"")</f>
        <v/>
      </c>
      <c r="BS72" s="14" t="str">
        <f>_xlfn.IFNA(SQRT((VLOOKUP(BS$1,DATA!$A$3:$F$301,2,FALSE)-VLOOKUP($A72,DATA!$A$3:$F$301,2,FALSE))^2+(VLOOKUP(BS$1,DATA!$A$3:$F$301,3,FALSE)-VLOOKUP($A72,DATA!$A$3:$F$301,3,FALSE))^2),"")</f>
        <v/>
      </c>
      <c r="BT72" s="14" t="str">
        <f>_xlfn.IFNA(SQRT((VLOOKUP(BT$1,DATA!$A$3:$F$301,2,FALSE)-VLOOKUP($A72,DATA!$A$3:$F$301,2,FALSE))^2+(VLOOKUP(BT$1,DATA!$A$3:$F$301,3,FALSE)-VLOOKUP($A72,DATA!$A$3:$F$301,3,FALSE))^2),"")</f>
        <v/>
      </c>
      <c r="BU72" s="14" t="str">
        <f>_xlfn.IFNA(SQRT((VLOOKUP(BU$1,DATA!$A$3:$F$301,2,FALSE)-VLOOKUP($A72,DATA!$A$3:$F$301,2,FALSE))^2+(VLOOKUP(BU$1,DATA!$A$3:$F$301,3,FALSE)-VLOOKUP($A72,DATA!$A$3:$F$301,3,FALSE))^2),"")</f>
        <v/>
      </c>
      <c r="BV72" s="14" t="str">
        <f>_xlfn.IFNA(SQRT((VLOOKUP(BV$1,DATA!$A$3:$F$301,2,FALSE)-VLOOKUP($A72,DATA!$A$3:$F$301,2,FALSE))^2+(VLOOKUP(BV$1,DATA!$A$3:$F$301,3,FALSE)-VLOOKUP($A72,DATA!$A$3:$F$301,3,FALSE))^2),"")</f>
        <v/>
      </c>
      <c r="BW72" s="14" t="str">
        <f>_xlfn.IFNA(SQRT((VLOOKUP(BW$1,DATA!$A$3:$F$301,2,FALSE)-VLOOKUP($A72,DATA!$A$3:$F$301,2,FALSE))^2+(VLOOKUP(BW$1,DATA!$A$3:$F$301,3,FALSE)-VLOOKUP($A72,DATA!$A$3:$F$301,3,FALSE))^2),"")</f>
        <v/>
      </c>
      <c r="BX72" s="14" t="str">
        <f>_xlfn.IFNA(SQRT((VLOOKUP(BX$1,DATA!$A$3:$F$301,2,FALSE)-VLOOKUP($A72,DATA!$A$3:$F$301,2,FALSE))^2+(VLOOKUP(BX$1,DATA!$A$3:$F$301,3,FALSE)-VLOOKUP($A72,DATA!$A$3:$F$301,3,FALSE))^2),"")</f>
        <v/>
      </c>
      <c r="BY72" s="14" t="str">
        <f>_xlfn.IFNA(SQRT((VLOOKUP(BY$1,DATA!$A$3:$F$301,2,FALSE)-VLOOKUP($A72,DATA!$A$3:$F$301,2,FALSE))^2+(VLOOKUP(BY$1,DATA!$A$3:$F$301,3,FALSE)-VLOOKUP($A72,DATA!$A$3:$F$301,3,FALSE))^2),"")</f>
        <v/>
      </c>
      <c r="BZ72" s="14" t="str">
        <f>_xlfn.IFNA(SQRT((VLOOKUP(BZ$1,DATA!$A$3:$F$301,2,FALSE)-VLOOKUP($A72,DATA!$A$3:$F$301,2,FALSE))^2+(VLOOKUP(BZ$1,DATA!$A$3:$F$301,3,FALSE)-VLOOKUP($A72,DATA!$A$3:$F$301,3,FALSE))^2),"")</f>
        <v/>
      </c>
      <c r="CA72" s="14" t="str">
        <f>_xlfn.IFNA(SQRT((VLOOKUP(CA$1,DATA!$A$3:$F$301,2,FALSE)-VLOOKUP($A72,DATA!$A$3:$F$301,2,FALSE))^2+(VLOOKUP(CA$1,DATA!$A$3:$F$301,3,FALSE)-VLOOKUP($A72,DATA!$A$3:$F$301,3,FALSE))^2),"")</f>
        <v/>
      </c>
      <c r="CB72" s="14" t="str">
        <f>_xlfn.IFNA(SQRT((VLOOKUP(CB$1,DATA!$A$3:$F$301,2,FALSE)-VLOOKUP($A72,DATA!$A$3:$F$301,2,FALSE))^2+(VLOOKUP(CB$1,DATA!$A$3:$F$301,3,FALSE)-VLOOKUP($A72,DATA!$A$3:$F$301,3,FALSE))^2),"")</f>
        <v/>
      </c>
      <c r="CC72" s="14" t="str">
        <f>_xlfn.IFNA(SQRT((VLOOKUP(CC$1,DATA!$A$3:$F$301,2,FALSE)-VLOOKUP($A72,DATA!$A$3:$F$301,2,FALSE))^2+(VLOOKUP(CC$1,DATA!$A$3:$F$301,3,FALSE)-VLOOKUP($A72,DATA!$A$3:$F$301,3,FALSE))^2),"")</f>
        <v/>
      </c>
      <c r="CD72" s="14" t="str">
        <f>_xlfn.IFNA(SQRT((VLOOKUP(CD$1,DATA!$A$3:$F$301,2,FALSE)-VLOOKUP($A72,DATA!$A$3:$F$301,2,FALSE))^2+(VLOOKUP(CD$1,DATA!$A$3:$F$301,3,FALSE)-VLOOKUP($A72,DATA!$A$3:$F$301,3,FALSE))^2),"")</f>
        <v/>
      </c>
      <c r="CE72" s="14" t="str">
        <f>_xlfn.IFNA(SQRT((VLOOKUP(CE$1,DATA!$A$3:$F$301,2,FALSE)-VLOOKUP($A72,DATA!$A$3:$F$301,2,FALSE))^2+(VLOOKUP(CE$1,DATA!$A$3:$F$301,3,FALSE)-VLOOKUP($A72,DATA!$A$3:$F$301,3,FALSE))^2),"")</f>
        <v/>
      </c>
      <c r="CF72" s="14" t="str">
        <f>_xlfn.IFNA(SQRT((VLOOKUP(CF$1,DATA!$A$3:$F$301,2,FALSE)-VLOOKUP($A72,DATA!$A$3:$F$301,2,FALSE))^2+(VLOOKUP(CF$1,DATA!$A$3:$F$301,3,FALSE)-VLOOKUP($A72,DATA!$A$3:$F$301,3,FALSE))^2),"")</f>
        <v/>
      </c>
      <c r="CG72" s="14" t="str">
        <f>_xlfn.IFNA(SQRT((VLOOKUP(CG$1,DATA!$A$3:$F$301,2,FALSE)-VLOOKUP($A72,DATA!$A$3:$F$301,2,FALSE))^2+(VLOOKUP(CG$1,DATA!$A$3:$F$301,3,FALSE)-VLOOKUP($A72,DATA!$A$3:$F$301,3,FALSE))^2),"")</f>
        <v/>
      </c>
      <c r="CH72" s="14" t="str">
        <f>_xlfn.IFNA(SQRT((VLOOKUP(CH$1,DATA!$A$3:$F$301,2,FALSE)-VLOOKUP($A72,DATA!$A$3:$F$301,2,FALSE))^2+(VLOOKUP(CH$1,DATA!$A$3:$F$301,3,FALSE)-VLOOKUP($A72,DATA!$A$3:$F$301,3,FALSE))^2),"")</f>
        <v/>
      </c>
      <c r="CI72" s="14" t="str">
        <f>_xlfn.IFNA(SQRT((VLOOKUP(CI$1,DATA!$A$3:$F$301,2,FALSE)-VLOOKUP($A72,DATA!$A$3:$F$301,2,FALSE))^2+(VLOOKUP(CI$1,DATA!$A$3:$F$301,3,FALSE)-VLOOKUP($A72,DATA!$A$3:$F$301,3,FALSE))^2),"")</f>
        <v/>
      </c>
      <c r="CJ72" s="14" t="str">
        <f>_xlfn.IFNA(SQRT((VLOOKUP(CJ$1,DATA!$A$3:$F$301,2,FALSE)-VLOOKUP($A72,DATA!$A$3:$F$301,2,FALSE))^2+(VLOOKUP(CJ$1,DATA!$A$3:$F$301,3,FALSE)-VLOOKUP($A72,DATA!$A$3:$F$301,3,FALSE))^2),"")</f>
        <v/>
      </c>
      <c r="CK72" s="14" t="str">
        <f>_xlfn.IFNA(SQRT((VLOOKUP(CK$1,DATA!$A$3:$F$301,2,FALSE)-VLOOKUP($A72,DATA!$A$3:$F$301,2,FALSE))^2+(VLOOKUP(CK$1,DATA!$A$3:$F$301,3,FALSE)-VLOOKUP($A72,DATA!$A$3:$F$301,3,FALSE))^2),"")</f>
        <v/>
      </c>
      <c r="CL72" s="14" t="str">
        <f>_xlfn.IFNA(SQRT((VLOOKUP(CL$1,DATA!$A$3:$F$301,2,FALSE)-VLOOKUP($A72,DATA!$A$3:$F$301,2,FALSE))^2+(VLOOKUP(CL$1,DATA!$A$3:$F$301,3,FALSE)-VLOOKUP($A72,DATA!$A$3:$F$301,3,FALSE))^2),"")</f>
        <v/>
      </c>
      <c r="CM72" s="14" t="str">
        <f>_xlfn.IFNA(SQRT((VLOOKUP(CM$1,DATA!$A$3:$F$301,2,FALSE)-VLOOKUP($A72,DATA!$A$3:$F$301,2,FALSE))^2+(VLOOKUP(CM$1,DATA!$A$3:$F$301,3,FALSE)-VLOOKUP($A72,DATA!$A$3:$F$301,3,FALSE))^2),"")</f>
        <v/>
      </c>
      <c r="CN72" s="14" t="str">
        <f>_xlfn.IFNA(SQRT((VLOOKUP(CN$1,DATA!$A$3:$F$301,2,FALSE)-VLOOKUP($A72,DATA!$A$3:$F$301,2,FALSE))^2+(VLOOKUP(CN$1,DATA!$A$3:$F$301,3,FALSE)-VLOOKUP($A72,DATA!$A$3:$F$301,3,FALSE))^2),"")</f>
        <v/>
      </c>
      <c r="CO72" s="14" t="str">
        <f>_xlfn.IFNA(SQRT((VLOOKUP(CO$1,DATA!$A$3:$F$301,2,FALSE)-VLOOKUP($A72,DATA!$A$3:$F$301,2,FALSE))^2+(VLOOKUP(CO$1,DATA!$A$3:$F$301,3,FALSE)-VLOOKUP($A72,DATA!$A$3:$F$301,3,FALSE))^2),"")</f>
        <v/>
      </c>
      <c r="CP72" s="14" t="str">
        <f>_xlfn.IFNA(SQRT((VLOOKUP(CP$1,DATA!$A$3:$F$301,2,FALSE)-VLOOKUP($A72,DATA!$A$3:$F$301,2,FALSE))^2+(VLOOKUP(CP$1,DATA!$A$3:$F$301,3,FALSE)-VLOOKUP($A72,DATA!$A$3:$F$301,3,FALSE))^2),"")</f>
        <v/>
      </c>
      <c r="CQ72" s="14" t="str">
        <f>_xlfn.IFNA(SQRT((VLOOKUP(CQ$1,DATA!$A$3:$F$301,2,FALSE)-VLOOKUP($A72,DATA!$A$3:$F$301,2,FALSE))^2+(VLOOKUP(CQ$1,DATA!$A$3:$F$301,3,FALSE)-VLOOKUP($A72,DATA!$A$3:$F$301,3,FALSE))^2),"")</f>
        <v/>
      </c>
      <c r="CR72" s="14" t="str">
        <f>_xlfn.IFNA(SQRT((VLOOKUP(CR$1,DATA!$A$3:$F$301,2,FALSE)-VLOOKUP($A72,DATA!$A$3:$F$301,2,FALSE))^2+(VLOOKUP(CR$1,DATA!$A$3:$F$301,3,FALSE)-VLOOKUP($A72,DATA!$A$3:$F$301,3,FALSE))^2),"")</f>
        <v/>
      </c>
      <c r="CS72" s="14" t="str">
        <f>_xlfn.IFNA(SQRT((VLOOKUP(CS$1,DATA!$A$3:$F$301,2,FALSE)-VLOOKUP($A72,DATA!$A$3:$F$301,2,FALSE))^2+(VLOOKUP(CS$1,DATA!$A$3:$F$301,3,FALSE)-VLOOKUP($A72,DATA!$A$3:$F$301,3,FALSE))^2),"")</f>
        <v/>
      </c>
      <c r="CT72" s="14" t="str">
        <f>_xlfn.IFNA(SQRT((VLOOKUP(CT$1,DATA!$A$3:$F$301,2,FALSE)-VLOOKUP($A72,DATA!$A$3:$F$301,2,FALSE))^2+(VLOOKUP(CT$1,DATA!$A$3:$F$301,3,FALSE)-VLOOKUP($A72,DATA!$A$3:$F$301,3,FALSE))^2),"")</f>
        <v/>
      </c>
      <c r="CU72" s="14" t="str">
        <f>_xlfn.IFNA(SQRT((VLOOKUP(CU$1,DATA!$A$3:$F$301,2,FALSE)-VLOOKUP($A72,DATA!$A$3:$F$301,2,FALSE))^2+(VLOOKUP(CU$1,DATA!$A$3:$F$301,3,FALSE)-VLOOKUP($A72,DATA!$A$3:$F$301,3,FALSE))^2),"")</f>
        <v/>
      </c>
      <c r="CV72" s="14" t="str">
        <f>_xlfn.IFNA(SQRT((VLOOKUP(CV$1,DATA!$A$3:$F$301,2,FALSE)-VLOOKUP($A72,DATA!$A$3:$F$301,2,FALSE))^2+(VLOOKUP(CV$1,DATA!$A$3:$F$301,3,FALSE)-VLOOKUP($A72,DATA!$A$3:$F$301,3,FALSE))^2),"")</f>
        <v/>
      </c>
      <c r="CW72" s="14" t="str">
        <f>_xlfn.IFNA(SQRT((VLOOKUP(CW$1,DATA!$A$3:$F$301,2,FALSE)-VLOOKUP($A72,DATA!$A$3:$F$301,2,FALSE))^2+(VLOOKUP(CW$1,DATA!$A$3:$F$301,3,FALSE)-VLOOKUP($A72,DATA!$A$3:$F$301,3,FALSE))^2),"")</f>
        <v/>
      </c>
      <c r="CX72" s="14" t="str">
        <f>_xlfn.IFNA(SQRT((VLOOKUP(CX$1,DATA!$A$3:$F$301,2,FALSE)-VLOOKUP($A72,DATA!$A$3:$F$301,2,FALSE))^2+(VLOOKUP(CX$1,DATA!$A$3:$F$301,3,FALSE)-VLOOKUP($A72,DATA!$A$3:$F$301,3,FALSE))^2),"")</f>
        <v/>
      </c>
    </row>
    <row r="73" spans="1:102">
      <c r="A73" s="13">
        <v>72</v>
      </c>
      <c r="B73" s="14" t="str">
        <f>_xlfn.IFNA(SQRT((VLOOKUP(B$1,DATA!$A$3:$F$301,2,FALSE)-VLOOKUP($A73,DATA!$A$3:$F$301,2,FALSE))^2+(VLOOKUP(B$1,DATA!$A$3:$F$301,3,FALSE)-VLOOKUP($A73,DATA!$A$3:$F$301,3,FALSE))^2),"")</f>
        <v/>
      </c>
      <c r="C73" s="14" t="str">
        <f>_xlfn.IFNA(SQRT((VLOOKUP(C$1,DATA!$A$3:$F$301,2,FALSE)-VLOOKUP($A73,DATA!$A$3:$F$301,2,FALSE))^2+(VLOOKUP(C$1,DATA!$A$3:$F$301,3,FALSE)-VLOOKUP($A73,DATA!$A$3:$F$301,3,FALSE))^2),"")</f>
        <v/>
      </c>
      <c r="D73" s="14" t="str">
        <f>_xlfn.IFNA(SQRT((VLOOKUP(D$1,DATA!$A$3:$F$301,2,FALSE)-VLOOKUP($A73,DATA!$A$3:$F$301,2,FALSE))^2+(VLOOKUP(D$1,DATA!$A$3:$F$301,3,FALSE)-VLOOKUP($A73,DATA!$A$3:$F$301,3,FALSE))^2),"")</f>
        <v/>
      </c>
      <c r="E73" s="14" t="str">
        <f>_xlfn.IFNA(SQRT((VLOOKUP(E$1,DATA!$A$3:$F$301,2,FALSE)-VLOOKUP($A73,DATA!$A$3:$F$301,2,FALSE))^2+(VLOOKUP(E$1,DATA!$A$3:$F$301,3,FALSE)-VLOOKUP($A73,DATA!$A$3:$F$301,3,FALSE))^2),"")</f>
        <v/>
      </c>
      <c r="F73" s="14" t="str">
        <f>_xlfn.IFNA(SQRT((VLOOKUP(F$1,DATA!$A$3:$F$301,2,FALSE)-VLOOKUP($A73,DATA!$A$3:$F$301,2,FALSE))^2+(VLOOKUP(F$1,DATA!$A$3:$F$301,3,FALSE)-VLOOKUP($A73,DATA!$A$3:$F$301,3,FALSE))^2),"")</f>
        <v/>
      </c>
      <c r="G73" s="14" t="str">
        <f>_xlfn.IFNA(SQRT((VLOOKUP(G$1,DATA!$A$3:$F$301,2,FALSE)-VLOOKUP($A73,DATA!$A$3:$F$301,2,FALSE))^2+(VLOOKUP(G$1,DATA!$A$3:$F$301,3,FALSE)-VLOOKUP($A73,DATA!$A$3:$F$301,3,FALSE))^2),"")</f>
        <v/>
      </c>
      <c r="H73" s="14" t="str">
        <f>_xlfn.IFNA(SQRT((VLOOKUP(H$1,DATA!$A$3:$F$301,2,FALSE)-VLOOKUP($A73,DATA!$A$3:$F$301,2,FALSE))^2+(VLOOKUP(H$1,DATA!$A$3:$F$301,3,FALSE)-VLOOKUP($A73,DATA!$A$3:$F$301,3,FALSE))^2),"")</f>
        <v/>
      </c>
      <c r="I73" s="14" t="str">
        <f>_xlfn.IFNA(SQRT((VLOOKUP(I$1,DATA!$A$3:$F$301,2,FALSE)-VLOOKUP($A73,DATA!$A$3:$F$301,2,FALSE))^2+(VLOOKUP(I$1,DATA!$A$3:$F$301,3,FALSE)-VLOOKUP($A73,DATA!$A$3:$F$301,3,FALSE))^2),"")</f>
        <v/>
      </c>
      <c r="J73" s="14" t="str">
        <f>_xlfn.IFNA(SQRT((VLOOKUP(J$1,DATA!$A$3:$F$301,2,FALSE)-VLOOKUP($A73,DATA!$A$3:$F$301,2,FALSE))^2+(VLOOKUP(J$1,DATA!$A$3:$F$301,3,FALSE)-VLOOKUP($A73,DATA!$A$3:$F$301,3,FALSE))^2),"")</f>
        <v/>
      </c>
      <c r="K73" s="14" t="str">
        <f>_xlfn.IFNA(SQRT((VLOOKUP(K$1,DATA!$A$3:$F$301,2,FALSE)-VLOOKUP($A73,DATA!$A$3:$F$301,2,FALSE))^2+(VLOOKUP(K$1,DATA!$A$3:$F$301,3,FALSE)-VLOOKUP($A73,DATA!$A$3:$F$301,3,FALSE))^2),"")</f>
        <v/>
      </c>
      <c r="L73" s="14" t="str">
        <f>_xlfn.IFNA(SQRT((VLOOKUP(L$1,DATA!$A$3:$F$301,2,FALSE)-VLOOKUP($A73,DATA!$A$3:$F$301,2,FALSE))^2+(VLOOKUP(L$1,DATA!$A$3:$F$301,3,FALSE)-VLOOKUP($A73,DATA!$A$3:$F$301,3,FALSE))^2),"")</f>
        <v/>
      </c>
      <c r="M73" s="14" t="str">
        <f>_xlfn.IFNA(SQRT((VLOOKUP(M$1,DATA!$A$3:$F$301,2,FALSE)-VLOOKUP($A73,DATA!$A$3:$F$301,2,FALSE))^2+(VLOOKUP(M$1,DATA!$A$3:$F$301,3,FALSE)-VLOOKUP($A73,DATA!$A$3:$F$301,3,FALSE))^2),"")</f>
        <v/>
      </c>
      <c r="N73" s="14" t="str">
        <f>_xlfn.IFNA(SQRT((VLOOKUP(N$1,DATA!$A$3:$F$301,2,FALSE)-VLOOKUP($A73,DATA!$A$3:$F$301,2,FALSE))^2+(VLOOKUP(N$1,DATA!$A$3:$F$301,3,FALSE)-VLOOKUP($A73,DATA!$A$3:$F$301,3,FALSE))^2),"")</f>
        <v/>
      </c>
      <c r="O73" s="14" t="str">
        <f>_xlfn.IFNA(SQRT((VLOOKUP(O$1,DATA!$A$3:$F$301,2,FALSE)-VLOOKUP($A73,DATA!$A$3:$F$301,2,FALSE))^2+(VLOOKUP(O$1,DATA!$A$3:$F$301,3,FALSE)-VLOOKUP($A73,DATA!$A$3:$F$301,3,FALSE))^2),"")</f>
        <v/>
      </c>
      <c r="P73" s="14" t="str">
        <f>_xlfn.IFNA(SQRT((VLOOKUP(P$1,DATA!$A$3:$F$301,2,FALSE)-VLOOKUP($A73,DATA!$A$3:$F$301,2,FALSE))^2+(VLOOKUP(P$1,DATA!$A$3:$F$301,3,FALSE)-VLOOKUP($A73,DATA!$A$3:$F$301,3,FALSE))^2),"")</f>
        <v/>
      </c>
      <c r="Q73" s="14" t="str">
        <f>_xlfn.IFNA(SQRT((VLOOKUP(Q$1,DATA!$A$3:$F$301,2,FALSE)-VLOOKUP($A73,DATA!$A$3:$F$301,2,FALSE))^2+(VLOOKUP(Q$1,DATA!$A$3:$F$301,3,FALSE)-VLOOKUP($A73,DATA!$A$3:$F$301,3,FALSE))^2),"")</f>
        <v/>
      </c>
      <c r="R73" s="14" t="str">
        <f>_xlfn.IFNA(SQRT((VLOOKUP(R$1,DATA!$A$3:$F$301,2,FALSE)-VLOOKUP($A73,DATA!$A$3:$F$301,2,FALSE))^2+(VLOOKUP(R$1,DATA!$A$3:$F$301,3,FALSE)-VLOOKUP($A73,DATA!$A$3:$F$301,3,FALSE))^2),"")</f>
        <v/>
      </c>
      <c r="S73" s="14" t="str">
        <f>_xlfn.IFNA(SQRT((VLOOKUP(S$1,DATA!$A$3:$F$301,2,FALSE)-VLOOKUP($A73,DATA!$A$3:$F$301,2,FALSE))^2+(VLOOKUP(S$1,DATA!$A$3:$F$301,3,FALSE)-VLOOKUP($A73,DATA!$A$3:$F$301,3,FALSE))^2),"")</f>
        <v/>
      </c>
      <c r="T73" s="14" t="str">
        <f>_xlfn.IFNA(SQRT((VLOOKUP(T$1,DATA!$A$3:$F$301,2,FALSE)-VLOOKUP($A73,DATA!$A$3:$F$301,2,FALSE))^2+(VLOOKUP(T$1,DATA!$A$3:$F$301,3,FALSE)-VLOOKUP($A73,DATA!$A$3:$F$301,3,FALSE))^2),"")</f>
        <v/>
      </c>
      <c r="U73" s="14" t="str">
        <f>_xlfn.IFNA(SQRT((VLOOKUP(U$1,DATA!$A$3:$F$301,2,FALSE)-VLOOKUP($A73,DATA!$A$3:$F$301,2,FALSE))^2+(VLOOKUP(U$1,DATA!$A$3:$F$301,3,FALSE)-VLOOKUP($A73,DATA!$A$3:$F$301,3,FALSE))^2),"")</f>
        <v/>
      </c>
      <c r="V73" s="14" t="str">
        <f>_xlfn.IFNA(SQRT((VLOOKUP(V$1,DATA!$A$3:$F$301,2,FALSE)-VLOOKUP($A73,DATA!$A$3:$F$301,2,FALSE))^2+(VLOOKUP(V$1,DATA!$A$3:$F$301,3,FALSE)-VLOOKUP($A73,DATA!$A$3:$F$301,3,FALSE))^2),"")</f>
        <v/>
      </c>
      <c r="W73" s="14" t="str">
        <f>_xlfn.IFNA(SQRT((VLOOKUP(W$1,DATA!$A$3:$F$301,2,FALSE)-VLOOKUP($A73,DATA!$A$3:$F$301,2,FALSE))^2+(VLOOKUP(W$1,DATA!$A$3:$F$301,3,FALSE)-VLOOKUP($A73,DATA!$A$3:$F$301,3,FALSE))^2),"")</f>
        <v/>
      </c>
      <c r="X73" s="14" t="str">
        <f>_xlfn.IFNA(SQRT((VLOOKUP(X$1,DATA!$A$3:$F$301,2,FALSE)-VLOOKUP($A73,DATA!$A$3:$F$301,2,FALSE))^2+(VLOOKUP(X$1,DATA!$A$3:$F$301,3,FALSE)-VLOOKUP($A73,DATA!$A$3:$F$301,3,FALSE))^2),"")</f>
        <v/>
      </c>
      <c r="Y73" s="14" t="str">
        <f>_xlfn.IFNA(SQRT((VLOOKUP(Y$1,DATA!$A$3:$F$301,2,FALSE)-VLOOKUP($A73,DATA!$A$3:$F$301,2,FALSE))^2+(VLOOKUP(Y$1,DATA!$A$3:$F$301,3,FALSE)-VLOOKUP($A73,DATA!$A$3:$F$301,3,FALSE))^2),"")</f>
        <v/>
      </c>
      <c r="Z73" s="14" t="str">
        <f>_xlfn.IFNA(SQRT((VLOOKUP(Z$1,DATA!$A$3:$F$301,2,FALSE)-VLOOKUP($A73,DATA!$A$3:$F$301,2,FALSE))^2+(VLOOKUP(Z$1,DATA!$A$3:$F$301,3,FALSE)-VLOOKUP($A73,DATA!$A$3:$F$301,3,FALSE))^2),"")</f>
        <v/>
      </c>
      <c r="AA73" s="14" t="str">
        <f>_xlfn.IFNA(SQRT((VLOOKUP(AA$1,DATA!$A$3:$F$301,2,FALSE)-VLOOKUP($A73,DATA!$A$3:$F$301,2,FALSE))^2+(VLOOKUP(AA$1,DATA!$A$3:$F$301,3,FALSE)-VLOOKUP($A73,DATA!$A$3:$F$301,3,FALSE))^2),"")</f>
        <v/>
      </c>
      <c r="AB73" s="14" t="str">
        <f>_xlfn.IFNA(SQRT((VLOOKUP(AB$1,DATA!$A$3:$F$301,2,FALSE)-VLOOKUP($A73,DATA!$A$3:$F$301,2,FALSE))^2+(VLOOKUP(AB$1,DATA!$A$3:$F$301,3,FALSE)-VLOOKUP($A73,DATA!$A$3:$F$301,3,FALSE))^2),"")</f>
        <v/>
      </c>
      <c r="AC73" s="14" t="str">
        <f>_xlfn.IFNA(SQRT((VLOOKUP(AC$1,DATA!$A$3:$F$301,2,FALSE)-VLOOKUP($A73,DATA!$A$3:$F$301,2,FALSE))^2+(VLOOKUP(AC$1,DATA!$A$3:$F$301,3,FALSE)-VLOOKUP($A73,DATA!$A$3:$F$301,3,FALSE))^2),"")</f>
        <v/>
      </c>
      <c r="AD73" s="14" t="str">
        <f>_xlfn.IFNA(SQRT((VLOOKUP(AD$1,DATA!$A$3:$F$301,2,FALSE)-VLOOKUP($A73,DATA!$A$3:$F$301,2,FALSE))^2+(VLOOKUP(AD$1,DATA!$A$3:$F$301,3,FALSE)-VLOOKUP($A73,DATA!$A$3:$F$301,3,FALSE))^2),"")</f>
        <v/>
      </c>
      <c r="AE73" s="14" t="str">
        <f>_xlfn.IFNA(SQRT((VLOOKUP(AE$1,DATA!$A$3:$F$301,2,FALSE)-VLOOKUP($A73,DATA!$A$3:$F$301,2,FALSE))^2+(VLOOKUP(AE$1,DATA!$A$3:$F$301,3,FALSE)-VLOOKUP($A73,DATA!$A$3:$F$301,3,FALSE))^2),"")</f>
        <v/>
      </c>
      <c r="AF73" s="14" t="str">
        <f>_xlfn.IFNA(SQRT((VLOOKUP(AF$1,DATA!$A$3:$F$301,2,FALSE)-VLOOKUP($A73,DATA!$A$3:$F$301,2,FALSE))^2+(VLOOKUP(AF$1,DATA!$A$3:$F$301,3,FALSE)-VLOOKUP($A73,DATA!$A$3:$F$301,3,FALSE))^2),"")</f>
        <v/>
      </c>
      <c r="AG73" s="14" t="str">
        <f>_xlfn.IFNA(SQRT((VLOOKUP(AG$1,DATA!$A$3:$F$301,2,FALSE)-VLOOKUP($A73,DATA!$A$3:$F$301,2,FALSE))^2+(VLOOKUP(AG$1,DATA!$A$3:$F$301,3,FALSE)-VLOOKUP($A73,DATA!$A$3:$F$301,3,FALSE))^2),"")</f>
        <v/>
      </c>
      <c r="AH73" s="14" t="str">
        <f>_xlfn.IFNA(SQRT((VLOOKUP(AH$1,DATA!$A$3:$F$301,2,FALSE)-VLOOKUP($A73,DATA!$A$3:$F$301,2,FALSE))^2+(VLOOKUP(AH$1,DATA!$A$3:$F$301,3,FALSE)-VLOOKUP($A73,DATA!$A$3:$F$301,3,FALSE))^2),"")</f>
        <v/>
      </c>
      <c r="AI73" s="14" t="str">
        <f>_xlfn.IFNA(SQRT((VLOOKUP(AI$1,DATA!$A$3:$F$301,2,FALSE)-VLOOKUP($A73,DATA!$A$3:$F$301,2,FALSE))^2+(VLOOKUP(AI$1,DATA!$A$3:$F$301,3,FALSE)-VLOOKUP($A73,DATA!$A$3:$F$301,3,FALSE))^2),"")</f>
        <v/>
      </c>
      <c r="AJ73" s="14" t="str">
        <f>_xlfn.IFNA(SQRT((VLOOKUP(AJ$1,DATA!$A$3:$F$301,2,FALSE)-VLOOKUP($A73,DATA!$A$3:$F$301,2,FALSE))^2+(VLOOKUP(AJ$1,DATA!$A$3:$F$301,3,FALSE)-VLOOKUP($A73,DATA!$A$3:$F$301,3,FALSE))^2),"")</f>
        <v/>
      </c>
      <c r="AK73" s="14" t="str">
        <f>_xlfn.IFNA(SQRT((VLOOKUP(AK$1,DATA!$A$3:$F$301,2,FALSE)-VLOOKUP($A73,DATA!$A$3:$F$301,2,FALSE))^2+(VLOOKUP(AK$1,DATA!$A$3:$F$301,3,FALSE)-VLOOKUP($A73,DATA!$A$3:$F$301,3,FALSE))^2),"")</f>
        <v/>
      </c>
      <c r="AL73" s="14" t="str">
        <f>_xlfn.IFNA(SQRT((VLOOKUP(AL$1,DATA!$A$3:$F$301,2,FALSE)-VLOOKUP($A73,DATA!$A$3:$F$301,2,FALSE))^2+(VLOOKUP(AL$1,DATA!$A$3:$F$301,3,FALSE)-VLOOKUP($A73,DATA!$A$3:$F$301,3,FALSE))^2),"")</f>
        <v/>
      </c>
      <c r="AM73" s="14" t="str">
        <f>_xlfn.IFNA(SQRT((VLOOKUP(AM$1,DATA!$A$3:$F$301,2,FALSE)-VLOOKUP($A73,DATA!$A$3:$F$301,2,FALSE))^2+(VLOOKUP(AM$1,DATA!$A$3:$F$301,3,FALSE)-VLOOKUP($A73,DATA!$A$3:$F$301,3,FALSE))^2),"")</f>
        <v/>
      </c>
      <c r="AN73" s="14" t="str">
        <f>_xlfn.IFNA(SQRT((VLOOKUP(AN$1,DATA!$A$3:$F$301,2,FALSE)-VLOOKUP($A73,DATA!$A$3:$F$301,2,FALSE))^2+(VLOOKUP(AN$1,DATA!$A$3:$F$301,3,FALSE)-VLOOKUP($A73,DATA!$A$3:$F$301,3,FALSE))^2),"")</f>
        <v/>
      </c>
      <c r="AO73" s="14" t="str">
        <f>_xlfn.IFNA(SQRT((VLOOKUP(AO$1,DATA!$A$3:$F$301,2,FALSE)-VLOOKUP($A73,DATA!$A$3:$F$301,2,FALSE))^2+(VLOOKUP(AO$1,DATA!$A$3:$F$301,3,FALSE)-VLOOKUP($A73,DATA!$A$3:$F$301,3,FALSE))^2),"")</f>
        <v/>
      </c>
      <c r="AP73" s="14" t="str">
        <f>_xlfn.IFNA(SQRT((VLOOKUP(AP$1,DATA!$A$3:$F$301,2,FALSE)-VLOOKUP($A73,DATA!$A$3:$F$301,2,FALSE))^2+(VLOOKUP(AP$1,DATA!$A$3:$F$301,3,FALSE)-VLOOKUP($A73,DATA!$A$3:$F$301,3,FALSE))^2),"")</f>
        <v/>
      </c>
      <c r="AQ73" s="14" t="str">
        <f>_xlfn.IFNA(SQRT((VLOOKUP(AQ$1,DATA!$A$3:$F$301,2,FALSE)-VLOOKUP($A73,DATA!$A$3:$F$301,2,FALSE))^2+(VLOOKUP(AQ$1,DATA!$A$3:$F$301,3,FALSE)-VLOOKUP($A73,DATA!$A$3:$F$301,3,FALSE))^2),"")</f>
        <v/>
      </c>
      <c r="AR73" s="14" t="str">
        <f>_xlfn.IFNA(SQRT((VLOOKUP(AR$1,DATA!$A$3:$F$301,2,FALSE)-VLOOKUP($A73,DATA!$A$3:$F$301,2,FALSE))^2+(VLOOKUP(AR$1,DATA!$A$3:$F$301,3,FALSE)-VLOOKUP($A73,DATA!$A$3:$F$301,3,FALSE))^2),"")</f>
        <v/>
      </c>
      <c r="AS73" s="14" t="str">
        <f>_xlfn.IFNA(SQRT((VLOOKUP(AS$1,DATA!$A$3:$F$301,2,FALSE)-VLOOKUP($A73,DATA!$A$3:$F$301,2,FALSE))^2+(VLOOKUP(AS$1,DATA!$A$3:$F$301,3,FALSE)-VLOOKUP($A73,DATA!$A$3:$F$301,3,FALSE))^2),"")</f>
        <v/>
      </c>
      <c r="AT73" s="14" t="str">
        <f>_xlfn.IFNA(SQRT((VLOOKUP(AT$1,DATA!$A$3:$F$301,2,FALSE)-VLOOKUP($A73,DATA!$A$3:$F$301,2,FALSE))^2+(VLOOKUP(AT$1,DATA!$A$3:$F$301,3,FALSE)-VLOOKUP($A73,DATA!$A$3:$F$301,3,FALSE))^2),"")</f>
        <v/>
      </c>
      <c r="AU73" s="14" t="str">
        <f>_xlfn.IFNA(SQRT((VLOOKUP(AU$1,DATA!$A$3:$F$301,2,FALSE)-VLOOKUP($A73,DATA!$A$3:$F$301,2,FALSE))^2+(VLOOKUP(AU$1,DATA!$A$3:$F$301,3,FALSE)-VLOOKUP($A73,DATA!$A$3:$F$301,3,FALSE))^2),"")</f>
        <v/>
      </c>
      <c r="AV73" s="14" t="str">
        <f>_xlfn.IFNA(SQRT((VLOOKUP(AV$1,DATA!$A$3:$F$301,2,FALSE)-VLOOKUP($A73,DATA!$A$3:$F$301,2,FALSE))^2+(VLOOKUP(AV$1,DATA!$A$3:$F$301,3,FALSE)-VLOOKUP($A73,DATA!$A$3:$F$301,3,FALSE))^2),"")</f>
        <v/>
      </c>
      <c r="AW73" s="14" t="str">
        <f>_xlfn.IFNA(SQRT((VLOOKUP(AW$1,DATA!$A$3:$F$301,2,FALSE)-VLOOKUP($A73,DATA!$A$3:$F$301,2,FALSE))^2+(VLOOKUP(AW$1,DATA!$A$3:$F$301,3,FALSE)-VLOOKUP($A73,DATA!$A$3:$F$301,3,FALSE))^2),"")</f>
        <v/>
      </c>
      <c r="AX73" s="14" t="str">
        <f>_xlfn.IFNA(SQRT((VLOOKUP(AX$1,DATA!$A$3:$F$301,2,FALSE)-VLOOKUP($A73,DATA!$A$3:$F$301,2,FALSE))^2+(VLOOKUP(AX$1,DATA!$A$3:$F$301,3,FALSE)-VLOOKUP($A73,DATA!$A$3:$F$301,3,FALSE))^2),"")</f>
        <v/>
      </c>
      <c r="AY73" s="14" t="str">
        <f>_xlfn.IFNA(SQRT((VLOOKUP(AY$1,DATA!$A$3:$F$301,2,FALSE)-VLOOKUP($A73,DATA!$A$3:$F$301,2,FALSE))^2+(VLOOKUP(AY$1,DATA!$A$3:$F$301,3,FALSE)-VLOOKUP($A73,DATA!$A$3:$F$301,3,FALSE))^2),"")</f>
        <v/>
      </c>
      <c r="AZ73" s="14" t="str">
        <f>_xlfn.IFNA(SQRT((VLOOKUP(AZ$1,DATA!$A$3:$F$301,2,FALSE)-VLOOKUP($A73,DATA!$A$3:$F$301,2,FALSE))^2+(VLOOKUP(AZ$1,DATA!$A$3:$F$301,3,FALSE)-VLOOKUP($A73,DATA!$A$3:$F$301,3,FALSE))^2),"")</f>
        <v/>
      </c>
      <c r="BA73" s="14" t="str">
        <f>_xlfn.IFNA(SQRT((VLOOKUP(BA$1,DATA!$A$3:$F$301,2,FALSE)-VLOOKUP($A73,DATA!$A$3:$F$301,2,FALSE))^2+(VLOOKUP(BA$1,DATA!$A$3:$F$301,3,FALSE)-VLOOKUP($A73,DATA!$A$3:$F$301,3,FALSE))^2),"")</f>
        <v/>
      </c>
      <c r="BB73" s="14" t="str">
        <f>_xlfn.IFNA(SQRT((VLOOKUP(BB$1,DATA!$A$3:$F$301,2,FALSE)-VLOOKUP($A73,DATA!$A$3:$F$301,2,FALSE))^2+(VLOOKUP(BB$1,DATA!$A$3:$F$301,3,FALSE)-VLOOKUP($A73,DATA!$A$3:$F$301,3,FALSE))^2),"")</f>
        <v/>
      </c>
      <c r="BC73" s="14" t="str">
        <f>_xlfn.IFNA(SQRT((VLOOKUP(BC$1,DATA!$A$3:$F$301,2,FALSE)-VLOOKUP($A73,DATA!$A$3:$F$301,2,FALSE))^2+(VLOOKUP(BC$1,DATA!$A$3:$F$301,3,FALSE)-VLOOKUP($A73,DATA!$A$3:$F$301,3,FALSE))^2),"")</f>
        <v/>
      </c>
      <c r="BD73" s="14" t="str">
        <f>_xlfn.IFNA(SQRT((VLOOKUP(BD$1,DATA!$A$3:$F$301,2,FALSE)-VLOOKUP($A73,DATA!$A$3:$F$301,2,FALSE))^2+(VLOOKUP(BD$1,DATA!$A$3:$F$301,3,FALSE)-VLOOKUP($A73,DATA!$A$3:$F$301,3,FALSE))^2),"")</f>
        <v/>
      </c>
      <c r="BE73" s="14" t="str">
        <f>_xlfn.IFNA(SQRT((VLOOKUP(BE$1,DATA!$A$3:$F$301,2,FALSE)-VLOOKUP($A73,DATA!$A$3:$F$301,2,FALSE))^2+(VLOOKUP(BE$1,DATA!$A$3:$F$301,3,FALSE)-VLOOKUP($A73,DATA!$A$3:$F$301,3,FALSE))^2),"")</f>
        <v/>
      </c>
      <c r="BF73" s="14" t="str">
        <f>_xlfn.IFNA(SQRT((VLOOKUP(BF$1,DATA!$A$3:$F$301,2,FALSE)-VLOOKUP($A73,DATA!$A$3:$F$301,2,FALSE))^2+(VLOOKUP(BF$1,DATA!$A$3:$F$301,3,FALSE)-VLOOKUP($A73,DATA!$A$3:$F$301,3,FALSE))^2),"")</f>
        <v/>
      </c>
      <c r="BG73" s="14" t="str">
        <f>_xlfn.IFNA(SQRT((VLOOKUP(BG$1,DATA!$A$3:$F$301,2,FALSE)-VLOOKUP($A73,DATA!$A$3:$F$301,2,FALSE))^2+(VLOOKUP(BG$1,DATA!$A$3:$F$301,3,FALSE)-VLOOKUP($A73,DATA!$A$3:$F$301,3,FALSE))^2),"")</f>
        <v/>
      </c>
      <c r="BH73" s="14" t="str">
        <f>_xlfn.IFNA(SQRT((VLOOKUP(BH$1,DATA!$A$3:$F$301,2,FALSE)-VLOOKUP($A73,DATA!$A$3:$F$301,2,FALSE))^2+(VLOOKUP(BH$1,DATA!$A$3:$F$301,3,FALSE)-VLOOKUP($A73,DATA!$A$3:$F$301,3,FALSE))^2),"")</f>
        <v/>
      </c>
      <c r="BI73" s="14" t="str">
        <f>_xlfn.IFNA(SQRT((VLOOKUP(BI$1,DATA!$A$3:$F$301,2,FALSE)-VLOOKUP($A73,DATA!$A$3:$F$301,2,FALSE))^2+(VLOOKUP(BI$1,DATA!$A$3:$F$301,3,FALSE)-VLOOKUP($A73,DATA!$A$3:$F$301,3,FALSE))^2),"")</f>
        <v/>
      </c>
      <c r="BJ73" s="14" t="str">
        <f>_xlfn.IFNA(SQRT((VLOOKUP(BJ$1,DATA!$A$3:$F$301,2,FALSE)-VLOOKUP($A73,DATA!$A$3:$F$301,2,FALSE))^2+(VLOOKUP(BJ$1,DATA!$A$3:$F$301,3,FALSE)-VLOOKUP($A73,DATA!$A$3:$F$301,3,FALSE))^2),"")</f>
        <v/>
      </c>
      <c r="BK73" s="14" t="str">
        <f>_xlfn.IFNA(SQRT((VLOOKUP(BK$1,DATA!$A$3:$F$301,2,FALSE)-VLOOKUP($A73,DATA!$A$3:$F$301,2,FALSE))^2+(VLOOKUP(BK$1,DATA!$A$3:$F$301,3,FALSE)-VLOOKUP($A73,DATA!$A$3:$F$301,3,FALSE))^2),"")</f>
        <v/>
      </c>
      <c r="BL73" s="14" t="str">
        <f>_xlfn.IFNA(SQRT((VLOOKUP(BL$1,DATA!$A$3:$F$301,2,FALSE)-VLOOKUP($A73,DATA!$A$3:$F$301,2,FALSE))^2+(VLOOKUP(BL$1,DATA!$A$3:$F$301,3,FALSE)-VLOOKUP($A73,DATA!$A$3:$F$301,3,FALSE))^2),"")</f>
        <v/>
      </c>
      <c r="BM73" s="14" t="str">
        <f>_xlfn.IFNA(SQRT((VLOOKUP(BM$1,DATA!$A$3:$F$301,2,FALSE)-VLOOKUP($A73,DATA!$A$3:$F$301,2,FALSE))^2+(VLOOKUP(BM$1,DATA!$A$3:$F$301,3,FALSE)-VLOOKUP($A73,DATA!$A$3:$F$301,3,FALSE))^2),"")</f>
        <v/>
      </c>
      <c r="BN73" s="14" t="str">
        <f>_xlfn.IFNA(SQRT((VLOOKUP(BN$1,DATA!$A$3:$F$301,2,FALSE)-VLOOKUP($A73,DATA!$A$3:$F$301,2,FALSE))^2+(VLOOKUP(BN$1,DATA!$A$3:$F$301,3,FALSE)-VLOOKUP($A73,DATA!$A$3:$F$301,3,FALSE))^2),"")</f>
        <v/>
      </c>
      <c r="BO73" s="14" t="str">
        <f>_xlfn.IFNA(SQRT((VLOOKUP(BO$1,DATA!$A$3:$F$301,2,FALSE)-VLOOKUP($A73,DATA!$A$3:$F$301,2,FALSE))^2+(VLOOKUP(BO$1,DATA!$A$3:$F$301,3,FALSE)-VLOOKUP($A73,DATA!$A$3:$F$301,3,FALSE))^2),"")</f>
        <v/>
      </c>
      <c r="BP73" s="14" t="str">
        <f>_xlfn.IFNA(SQRT((VLOOKUP(BP$1,DATA!$A$3:$F$301,2,FALSE)-VLOOKUP($A73,DATA!$A$3:$F$301,2,FALSE))^2+(VLOOKUP(BP$1,DATA!$A$3:$F$301,3,FALSE)-VLOOKUP($A73,DATA!$A$3:$F$301,3,FALSE))^2),"")</f>
        <v/>
      </c>
      <c r="BQ73" s="14" t="str">
        <f>_xlfn.IFNA(SQRT((VLOOKUP(BQ$1,DATA!$A$3:$F$301,2,FALSE)-VLOOKUP($A73,DATA!$A$3:$F$301,2,FALSE))^2+(VLOOKUP(BQ$1,DATA!$A$3:$F$301,3,FALSE)-VLOOKUP($A73,DATA!$A$3:$F$301,3,FALSE))^2),"")</f>
        <v/>
      </c>
      <c r="BR73" s="14" t="str">
        <f>_xlfn.IFNA(SQRT((VLOOKUP(BR$1,DATA!$A$3:$F$301,2,FALSE)-VLOOKUP($A73,DATA!$A$3:$F$301,2,FALSE))^2+(VLOOKUP(BR$1,DATA!$A$3:$F$301,3,FALSE)-VLOOKUP($A73,DATA!$A$3:$F$301,3,FALSE))^2),"")</f>
        <v/>
      </c>
      <c r="BS73" s="14" t="str">
        <f>_xlfn.IFNA(SQRT((VLOOKUP(BS$1,DATA!$A$3:$F$301,2,FALSE)-VLOOKUP($A73,DATA!$A$3:$F$301,2,FALSE))^2+(VLOOKUP(BS$1,DATA!$A$3:$F$301,3,FALSE)-VLOOKUP($A73,DATA!$A$3:$F$301,3,FALSE))^2),"")</f>
        <v/>
      </c>
      <c r="BT73" s="14" t="str">
        <f>_xlfn.IFNA(SQRT((VLOOKUP(BT$1,DATA!$A$3:$F$301,2,FALSE)-VLOOKUP($A73,DATA!$A$3:$F$301,2,FALSE))^2+(VLOOKUP(BT$1,DATA!$A$3:$F$301,3,FALSE)-VLOOKUP($A73,DATA!$A$3:$F$301,3,FALSE))^2),"")</f>
        <v/>
      </c>
      <c r="BU73" s="14" t="str">
        <f>_xlfn.IFNA(SQRT((VLOOKUP(BU$1,DATA!$A$3:$F$301,2,FALSE)-VLOOKUP($A73,DATA!$A$3:$F$301,2,FALSE))^2+(VLOOKUP(BU$1,DATA!$A$3:$F$301,3,FALSE)-VLOOKUP($A73,DATA!$A$3:$F$301,3,FALSE))^2),"")</f>
        <v/>
      </c>
      <c r="BV73" s="14" t="str">
        <f>_xlfn.IFNA(SQRT((VLOOKUP(BV$1,DATA!$A$3:$F$301,2,FALSE)-VLOOKUP($A73,DATA!$A$3:$F$301,2,FALSE))^2+(VLOOKUP(BV$1,DATA!$A$3:$F$301,3,FALSE)-VLOOKUP($A73,DATA!$A$3:$F$301,3,FALSE))^2),"")</f>
        <v/>
      </c>
      <c r="BW73" s="14" t="str">
        <f>_xlfn.IFNA(SQRT((VLOOKUP(BW$1,DATA!$A$3:$F$301,2,FALSE)-VLOOKUP($A73,DATA!$A$3:$F$301,2,FALSE))^2+(VLOOKUP(BW$1,DATA!$A$3:$F$301,3,FALSE)-VLOOKUP($A73,DATA!$A$3:$F$301,3,FALSE))^2),"")</f>
        <v/>
      </c>
      <c r="BX73" s="14" t="str">
        <f>_xlfn.IFNA(SQRT((VLOOKUP(BX$1,DATA!$A$3:$F$301,2,FALSE)-VLOOKUP($A73,DATA!$A$3:$F$301,2,FALSE))^2+(VLOOKUP(BX$1,DATA!$A$3:$F$301,3,FALSE)-VLOOKUP($A73,DATA!$A$3:$F$301,3,FALSE))^2),"")</f>
        <v/>
      </c>
      <c r="BY73" s="14" t="str">
        <f>_xlfn.IFNA(SQRT((VLOOKUP(BY$1,DATA!$A$3:$F$301,2,FALSE)-VLOOKUP($A73,DATA!$A$3:$F$301,2,FALSE))^2+(VLOOKUP(BY$1,DATA!$A$3:$F$301,3,FALSE)-VLOOKUP($A73,DATA!$A$3:$F$301,3,FALSE))^2),"")</f>
        <v/>
      </c>
      <c r="BZ73" s="14" t="str">
        <f>_xlfn.IFNA(SQRT((VLOOKUP(BZ$1,DATA!$A$3:$F$301,2,FALSE)-VLOOKUP($A73,DATA!$A$3:$F$301,2,FALSE))^2+(VLOOKUP(BZ$1,DATA!$A$3:$F$301,3,FALSE)-VLOOKUP($A73,DATA!$A$3:$F$301,3,FALSE))^2),"")</f>
        <v/>
      </c>
      <c r="CA73" s="14" t="str">
        <f>_xlfn.IFNA(SQRT((VLOOKUP(CA$1,DATA!$A$3:$F$301,2,FALSE)-VLOOKUP($A73,DATA!$A$3:$F$301,2,FALSE))^2+(VLOOKUP(CA$1,DATA!$A$3:$F$301,3,FALSE)-VLOOKUP($A73,DATA!$A$3:$F$301,3,FALSE))^2),"")</f>
        <v/>
      </c>
      <c r="CB73" s="14" t="str">
        <f>_xlfn.IFNA(SQRT((VLOOKUP(CB$1,DATA!$A$3:$F$301,2,FALSE)-VLOOKUP($A73,DATA!$A$3:$F$301,2,FALSE))^2+(VLOOKUP(CB$1,DATA!$A$3:$F$301,3,FALSE)-VLOOKUP($A73,DATA!$A$3:$F$301,3,FALSE))^2),"")</f>
        <v/>
      </c>
      <c r="CC73" s="14" t="str">
        <f>_xlfn.IFNA(SQRT((VLOOKUP(CC$1,DATA!$A$3:$F$301,2,FALSE)-VLOOKUP($A73,DATA!$A$3:$F$301,2,FALSE))^2+(VLOOKUP(CC$1,DATA!$A$3:$F$301,3,FALSE)-VLOOKUP($A73,DATA!$A$3:$F$301,3,FALSE))^2),"")</f>
        <v/>
      </c>
      <c r="CD73" s="14" t="str">
        <f>_xlfn.IFNA(SQRT((VLOOKUP(CD$1,DATA!$A$3:$F$301,2,FALSE)-VLOOKUP($A73,DATA!$A$3:$F$301,2,FALSE))^2+(VLOOKUP(CD$1,DATA!$A$3:$F$301,3,FALSE)-VLOOKUP($A73,DATA!$A$3:$F$301,3,FALSE))^2),"")</f>
        <v/>
      </c>
      <c r="CE73" s="14" t="str">
        <f>_xlfn.IFNA(SQRT((VLOOKUP(CE$1,DATA!$A$3:$F$301,2,FALSE)-VLOOKUP($A73,DATA!$A$3:$F$301,2,FALSE))^2+(VLOOKUP(CE$1,DATA!$A$3:$F$301,3,FALSE)-VLOOKUP($A73,DATA!$A$3:$F$301,3,FALSE))^2),"")</f>
        <v/>
      </c>
      <c r="CF73" s="14" t="str">
        <f>_xlfn.IFNA(SQRT((VLOOKUP(CF$1,DATA!$A$3:$F$301,2,FALSE)-VLOOKUP($A73,DATA!$A$3:$F$301,2,FALSE))^2+(VLOOKUP(CF$1,DATA!$A$3:$F$301,3,FALSE)-VLOOKUP($A73,DATA!$A$3:$F$301,3,FALSE))^2),"")</f>
        <v/>
      </c>
      <c r="CG73" s="14" t="str">
        <f>_xlfn.IFNA(SQRT((VLOOKUP(CG$1,DATA!$A$3:$F$301,2,FALSE)-VLOOKUP($A73,DATA!$A$3:$F$301,2,FALSE))^2+(VLOOKUP(CG$1,DATA!$A$3:$F$301,3,FALSE)-VLOOKUP($A73,DATA!$A$3:$F$301,3,FALSE))^2),"")</f>
        <v/>
      </c>
      <c r="CH73" s="14" t="str">
        <f>_xlfn.IFNA(SQRT((VLOOKUP(CH$1,DATA!$A$3:$F$301,2,FALSE)-VLOOKUP($A73,DATA!$A$3:$F$301,2,FALSE))^2+(VLOOKUP(CH$1,DATA!$A$3:$F$301,3,FALSE)-VLOOKUP($A73,DATA!$A$3:$F$301,3,FALSE))^2),"")</f>
        <v/>
      </c>
      <c r="CI73" s="14" t="str">
        <f>_xlfn.IFNA(SQRT((VLOOKUP(CI$1,DATA!$A$3:$F$301,2,FALSE)-VLOOKUP($A73,DATA!$A$3:$F$301,2,FALSE))^2+(VLOOKUP(CI$1,DATA!$A$3:$F$301,3,FALSE)-VLOOKUP($A73,DATA!$A$3:$F$301,3,FALSE))^2),"")</f>
        <v/>
      </c>
      <c r="CJ73" s="14" t="str">
        <f>_xlfn.IFNA(SQRT((VLOOKUP(CJ$1,DATA!$A$3:$F$301,2,FALSE)-VLOOKUP($A73,DATA!$A$3:$F$301,2,FALSE))^2+(VLOOKUP(CJ$1,DATA!$A$3:$F$301,3,FALSE)-VLOOKUP($A73,DATA!$A$3:$F$301,3,FALSE))^2),"")</f>
        <v/>
      </c>
      <c r="CK73" s="14" t="str">
        <f>_xlfn.IFNA(SQRT((VLOOKUP(CK$1,DATA!$A$3:$F$301,2,FALSE)-VLOOKUP($A73,DATA!$A$3:$F$301,2,FALSE))^2+(VLOOKUP(CK$1,DATA!$A$3:$F$301,3,FALSE)-VLOOKUP($A73,DATA!$A$3:$F$301,3,FALSE))^2),"")</f>
        <v/>
      </c>
      <c r="CL73" s="14" t="str">
        <f>_xlfn.IFNA(SQRT((VLOOKUP(CL$1,DATA!$A$3:$F$301,2,FALSE)-VLOOKUP($A73,DATA!$A$3:$F$301,2,FALSE))^2+(VLOOKUP(CL$1,DATA!$A$3:$F$301,3,FALSE)-VLOOKUP($A73,DATA!$A$3:$F$301,3,FALSE))^2),"")</f>
        <v/>
      </c>
      <c r="CM73" s="14" t="str">
        <f>_xlfn.IFNA(SQRT((VLOOKUP(CM$1,DATA!$A$3:$F$301,2,FALSE)-VLOOKUP($A73,DATA!$A$3:$F$301,2,FALSE))^2+(VLOOKUP(CM$1,DATA!$A$3:$F$301,3,FALSE)-VLOOKUP($A73,DATA!$A$3:$F$301,3,FALSE))^2),"")</f>
        <v/>
      </c>
      <c r="CN73" s="14" t="str">
        <f>_xlfn.IFNA(SQRT((VLOOKUP(CN$1,DATA!$A$3:$F$301,2,FALSE)-VLOOKUP($A73,DATA!$A$3:$F$301,2,FALSE))^2+(VLOOKUP(CN$1,DATA!$A$3:$F$301,3,FALSE)-VLOOKUP($A73,DATA!$A$3:$F$301,3,FALSE))^2),"")</f>
        <v/>
      </c>
      <c r="CO73" s="14" t="str">
        <f>_xlfn.IFNA(SQRT((VLOOKUP(CO$1,DATA!$A$3:$F$301,2,FALSE)-VLOOKUP($A73,DATA!$A$3:$F$301,2,FALSE))^2+(VLOOKUP(CO$1,DATA!$A$3:$F$301,3,FALSE)-VLOOKUP($A73,DATA!$A$3:$F$301,3,FALSE))^2),"")</f>
        <v/>
      </c>
      <c r="CP73" s="14" t="str">
        <f>_xlfn.IFNA(SQRT((VLOOKUP(CP$1,DATA!$A$3:$F$301,2,FALSE)-VLOOKUP($A73,DATA!$A$3:$F$301,2,FALSE))^2+(VLOOKUP(CP$1,DATA!$A$3:$F$301,3,FALSE)-VLOOKUP($A73,DATA!$A$3:$F$301,3,FALSE))^2),"")</f>
        <v/>
      </c>
      <c r="CQ73" s="14" t="str">
        <f>_xlfn.IFNA(SQRT((VLOOKUP(CQ$1,DATA!$A$3:$F$301,2,FALSE)-VLOOKUP($A73,DATA!$A$3:$F$301,2,FALSE))^2+(VLOOKUP(CQ$1,DATA!$A$3:$F$301,3,FALSE)-VLOOKUP($A73,DATA!$A$3:$F$301,3,FALSE))^2),"")</f>
        <v/>
      </c>
      <c r="CR73" s="14" t="str">
        <f>_xlfn.IFNA(SQRT((VLOOKUP(CR$1,DATA!$A$3:$F$301,2,FALSE)-VLOOKUP($A73,DATA!$A$3:$F$301,2,FALSE))^2+(VLOOKUP(CR$1,DATA!$A$3:$F$301,3,FALSE)-VLOOKUP($A73,DATA!$A$3:$F$301,3,FALSE))^2),"")</f>
        <v/>
      </c>
      <c r="CS73" s="14" t="str">
        <f>_xlfn.IFNA(SQRT((VLOOKUP(CS$1,DATA!$A$3:$F$301,2,FALSE)-VLOOKUP($A73,DATA!$A$3:$F$301,2,FALSE))^2+(VLOOKUP(CS$1,DATA!$A$3:$F$301,3,FALSE)-VLOOKUP($A73,DATA!$A$3:$F$301,3,FALSE))^2),"")</f>
        <v/>
      </c>
      <c r="CT73" s="14" t="str">
        <f>_xlfn.IFNA(SQRT((VLOOKUP(CT$1,DATA!$A$3:$F$301,2,FALSE)-VLOOKUP($A73,DATA!$A$3:$F$301,2,FALSE))^2+(VLOOKUP(CT$1,DATA!$A$3:$F$301,3,FALSE)-VLOOKUP($A73,DATA!$A$3:$F$301,3,FALSE))^2),"")</f>
        <v/>
      </c>
      <c r="CU73" s="14" t="str">
        <f>_xlfn.IFNA(SQRT((VLOOKUP(CU$1,DATA!$A$3:$F$301,2,FALSE)-VLOOKUP($A73,DATA!$A$3:$F$301,2,FALSE))^2+(VLOOKUP(CU$1,DATA!$A$3:$F$301,3,FALSE)-VLOOKUP($A73,DATA!$A$3:$F$301,3,FALSE))^2),"")</f>
        <v/>
      </c>
      <c r="CV73" s="14" t="str">
        <f>_xlfn.IFNA(SQRT((VLOOKUP(CV$1,DATA!$A$3:$F$301,2,FALSE)-VLOOKUP($A73,DATA!$A$3:$F$301,2,FALSE))^2+(VLOOKUP(CV$1,DATA!$A$3:$F$301,3,FALSE)-VLOOKUP($A73,DATA!$A$3:$F$301,3,FALSE))^2),"")</f>
        <v/>
      </c>
      <c r="CW73" s="14" t="str">
        <f>_xlfn.IFNA(SQRT((VLOOKUP(CW$1,DATA!$A$3:$F$301,2,FALSE)-VLOOKUP($A73,DATA!$A$3:$F$301,2,FALSE))^2+(VLOOKUP(CW$1,DATA!$A$3:$F$301,3,FALSE)-VLOOKUP($A73,DATA!$A$3:$F$301,3,FALSE))^2),"")</f>
        <v/>
      </c>
      <c r="CX73" s="14" t="str">
        <f>_xlfn.IFNA(SQRT((VLOOKUP(CX$1,DATA!$A$3:$F$301,2,FALSE)-VLOOKUP($A73,DATA!$A$3:$F$301,2,FALSE))^2+(VLOOKUP(CX$1,DATA!$A$3:$F$301,3,FALSE)-VLOOKUP($A73,DATA!$A$3:$F$301,3,FALSE))^2),"")</f>
        <v/>
      </c>
    </row>
    <row r="74" spans="1:102">
      <c r="A74" s="13">
        <v>73</v>
      </c>
      <c r="B74" s="14" t="str">
        <f>_xlfn.IFNA(SQRT((VLOOKUP(B$1,DATA!$A$3:$F$301,2,FALSE)-VLOOKUP($A74,DATA!$A$3:$F$301,2,FALSE))^2+(VLOOKUP(B$1,DATA!$A$3:$F$301,3,FALSE)-VLOOKUP($A74,DATA!$A$3:$F$301,3,FALSE))^2),"")</f>
        <v/>
      </c>
      <c r="C74" s="14" t="str">
        <f>_xlfn.IFNA(SQRT((VLOOKUP(C$1,DATA!$A$3:$F$301,2,FALSE)-VLOOKUP($A74,DATA!$A$3:$F$301,2,FALSE))^2+(VLOOKUP(C$1,DATA!$A$3:$F$301,3,FALSE)-VLOOKUP($A74,DATA!$A$3:$F$301,3,FALSE))^2),"")</f>
        <v/>
      </c>
      <c r="D74" s="14" t="str">
        <f>_xlfn.IFNA(SQRT((VLOOKUP(D$1,DATA!$A$3:$F$301,2,FALSE)-VLOOKUP($A74,DATA!$A$3:$F$301,2,FALSE))^2+(VLOOKUP(D$1,DATA!$A$3:$F$301,3,FALSE)-VLOOKUP($A74,DATA!$A$3:$F$301,3,FALSE))^2),"")</f>
        <v/>
      </c>
      <c r="E74" s="14" t="str">
        <f>_xlfn.IFNA(SQRT((VLOOKUP(E$1,DATA!$A$3:$F$301,2,FALSE)-VLOOKUP($A74,DATA!$A$3:$F$301,2,FALSE))^2+(VLOOKUP(E$1,DATA!$A$3:$F$301,3,FALSE)-VLOOKUP($A74,DATA!$A$3:$F$301,3,FALSE))^2),"")</f>
        <v/>
      </c>
      <c r="F74" s="14" t="str">
        <f>_xlfn.IFNA(SQRT((VLOOKUP(F$1,DATA!$A$3:$F$301,2,FALSE)-VLOOKUP($A74,DATA!$A$3:$F$301,2,FALSE))^2+(VLOOKUP(F$1,DATA!$A$3:$F$301,3,FALSE)-VLOOKUP($A74,DATA!$A$3:$F$301,3,FALSE))^2),"")</f>
        <v/>
      </c>
      <c r="G74" s="14" t="str">
        <f>_xlfn.IFNA(SQRT((VLOOKUP(G$1,DATA!$A$3:$F$301,2,FALSE)-VLOOKUP($A74,DATA!$A$3:$F$301,2,FALSE))^2+(VLOOKUP(G$1,DATA!$A$3:$F$301,3,FALSE)-VLOOKUP($A74,DATA!$A$3:$F$301,3,FALSE))^2),"")</f>
        <v/>
      </c>
      <c r="H74" s="14" t="str">
        <f>_xlfn.IFNA(SQRT((VLOOKUP(H$1,DATA!$A$3:$F$301,2,FALSE)-VLOOKUP($A74,DATA!$A$3:$F$301,2,FALSE))^2+(VLOOKUP(H$1,DATA!$A$3:$F$301,3,FALSE)-VLOOKUP($A74,DATA!$A$3:$F$301,3,FALSE))^2),"")</f>
        <v/>
      </c>
      <c r="I74" s="14" t="str">
        <f>_xlfn.IFNA(SQRT((VLOOKUP(I$1,DATA!$A$3:$F$301,2,FALSE)-VLOOKUP($A74,DATA!$A$3:$F$301,2,FALSE))^2+(VLOOKUP(I$1,DATA!$A$3:$F$301,3,FALSE)-VLOOKUP($A74,DATA!$A$3:$F$301,3,FALSE))^2),"")</f>
        <v/>
      </c>
      <c r="J74" s="14" t="str">
        <f>_xlfn.IFNA(SQRT((VLOOKUP(J$1,DATA!$A$3:$F$301,2,FALSE)-VLOOKUP($A74,DATA!$A$3:$F$301,2,FALSE))^2+(VLOOKUP(J$1,DATA!$A$3:$F$301,3,FALSE)-VLOOKUP($A74,DATA!$A$3:$F$301,3,FALSE))^2),"")</f>
        <v/>
      </c>
      <c r="K74" s="14" t="str">
        <f>_xlfn.IFNA(SQRT((VLOOKUP(K$1,DATA!$A$3:$F$301,2,FALSE)-VLOOKUP($A74,DATA!$A$3:$F$301,2,FALSE))^2+(VLOOKUP(K$1,DATA!$A$3:$F$301,3,FALSE)-VLOOKUP($A74,DATA!$A$3:$F$301,3,FALSE))^2),"")</f>
        <v/>
      </c>
      <c r="L74" s="14" t="str">
        <f>_xlfn.IFNA(SQRT((VLOOKUP(L$1,DATA!$A$3:$F$301,2,FALSE)-VLOOKUP($A74,DATA!$A$3:$F$301,2,FALSE))^2+(VLOOKUP(L$1,DATA!$A$3:$F$301,3,FALSE)-VLOOKUP($A74,DATA!$A$3:$F$301,3,FALSE))^2),"")</f>
        <v/>
      </c>
      <c r="M74" s="14" t="str">
        <f>_xlfn.IFNA(SQRT((VLOOKUP(M$1,DATA!$A$3:$F$301,2,FALSE)-VLOOKUP($A74,DATA!$A$3:$F$301,2,FALSE))^2+(VLOOKUP(M$1,DATA!$A$3:$F$301,3,FALSE)-VLOOKUP($A74,DATA!$A$3:$F$301,3,FALSE))^2),"")</f>
        <v/>
      </c>
      <c r="N74" s="14" t="str">
        <f>_xlfn.IFNA(SQRT((VLOOKUP(N$1,DATA!$A$3:$F$301,2,FALSE)-VLOOKUP($A74,DATA!$A$3:$F$301,2,FALSE))^2+(VLOOKUP(N$1,DATA!$A$3:$F$301,3,FALSE)-VLOOKUP($A74,DATA!$A$3:$F$301,3,FALSE))^2),"")</f>
        <v/>
      </c>
      <c r="O74" s="14" t="str">
        <f>_xlfn.IFNA(SQRT((VLOOKUP(O$1,DATA!$A$3:$F$301,2,FALSE)-VLOOKUP($A74,DATA!$A$3:$F$301,2,FALSE))^2+(VLOOKUP(O$1,DATA!$A$3:$F$301,3,FALSE)-VLOOKUP($A74,DATA!$A$3:$F$301,3,FALSE))^2),"")</f>
        <v/>
      </c>
      <c r="P74" s="14" t="str">
        <f>_xlfn.IFNA(SQRT((VLOOKUP(P$1,DATA!$A$3:$F$301,2,FALSE)-VLOOKUP($A74,DATA!$A$3:$F$301,2,FALSE))^2+(VLOOKUP(P$1,DATA!$A$3:$F$301,3,FALSE)-VLOOKUP($A74,DATA!$A$3:$F$301,3,FALSE))^2),"")</f>
        <v/>
      </c>
      <c r="Q74" s="14" t="str">
        <f>_xlfn.IFNA(SQRT((VLOOKUP(Q$1,DATA!$A$3:$F$301,2,FALSE)-VLOOKUP($A74,DATA!$A$3:$F$301,2,FALSE))^2+(VLOOKUP(Q$1,DATA!$A$3:$F$301,3,FALSE)-VLOOKUP($A74,DATA!$A$3:$F$301,3,FALSE))^2),"")</f>
        <v/>
      </c>
      <c r="R74" s="14" t="str">
        <f>_xlfn.IFNA(SQRT((VLOOKUP(R$1,DATA!$A$3:$F$301,2,FALSE)-VLOOKUP($A74,DATA!$A$3:$F$301,2,FALSE))^2+(VLOOKUP(R$1,DATA!$A$3:$F$301,3,FALSE)-VLOOKUP($A74,DATA!$A$3:$F$301,3,FALSE))^2),"")</f>
        <v/>
      </c>
      <c r="S74" s="14" t="str">
        <f>_xlfn.IFNA(SQRT((VLOOKUP(S$1,DATA!$A$3:$F$301,2,FALSE)-VLOOKUP($A74,DATA!$A$3:$F$301,2,FALSE))^2+(VLOOKUP(S$1,DATA!$A$3:$F$301,3,FALSE)-VLOOKUP($A74,DATA!$A$3:$F$301,3,FALSE))^2),"")</f>
        <v/>
      </c>
      <c r="T74" s="14" t="str">
        <f>_xlfn.IFNA(SQRT((VLOOKUP(T$1,DATA!$A$3:$F$301,2,FALSE)-VLOOKUP($A74,DATA!$A$3:$F$301,2,FALSE))^2+(VLOOKUP(T$1,DATA!$A$3:$F$301,3,FALSE)-VLOOKUP($A74,DATA!$A$3:$F$301,3,FALSE))^2),"")</f>
        <v/>
      </c>
      <c r="U74" s="14" t="str">
        <f>_xlfn.IFNA(SQRT((VLOOKUP(U$1,DATA!$A$3:$F$301,2,FALSE)-VLOOKUP($A74,DATA!$A$3:$F$301,2,FALSE))^2+(VLOOKUP(U$1,DATA!$A$3:$F$301,3,FALSE)-VLOOKUP($A74,DATA!$A$3:$F$301,3,FALSE))^2),"")</f>
        <v/>
      </c>
      <c r="V74" s="14" t="str">
        <f>_xlfn.IFNA(SQRT((VLOOKUP(V$1,DATA!$A$3:$F$301,2,FALSE)-VLOOKUP($A74,DATA!$A$3:$F$301,2,FALSE))^2+(VLOOKUP(V$1,DATA!$A$3:$F$301,3,FALSE)-VLOOKUP($A74,DATA!$A$3:$F$301,3,FALSE))^2),"")</f>
        <v/>
      </c>
      <c r="W74" s="14" t="str">
        <f>_xlfn.IFNA(SQRT((VLOOKUP(W$1,DATA!$A$3:$F$301,2,FALSE)-VLOOKUP($A74,DATA!$A$3:$F$301,2,FALSE))^2+(VLOOKUP(W$1,DATA!$A$3:$F$301,3,FALSE)-VLOOKUP($A74,DATA!$A$3:$F$301,3,FALSE))^2),"")</f>
        <v/>
      </c>
      <c r="X74" s="14" t="str">
        <f>_xlfn.IFNA(SQRT((VLOOKUP(X$1,DATA!$A$3:$F$301,2,FALSE)-VLOOKUP($A74,DATA!$A$3:$F$301,2,FALSE))^2+(VLOOKUP(X$1,DATA!$A$3:$F$301,3,FALSE)-VLOOKUP($A74,DATA!$A$3:$F$301,3,FALSE))^2),"")</f>
        <v/>
      </c>
      <c r="Y74" s="14" t="str">
        <f>_xlfn.IFNA(SQRT((VLOOKUP(Y$1,DATA!$A$3:$F$301,2,FALSE)-VLOOKUP($A74,DATA!$A$3:$F$301,2,FALSE))^2+(VLOOKUP(Y$1,DATA!$A$3:$F$301,3,FALSE)-VLOOKUP($A74,DATA!$A$3:$F$301,3,FALSE))^2),"")</f>
        <v/>
      </c>
      <c r="Z74" s="14" t="str">
        <f>_xlfn.IFNA(SQRT((VLOOKUP(Z$1,DATA!$A$3:$F$301,2,FALSE)-VLOOKUP($A74,DATA!$A$3:$F$301,2,FALSE))^2+(VLOOKUP(Z$1,DATA!$A$3:$F$301,3,FALSE)-VLOOKUP($A74,DATA!$A$3:$F$301,3,FALSE))^2),"")</f>
        <v/>
      </c>
      <c r="AA74" s="14" t="str">
        <f>_xlfn.IFNA(SQRT((VLOOKUP(AA$1,DATA!$A$3:$F$301,2,FALSE)-VLOOKUP($A74,DATA!$A$3:$F$301,2,FALSE))^2+(VLOOKUP(AA$1,DATA!$A$3:$F$301,3,FALSE)-VLOOKUP($A74,DATA!$A$3:$F$301,3,FALSE))^2),"")</f>
        <v/>
      </c>
      <c r="AB74" s="14" t="str">
        <f>_xlfn.IFNA(SQRT((VLOOKUP(AB$1,DATA!$A$3:$F$301,2,FALSE)-VLOOKUP($A74,DATA!$A$3:$F$301,2,FALSE))^2+(VLOOKUP(AB$1,DATA!$A$3:$F$301,3,FALSE)-VLOOKUP($A74,DATA!$A$3:$F$301,3,FALSE))^2),"")</f>
        <v/>
      </c>
      <c r="AC74" s="14" t="str">
        <f>_xlfn.IFNA(SQRT((VLOOKUP(AC$1,DATA!$A$3:$F$301,2,FALSE)-VLOOKUP($A74,DATA!$A$3:$F$301,2,FALSE))^2+(VLOOKUP(AC$1,DATA!$A$3:$F$301,3,FALSE)-VLOOKUP($A74,DATA!$A$3:$F$301,3,FALSE))^2),"")</f>
        <v/>
      </c>
      <c r="AD74" s="14" t="str">
        <f>_xlfn.IFNA(SQRT((VLOOKUP(AD$1,DATA!$A$3:$F$301,2,FALSE)-VLOOKUP($A74,DATA!$A$3:$F$301,2,FALSE))^2+(VLOOKUP(AD$1,DATA!$A$3:$F$301,3,FALSE)-VLOOKUP($A74,DATA!$A$3:$F$301,3,FALSE))^2),"")</f>
        <v/>
      </c>
      <c r="AE74" s="14" t="str">
        <f>_xlfn.IFNA(SQRT((VLOOKUP(AE$1,DATA!$A$3:$F$301,2,FALSE)-VLOOKUP($A74,DATA!$A$3:$F$301,2,FALSE))^2+(VLOOKUP(AE$1,DATA!$A$3:$F$301,3,FALSE)-VLOOKUP($A74,DATA!$A$3:$F$301,3,FALSE))^2),"")</f>
        <v/>
      </c>
      <c r="AF74" s="14" t="str">
        <f>_xlfn.IFNA(SQRT((VLOOKUP(AF$1,DATA!$A$3:$F$301,2,FALSE)-VLOOKUP($A74,DATA!$A$3:$F$301,2,FALSE))^2+(VLOOKUP(AF$1,DATA!$A$3:$F$301,3,FALSE)-VLOOKUP($A74,DATA!$A$3:$F$301,3,FALSE))^2),"")</f>
        <v/>
      </c>
      <c r="AG74" s="14" t="str">
        <f>_xlfn.IFNA(SQRT((VLOOKUP(AG$1,DATA!$A$3:$F$301,2,FALSE)-VLOOKUP($A74,DATA!$A$3:$F$301,2,FALSE))^2+(VLOOKUP(AG$1,DATA!$A$3:$F$301,3,FALSE)-VLOOKUP($A74,DATA!$A$3:$F$301,3,FALSE))^2),"")</f>
        <v/>
      </c>
      <c r="AH74" s="14" t="str">
        <f>_xlfn.IFNA(SQRT((VLOOKUP(AH$1,DATA!$A$3:$F$301,2,FALSE)-VLOOKUP($A74,DATA!$A$3:$F$301,2,FALSE))^2+(VLOOKUP(AH$1,DATA!$A$3:$F$301,3,FALSE)-VLOOKUP($A74,DATA!$A$3:$F$301,3,FALSE))^2),"")</f>
        <v/>
      </c>
      <c r="AI74" s="14" t="str">
        <f>_xlfn.IFNA(SQRT((VLOOKUP(AI$1,DATA!$A$3:$F$301,2,FALSE)-VLOOKUP($A74,DATA!$A$3:$F$301,2,FALSE))^2+(VLOOKUP(AI$1,DATA!$A$3:$F$301,3,FALSE)-VLOOKUP($A74,DATA!$A$3:$F$301,3,FALSE))^2),"")</f>
        <v/>
      </c>
      <c r="AJ74" s="14" t="str">
        <f>_xlfn.IFNA(SQRT((VLOOKUP(AJ$1,DATA!$A$3:$F$301,2,FALSE)-VLOOKUP($A74,DATA!$A$3:$F$301,2,FALSE))^2+(VLOOKUP(AJ$1,DATA!$A$3:$F$301,3,FALSE)-VLOOKUP($A74,DATA!$A$3:$F$301,3,FALSE))^2),"")</f>
        <v/>
      </c>
      <c r="AK74" s="14" t="str">
        <f>_xlfn.IFNA(SQRT((VLOOKUP(AK$1,DATA!$A$3:$F$301,2,FALSE)-VLOOKUP($A74,DATA!$A$3:$F$301,2,FALSE))^2+(VLOOKUP(AK$1,DATA!$A$3:$F$301,3,FALSE)-VLOOKUP($A74,DATA!$A$3:$F$301,3,FALSE))^2),"")</f>
        <v/>
      </c>
      <c r="AL74" s="14" t="str">
        <f>_xlfn.IFNA(SQRT((VLOOKUP(AL$1,DATA!$A$3:$F$301,2,FALSE)-VLOOKUP($A74,DATA!$A$3:$F$301,2,FALSE))^2+(VLOOKUP(AL$1,DATA!$A$3:$F$301,3,FALSE)-VLOOKUP($A74,DATA!$A$3:$F$301,3,FALSE))^2),"")</f>
        <v/>
      </c>
      <c r="AM74" s="14" t="str">
        <f>_xlfn.IFNA(SQRT((VLOOKUP(AM$1,DATA!$A$3:$F$301,2,FALSE)-VLOOKUP($A74,DATA!$A$3:$F$301,2,FALSE))^2+(VLOOKUP(AM$1,DATA!$A$3:$F$301,3,FALSE)-VLOOKUP($A74,DATA!$A$3:$F$301,3,FALSE))^2),"")</f>
        <v/>
      </c>
      <c r="AN74" s="14" t="str">
        <f>_xlfn.IFNA(SQRT((VLOOKUP(AN$1,DATA!$A$3:$F$301,2,FALSE)-VLOOKUP($A74,DATA!$A$3:$F$301,2,FALSE))^2+(VLOOKUP(AN$1,DATA!$A$3:$F$301,3,FALSE)-VLOOKUP($A74,DATA!$A$3:$F$301,3,FALSE))^2),"")</f>
        <v/>
      </c>
      <c r="AO74" s="14" t="str">
        <f>_xlfn.IFNA(SQRT((VLOOKUP(AO$1,DATA!$A$3:$F$301,2,FALSE)-VLOOKUP($A74,DATA!$A$3:$F$301,2,FALSE))^2+(VLOOKUP(AO$1,DATA!$A$3:$F$301,3,FALSE)-VLOOKUP($A74,DATA!$A$3:$F$301,3,FALSE))^2),"")</f>
        <v/>
      </c>
      <c r="AP74" s="14" t="str">
        <f>_xlfn.IFNA(SQRT((VLOOKUP(AP$1,DATA!$A$3:$F$301,2,FALSE)-VLOOKUP($A74,DATA!$A$3:$F$301,2,FALSE))^2+(VLOOKUP(AP$1,DATA!$A$3:$F$301,3,FALSE)-VLOOKUP($A74,DATA!$A$3:$F$301,3,FALSE))^2),"")</f>
        <v/>
      </c>
      <c r="AQ74" s="14" t="str">
        <f>_xlfn.IFNA(SQRT((VLOOKUP(AQ$1,DATA!$A$3:$F$301,2,FALSE)-VLOOKUP($A74,DATA!$A$3:$F$301,2,FALSE))^2+(VLOOKUP(AQ$1,DATA!$A$3:$F$301,3,FALSE)-VLOOKUP($A74,DATA!$A$3:$F$301,3,FALSE))^2),"")</f>
        <v/>
      </c>
      <c r="AR74" s="14" t="str">
        <f>_xlfn.IFNA(SQRT((VLOOKUP(AR$1,DATA!$A$3:$F$301,2,FALSE)-VLOOKUP($A74,DATA!$A$3:$F$301,2,FALSE))^2+(VLOOKUP(AR$1,DATA!$A$3:$F$301,3,FALSE)-VLOOKUP($A74,DATA!$A$3:$F$301,3,FALSE))^2),"")</f>
        <v/>
      </c>
      <c r="AS74" s="14" t="str">
        <f>_xlfn.IFNA(SQRT((VLOOKUP(AS$1,DATA!$A$3:$F$301,2,FALSE)-VLOOKUP($A74,DATA!$A$3:$F$301,2,FALSE))^2+(VLOOKUP(AS$1,DATA!$A$3:$F$301,3,FALSE)-VLOOKUP($A74,DATA!$A$3:$F$301,3,FALSE))^2),"")</f>
        <v/>
      </c>
      <c r="AT74" s="14" t="str">
        <f>_xlfn.IFNA(SQRT((VLOOKUP(AT$1,DATA!$A$3:$F$301,2,FALSE)-VLOOKUP($A74,DATA!$A$3:$F$301,2,FALSE))^2+(VLOOKUP(AT$1,DATA!$A$3:$F$301,3,FALSE)-VLOOKUP($A74,DATA!$A$3:$F$301,3,FALSE))^2),"")</f>
        <v/>
      </c>
      <c r="AU74" s="14" t="str">
        <f>_xlfn.IFNA(SQRT((VLOOKUP(AU$1,DATA!$A$3:$F$301,2,FALSE)-VLOOKUP($A74,DATA!$A$3:$F$301,2,FALSE))^2+(VLOOKUP(AU$1,DATA!$A$3:$F$301,3,FALSE)-VLOOKUP($A74,DATA!$A$3:$F$301,3,FALSE))^2),"")</f>
        <v/>
      </c>
      <c r="AV74" s="14" t="str">
        <f>_xlfn.IFNA(SQRT((VLOOKUP(AV$1,DATA!$A$3:$F$301,2,FALSE)-VLOOKUP($A74,DATA!$A$3:$F$301,2,FALSE))^2+(VLOOKUP(AV$1,DATA!$A$3:$F$301,3,FALSE)-VLOOKUP($A74,DATA!$A$3:$F$301,3,FALSE))^2),"")</f>
        <v/>
      </c>
      <c r="AW74" s="14" t="str">
        <f>_xlfn.IFNA(SQRT((VLOOKUP(AW$1,DATA!$A$3:$F$301,2,FALSE)-VLOOKUP($A74,DATA!$A$3:$F$301,2,FALSE))^2+(VLOOKUP(AW$1,DATA!$A$3:$F$301,3,FALSE)-VLOOKUP($A74,DATA!$A$3:$F$301,3,FALSE))^2),"")</f>
        <v/>
      </c>
      <c r="AX74" s="14" t="str">
        <f>_xlfn.IFNA(SQRT((VLOOKUP(AX$1,DATA!$A$3:$F$301,2,FALSE)-VLOOKUP($A74,DATA!$A$3:$F$301,2,FALSE))^2+(VLOOKUP(AX$1,DATA!$A$3:$F$301,3,FALSE)-VLOOKUP($A74,DATA!$A$3:$F$301,3,FALSE))^2),"")</f>
        <v/>
      </c>
      <c r="AY74" s="14" t="str">
        <f>_xlfn.IFNA(SQRT((VLOOKUP(AY$1,DATA!$A$3:$F$301,2,FALSE)-VLOOKUP($A74,DATA!$A$3:$F$301,2,FALSE))^2+(VLOOKUP(AY$1,DATA!$A$3:$F$301,3,FALSE)-VLOOKUP($A74,DATA!$A$3:$F$301,3,FALSE))^2),"")</f>
        <v/>
      </c>
      <c r="AZ74" s="14" t="str">
        <f>_xlfn.IFNA(SQRT((VLOOKUP(AZ$1,DATA!$A$3:$F$301,2,FALSE)-VLOOKUP($A74,DATA!$A$3:$F$301,2,FALSE))^2+(VLOOKUP(AZ$1,DATA!$A$3:$F$301,3,FALSE)-VLOOKUP($A74,DATA!$A$3:$F$301,3,FALSE))^2),"")</f>
        <v/>
      </c>
      <c r="BA74" s="14" t="str">
        <f>_xlfn.IFNA(SQRT((VLOOKUP(BA$1,DATA!$A$3:$F$301,2,FALSE)-VLOOKUP($A74,DATA!$A$3:$F$301,2,FALSE))^2+(VLOOKUP(BA$1,DATA!$A$3:$F$301,3,FALSE)-VLOOKUP($A74,DATA!$A$3:$F$301,3,FALSE))^2),"")</f>
        <v/>
      </c>
      <c r="BB74" s="14" t="str">
        <f>_xlfn.IFNA(SQRT((VLOOKUP(BB$1,DATA!$A$3:$F$301,2,FALSE)-VLOOKUP($A74,DATA!$A$3:$F$301,2,FALSE))^2+(VLOOKUP(BB$1,DATA!$A$3:$F$301,3,FALSE)-VLOOKUP($A74,DATA!$A$3:$F$301,3,FALSE))^2),"")</f>
        <v/>
      </c>
      <c r="BC74" s="14" t="str">
        <f>_xlfn.IFNA(SQRT((VLOOKUP(BC$1,DATA!$A$3:$F$301,2,FALSE)-VLOOKUP($A74,DATA!$A$3:$F$301,2,FALSE))^2+(VLOOKUP(BC$1,DATA!$A$3:$F$301,3,FALSE)-VLOOKUP($A74,DATA!$A$3:$F$301,3,FALSE))^2),"")</f>
        <v/>
      </c>
      <c r="BD74" s="14" t="str">
        <f>_xlfn.IFNA(SQRT((VLOOKUP(BD$1,DATA!$A$3:$F$301,2,FALSE)-VLOOKUP($A74,DATA!$A$3:$F$301,2,FALSE))^2+(VLOOKUP(BD$1,DATA!$A$3:$F$301,3,FALSE)-VLOOKUP($A74,DATA!$A$3:$F$301,3,FALSE))^2),"")</f>
        <v/>
      </c>
      <c r="BE74" s="14" t="str">
        <f>_xlfn.IFNA(SQRT((VLOOKUP(BE$1,DATA!$A$3:$F$301,2,FALSE)-VLOOKUP($A74,DATA!$A$3:$F$301,2,FALSE))^2+(VLOOKUP(BE$1,DATA!$A$3:$F$301,3,FALSE)-VLOOKUP($A74,DATA!$A$3:$F$301,3,FALSE))^2),"")</f>
        <v/>
      </c>
      <c r="BF74" s="14" t="str">
        <f>_xlfn.IFNA(SQRT((VLOOKUP(BF$1,DATA!$A$3:$F$301,2,FALSE)-VLOOKUP($A74,DATA!$A$3:$F$301,2,FALSE))^2+(VLOOKUP(BF$1,DATA!$A$3:$F$301,3,FALSE)-VLOOKUP($A74,DATA!$A$3:$F$301,3,FALSE))^2),"")</f>
        <v/>
      </c>
      <c r="BG74" s="14" t="str">
        <f>_xlfn.IFNA(SQRT((VLOOKUP(BG$1,DATA!$A$3:$F$301,2,FALSE)-VLOOKUP($A74,DATA!$A$3:$F$301,2,FALSE))^2+(VLOOKUP(BG$1,DATA!$A$3:$F$301,3,FALSE)-VLOOKUP($A74,DATA!$A$3:$F$301,3,FALSE))^2),"")</f>
        <v/>
      </c>
      <c r="BH74" s="14" t="str">
        <f>_xlfn.IFNA(SQRT((VLOOKUP(BH$1,DATA!$A$3:$F$301,2,FALSE)-VLOOKUP($A74,DATA!$A$3:$F$301,2,FALSE))^2+(VLOOKUP(BH$1,DATA!$A$3:$F$301,3,FALSE)-VLOOKUP($A74,DATA!$A$3:$F$301,3,FALSE))^2),"")</f>
        <v/>
      </c>
      <c r="BI74" s="14" t="str">
        <f>_xlfn.IFNA(SQRT((VLOOKUP(BI$1,DATA!$A$3:$F$301,2,FALSE)-VLOOKUP($A74,DATA!$A$3:$F$301,2,FALSE))^2+(VLOOKUP(BI$1,DATA!$A$3:$F$301,3,FALSE)-VLOOKUP($A74,DATA!$A$3:$F$301,3,FALSE))^2),"")</f>
        <v/>
      </c>
      <c r="BJ74" s="14" t="str">
        <f>_xlfn.IFNA(SQRT((VLOOKUP(BJ$1,DATA!$A$3:$F$301,2,FALSE)-VLOOKUP($A74,DATA!$A$3:$F$301,2,FALSE))^2+(VLOOKUP(BJ$1,DATA!$A$3:$F$301,3,FALSE)-VLOOKUP($A74,DATA!$A$3:$F$301,3,FALSE))^2),"")</f>
        <v/>
      </c>
      <c r="BK74" s="14" t="str">
        <f>_xlfn.IFNA(SQRT((VLOOKUP(BK$1,DATA!$A$3:$F$301,2,FALSE)-VLOOKUP($A74,DATA!$A$3:$F$301,2,FALSE))^2+(VLOOKUP(BK$1,DATA!$A$3:$F$301,3,FALSE)-VLOOKUP($A74,DATA!$A$3:$F$301,3,FALSE))^2),"")</f>
        <v/>
      </c>
      <c r="BL74" s="14" t="str">
        <f>_xlfn.IFNA(SQRT((VLOOKUP(BL$1,DATA!$A$3:$F$301,2,FALSE)-VLOOKUP($A74,DATA!$A$3:$F$301,2,FALSE))^2+(VLOOKUP(BL$1,DATA!$A$3:$F$301,3,FALSE)-VLOOKUP($A74,DATA!$A$3:$F$301,3,FALSE))^2),"")</f>
        <v/>
      </c>
      <c r="BM74" s="14" t="str">
        <f>_xlfn.IFNA(SQRT((VLOOKUP(BM$1,DATA!$A$3:$F$301,2,FALSE)-VLOOKUP($A74,DATA!$A$3:$F$301,2,FALSE))^2+(VLOOKUP(BM$1,DATA!$A$3:$F$301,3,FALSE)-VLOOKUP($A74,DATA!$A$3:$F$301,3,FALSE))^2),"")</f>
        <v/>
      </c>
      <c r="BN74" s="14" t="str">
        <f>_xlfn.IFNA(SQRT((VLOOKUP(BN$1,DATA!$A$3:$F$301,2,FALSE)-VLOOKUP($A74,DATA!$A$3:$F$301,2,FALSE))^2+(VLOOKUP(BN$1,DATA!$A$3:$F$301,3,FALSE)-VLOOKUP($A74,DATA!$A$3:$F$301,3,FALSE))^2),"")</f>
        <v/>
      </c>
      <c r="BO74" s="14" t="str">
        <f>_xlfn.IFNA(SQRT((VLOOKUP(BO$1,DATA!$A$3:$F$301,2,FALSE)-VLOOKUP($A74,DATA!$A$3:$F$301,2,FALSE))^2+(VLOOKUP(BO$1,DATA!$A$3:$F$301,3,FALSE)-VLOOKUP($A74,DATA!$A$3:$F$301,3,FALSE))^2),"")</f>
        <v/>
      </c>
      <c r="BP74" s="14" t="str">
        <f>_xlfn.IFNA(SQRT((VLOOKUP(BP$1,DATA!$A$3:$F$301,2,FALSE)-VLOOKUP($A74,DATA!$A$3:$F$301,2,FALSE))^2+(VLOOKUP(BP$1,DATA!$A$3:$F$301,3,FALSE)-VLOOKUP($A74,DATA!$A$3:$F$301,3,FALSE))^2),"")</f>
        <v/>
      </c>
      <c r="BQ74" s="14" t="str">
        <f>_xlfn.IFNA(SQRT((VLOOKUP(BQ$1,DATA!$A$3:$F$301,2,FALSE)-VLOOKUP($A74,DATA!$A$3:$F$301,2,FALSE))^2+(VLOOKUP(BQ$1,DATA!$A$3:$F$301,3,FALSE)-VLOOKUP($A74,DATA!$A$3:$F$301,3,FALSE))^2),"")</f>
        <v/>
      </c>
      <c r="BR74" s="14" t="str">
        <f>_xlfn.IFNA(SQRT((VLOOKUP(BR$1,DATA!$A$3:$F$301,2,FALSE)-VLOOKUP($A74,DATA!$A$3:$F$301,2,FALSE))^2+(VLOOKUP(BR$1,DATA!$A$3:$F$301,3,FALSE)-VLOOKUP($A74,DATA!$A$3:$F$301,3,FALSE))^2),"")</f>
        <v/>
      </c>
      <c r="BS74" s="14" t="str">
        <f>_xlfn.IFNA(SQRT((VLOOKUP(BS$1,DATA!$A$3:$F$301,2,FALSE)-VLOOKUP($A74,DATA!$A$3:$F$301,2,FALSE))^2+(VLOOKUP(BS$1,DATA!$A$3:$F$301,3,FALSE)-VLOOKUP($A74,DATA!$A$3:$F$301,3,FALSE))^2),"")</f>
        <v/>
      </c>
      <c r="BT74" s="14" t="str">
        <f>_xlfn.IFNA(SQRT((VLOOKUP(BT$1,DATA!$A$3:$F$301,2,FALSE)-VLOOKUP($A74,DATA!$A$3:$F$301,2,FALSE))^2+(VLOOKUP(BT$1,DATA!$A$3:$F$301,3,FALSE)-VLOOKUP($A74,DATA!$A$3:$F$301,3,FALSE))^2),"")</f>
        <v/>
      </c>
      <c r="BU74" s="14" t="str">
        <f>_xlfn.IFNA(SQRT((VLOOKUP(BU$1,DATA!$A$3:$F$301,2,FALSE)-VLOOKUP($A74,DATA!$A$3:$F$301,2,FALSE))^2+(VLOOKUP(BU$1,DATA!$A$3:$F$301,3,FALSE)-VLOOKUP($A74,DATA!$A$3:$F$301,3,FALSE))^2),"")</f>
        <v/>
      </c>
      <c r="BV74" s="14" t="str">
        <f>_xlfn.IFNA(SQRT((VLOOKUP(BV$1,DATA!$A$3:$F$301,2,FALSE)-VLOOKUP($A74,DATA!$A$3:$F$301,2,FALSE))^2+(VLOOKUP(BV$1,DATA!$A$3:$F$301,3,FALSE)-VLOOKUP($A74,DATA!$A$3:$F$301,3,FALSE))^2),"")</f>
        <v/>
      </c>
      <c r="BW74" s="14" t="str">
        <f>_xlfn.IFNA(SQRT((VLOOKUP(BW$1,DATA!$A$3:$F$301,2,FALSE)-VLOOKUP($A74,DATA!$A$3:$F$301,2,FALSE))^2+(VLOOKUP(BW$1,DATA!$A$3:$F$301,3,FALSE)-VLOOKUP($A74,DATA!$A$3:$F$301,3,FALSE))^2),"")</f>
        <v/>
      </c>
      <c r="BX74" s="14" t="str">
        <f>_xlfn.IFNA(SQRT((VLOOKUP(BX$1,DATA!$A$3:$F$301,2,FALSE)-VLOOKUP($A74,DATA!$A$3:$F$301,2,FALSE))^2+(VLOOKUP(BX$1,DATA!$A$3:$F$301,3,FALSE)-VLOOKUP($A74,DATA!$A$3:$F$301,3,FALSE))^2),"")</f>
        <v/>
      </c>
      <c r="BY74" s="14" t="str">
        <f>_xlfn.IFNA(SQRT((VLOOKUP(BY$1,DATA!$A$3:$F$301,2,FALSE)-VLOOKUP($A74,DATA!$A$3:$F$301,2,FALSE))^2+(VLOOKUP(BY$1,DATA!$A$3:$F$301,3,FALSE)-VLOOKUP($A74,DATA!$A$3:$F$301,3,FALSE))^2),"")</f>
        <v/>
      </c>
      <c r="BZ74" s="14" t="str">
        <f>_xlfn.IFNA(SQRT((VLOOKUP(BZ$1,DATA!$A$3:$F$301,2,FALSE)-VLOOKUP($A74,DATA!$A$3:$F$301,2,FALSE))^2+(VLOOKUP(BZ$1,DATA!$A$3:$F$301,3,FALSE)-VLOOKUP($A74,DATA!$A$3:$F$301,3,FALSE))^2),"")</f>
        <v/>
      </c>
      <c r="CA74" s="14" t="str">
        <f>_xlfn.IFNA(SQRT((VLOOKUP(CA$1,DATA!$A$3:$F$301,2,FALSE)-VLOOKUP($A74,DATA!$A$3:$F$301,2,FALSE))^2+(VLOOKUP(CA$1,DATA!$A$3:$F$301,3,FALSE)-VLOOKUP($A74,DATA!$A$3:$F$301,3,FALSE))^2),"")</f>
        <v/>
      </c>
      <c r="CB74" s="14" t="str">
        <f>_xlfn.IFNA(SQRT((VLOOKUP(CB$1,DATA!$A$3:$F$301,2,FALSE)-VLOOKUP($A74,DATA!$A$3:$F$301,2,FALSE))^2+(VLOOKUP(CB$1,DATA!$A$3:$F$301,3,FALSE)-VLOOKUP($A74,DATA!$A$3:$F$301,3,FALSE))^2),"")</f>
        <v/>
      </c>
      <c r="CC74" s="14" t="str">
        <f>_xlfn.IFNA(SQRT((VLOOKUP(CC$1,DATA!$A$3:$F$301,2,FALSE)-VLOOKUP($A74,DATA!$A$3:$F$301,2,FALSE))^2+(VLOOKUP(CC$1,DATA!$A$3:$F$301,3,FALSE)-VLOOKUP($A74,DATA!$A$3:$F$301,3,FALSE))^2),"")</f>
        <v/>
      </c>
      <c r="CD74" s="14" t="str">
        <f>_xlfn.IFNA(SQRT((VLOOKUP(CD$1,DATA!$A$3:$F$301,2,FALSE)-VLOOKUP($A74,DATA!$A$3:$F$301,2,FALSE))^2+(VLOOKUP(CD$1,DATA!$A$3:$F$301,3,FALSE)-VLOOKUP($A74,DATA!$A$3:$F$301,3,FALSE))^2),"")</f>
        <v/>
      </c>
      <c r="CE74" s="14" t="str">
        <f>_xlfn.IFNA(SQRT((VLOOKUP(CE$1,DATA!$A$3:$F$301,2,FALSE)-VLOOKUP($A74,DATA!$A$3:$F$301,2,FALSE))^2+(VLOOKUP(CE$1,DATA!$A$3:$F$301,3,FALSE)-VLOOKUP($A74,DATA!$A$3:$F$301,3,FALSE))^2),"")</f>
        <v/>
      </c>
      <c r="CF74" s="14" t="str">
        <f>_xlfn.IFNA(SQRT((VLOOKUP(CF$1,DATA!$A$3:$F$301,2,FALSE)-VLOOKUP($A74,DATA!$A$3:$F$301,2,FALSE))^2+(VLOOKUP(CF$1,DATA!$A$3:$F$301,3,FALSE)-VLOOKUP($A74,DATA!$A$3:$F$301,3,FALSE))^2),"")</f>
        <v/>
      </c>
      <c r="CG74" s="14" t="str">
        <f>_xlfn.IFNA(SQRT((VLOOKUP(CG$1,DATA!$A$3:$F$301,2,FALSE)-VLOOKUP($A74,DATA!$A$3:$F$301,2,FALSE))^2+(VLOOKUP(CG$1,DATA!$A$3:$F$301,3,FALSE)-VLOOKUP($A74,DATA!$A$3:$F$301,3,FALSE))^2),"")</f>
        <v/>
      </c>
      <c r="CH74" s="14" t="str">
        <f>_xlfn.IFNA(SQRT((VLOOKUP(CH$1,DATA!$A$3:$F$301,2,FALSE)-VLOOKUP($A74,DATA!$A$3:$F$301,2,FALSE))^2+(VLOOKUP(CH$1,DATA!$A$3:$F$301,3,FALSE)-VLOOKUP($A74,DATA!$A$3:$F$301,3,FALSE))^2),"")</f>
        <v/>
      </c>
      <c r="CI74" s="14" t="str">
        <f>_xlfn.IFNA(SQRT((VLOOKUP(CI$1,DATA!$A$3:$F$301,2,FALSE)-VLOOKUP($A74,DATA!$A$3:$F$301,2,FALSE))^2+(VLOOKUP(CI$1,DATA!$A$3:$F$301,3,FALSE)-VLOOKUP($A74,DATA!$A$3:$F$301,3,FALSE))^2),"")</f>
        <v/>
      </c>
      <c r="CJ74" s="14" t="str">
        <f>_xlfn.IFNA(SQRT((VLOOKUP(CJ$1,DATA!$A$3:$F$301,2,FALSE)-VLOOKUP($A74,DATA!$A$3:$F$301,2,FALSE))^2+(VLOOKUP(CJ$1,DATA!$A$3:$F$301,3,FALSE)-VLOOKUP($A74,DATA!$A$3:$F$301,3,FALSE))^2),"")</f>
        <v/>
      </c>
      <c r="CK74" s="14" t="str">
        <f>_xlfn.IFNA(SQRT((VLOOKUP(CK$1,DATA!$A$3:$F$301,2,FALSE)-VLOOKUP($A74,DATA!$A$3:$F$301,2,FALSE))^2+(VLOOKUP(CK$1,DATA!$A$3:$F$301,3,FALSE)-VLOOKUP($A74,DATA!$A$3:$F$301,3,FALSE))^2),"")</f>
        <v/>
      </c>
      <c r="CL74" s="14" t="str">
        <f>_xlfn.IFNA(SQRT((VLOOKUP(CL$1,DATA!$A$3:$F$301,2,FALSE)-VLOOKUP($A74,DATA!$A$3:$F$301,2,FALSE))^2+(VLOOKUP(CL$1,DATA!$A$3:$F$301,3,FALSE)-VLOOKUP($A74,DATA!$A$3:$F$301,3,FALSE))^2),"")</f>
        <v/>
      </c>
      <c r="CM74" s="14" t="str">
        <f>_xlfn.IFNA(SQRT((VLOOKUP(CM$1,DATA!$A$3:$F$301,2,FALSE)-VLOOKUP($A74,DATA!$A$3:$F$301,2,FALSE))^2+(VLOOKUP(CM$1,DATA!$A$3:$F$301,3,FALSE)-VLOOKUP($A74,DATA!$A$3:$F$301,3,FALSE))^2),"")</f>
        <v/>
      </c>
      <c r="CN74" s="14" t="str">
        <f>_xlfn.IFNA(SQRT((VLOOKUP(CN$1,DATA!$A$3:$F$301,2,FALSE)-VLOOKUP($A74,DATA!$A$3:$F$301,2,FALSE))^2+(VLOOKUP(CN$1,DATA!$A$3:$F$301,3,FALSE)-VLOOKUP($A74,DATA!$A$3:$F$301,3,FALSE))^2),"")</f>
        <v/>
      </c>
      <c r="CO74" s="14" t="str">
        <f>_xlfn.IFNA(SQRT((VLOOKUP(CO$1,DATA!$A$3:$F$301,2,FALSE)-VLOOKUP($A74,DATA!$A$3:$F$301,2,FALSE))^2+(VLOOKUP(CO$1,DATA!$A$3:$F$301,3,FALSE)-VLOOKUP($A74,DATA!$A$3:$F$301,3,FALSE))^2),"")</f>
        <v/>
      </c>
      <c r="CP74" s="14" t="str">
        <f>_xlfn.IFNA(SQRT((VLOOKUP(CP$1,DATA!$A$3:$F$301,2,FALSE)-VLOOKUP($A74,DATA!$A$3:$F$301,2,FALSE))^2+(VLOOKUP(CP$1,DATA!$A$3:$F$301,3,FALSE)-VLOOKUP($A74,DATA!$A$3:$F$301,3,FALSE))^2),"")</f>
        <v/>
      </c>
      <c r="CQ74" s="14" t="str">
        <f>_xlfn.IFNA(SQRT((VLOOKUP(CQ$1,DATA!$A$3:$F$301,2,FALSE)-VLOOKUP($A74,DATA!$A$3:$F$301,2,FALSE))^2+(VLOOKUP(CQ$1,DATA!$A$3:$F$301,3,FALSE)-VLOOKUP($A74,DATA!$A$3:$F$301,3,FALSE))^2),"")</f>
        <v/>
      </c>
      <c r="CR74" s="14" t="str">
        <f>_xlfn.IFNA(SQRT((VLOOKUP(CR$1,DATA!$A$3:$F$301,2,FALSE)-VLOOKUP($A74,DATA!$A$3:$F$301,2,FALSE))^2+(VLOOKUP(CR$1,DATA!$A$3:$F$301,3,FALSE)-VLOOKUP($A74,DATA!$A$3:$F$301,3,FALSE))^2),"")</f>
        <v/>
      </c>
      <c r="CS74" s="14" t="str">
        <f>_xlfn.IFNA(SQRT((VLOOKUP(CS$1,DATA!$A$3:$F$301,2,FALSE)-VLOOKUP($A74,DATA!$A$3:$F$301,2,FALSE))^2+(VLOOKUP(CS$1,DATA!$A$3:$F$301,3,FALSE)-VLOOKUP($A74,DATA!$A$3:$F$301,3,FALSE))^2),"")</f>
        <v/>
      </c>
      <c r="CT74" s="14" t="str">
        <f>_xlfn.IFNA(SQRT((VLOOKUP(CT$1,DATA!$A$3:$F$301,2,FALSE)-VLOOKUP($A74,DATA!$A$3:$F$301,2,FALSE))^2+(VLOOKUP(CT$1,DATA!$A$3:$F$301,3,FALSE)-VLOOKUP($A74,DATA!$A$3:$F$301,3,FALSE))^2),"")</f>
        <v/>
      </c>
      <c r="CU74" s="14" t="str">
        <f>_xlfn.IFNA(SQRT((VLOOKUP(CU$1,DATA!$A$3:$F$301,2,FALSE)-VLOOKUP($A74,DATA!$A$3:$F$301,2,FALSE))^2+(VLOOKUP(CU$1,DATA!$A$3:$F$301,3,FALSE)-VLOOKUP($A74,DATA!$A$3:$F$301,3,FALSE))^2),"")</f>
        <v/>
      </c>
      <c r="CV74" s="14" t="str">
        <f>_xlfn.IFNA(SQRT((VLOOKUP(CV$1,DATA!$A$3:$F$301,2,FALSE)-VLOOKUP($A74,DATA!$A$3:$F$301,2,FALSE))^2+(VLOOKUP(CV$1,DATA!$A$3:$F$301,3,FALSE)-VLOOKUP($A74,DATA!$A$3:$F$301,3,FALSE))^2),"")</f>
        <v/>
      </c>
      <c r="CW74" s="14" t="str">
        <f>_xlfn.IFNA(SQRT((VLOOKUP(CW$1,DATA!$A$3:$F$301,2,FALSE)-VLOOKUP($A74,DATA!$A$3:$F$301,2,FALSE))^2+(VLOOKUP(CW$1,DATA!$A$3:$F$301,3,FALSE)-VLOOKUP($A74,DATA!$A$3:$F$301,3,FALSE))^2),"")</f>
        <v/>
      </c>
      <c r="CX74" s="14" t="str">
        <f>_xlfn.IFNA(SQRT((VLOOKUP(CX$1,DATA!$A$3:$F$301,2,FALSE)-VLOOKUP($A74,DATA!$A$3:$F$301,2,FALSE))^2+(VLOOKUP(CX$1,DATA!$A$3:$F$301,3,FALSE)-VLOOKUP($A74,DATA!$A$3:$F$301,3,FALSE))^2),"")</f>
        <v/>
      </c>
    </row>
    <row r="75" spans="1:102">
      <c r="A75" s="13">
        <v>74</v>
      </c>
      <c r="B75" s="14" t="str">
        <f>_xlfn.IFNA(SQRT((VLOOKUP(B$1,DATA!$A$3:$F$301,2,FALSE)-VLOOKUP($A75,DATA!$A$3:$F$301,2,FALSE))^2+(VLOOKUP(B$1,DATA!$A$3:$F$301,3,FALSE)-VLOOKUP($A75,DATA!$A$3:$F$301,3,FALSE))^2),"")</f>
        <v/>
      </c>
      <c r="C75" s="14" t="str">
        <f>_xlfn.IFNA(SQRT((VLOOKUP(C$1,DATA!$A$3:$F$301,2,FALSE)-VLOOKUP($A75,DATA!$A$3:$F$301,2,FALSE))^2+(VLOOKUP(C$1,DATA!$A$3:$F$301,3,FALSE)-VLOOKUP($A75,DATA!$A$3:$F$301,3,FALSE))^2),"")</f>
        <v/>
      </c>
      <c r="D75" s="14" t="str">
        <f>_xlfn.IFNA(SQRT((VLOOKUP(D$1,DATA!$A$3:$F$301,2,FALSE)-VLOOKUP($A75,DATA!$A$3:$F$301,2,FALSE))^2+(VLOOKUP(D$1,DATA!$A$3:$F$301,3,FALSE)-VLOOKUP($A75,DATA!$A$3:$F$301,3,FALSE))^2),"")</f>
        <v/>
      </c>
      <c r="E75" s="14" t="str">
        <f>_xlfn.IFNA(SQRT((VLOOKUP(E$1,DATA!$A$3:$F$301,2,FALSE)-VLOOKUP($A75,DATA!$A$3:$F$301,2,FALSE))^2+(VLOOKUP(E$1,DATA!$A$3:$F$301,3,FALSE)-VLOOKUP($A75,DATA!$A$3:$F$301,3,FALSE))^2),"")</f>
        <v/>
      </c>
      <c r="F75" s="14" t="str">
        <f>_xlfn.IFNA(SQRT((VLOOKUP(F$1,DATA!$A$3:$F$301,2,FALSE)-VLOOKUP($A75,DATA!$A$3:$F$301,2,FALSE))^2+(VLOOKUP(F$1,DATA!$A$3:$F$301,3,FALSE)-VLOOKUP($A75,DATA!$A$3:$F$301,3,FALSE))^2),"")</f>
        <v/>
      </c>
      <c r="G75" s="14" t="str">
        <f>_xlfn.IFNA(SQRT((VLOOKUP(G$1,DATA!$A$3:$F$301,2,FALSE)-VLOOKUP($A75,DATA!$A$3:$F$301,2,FALSE))^2+(VLOOKUP(G$1,DATA!$A$3:$F$301,3,FALSE)-VLOOKUP($A75,DATA!$A$3:$F$301,3,FALSE))^2),"")</f>
        <v/>
      </c>
      <c r="H75" s="14" t="str">
        <f>_xlfn.IFNA(SQRT((VLOOKUP(H$1,DATA!$A$3:$F$301,2,FALSE)-VLOOKUP($A75,DATA!$A$3:$F$301,2,FALSE))^2+(VLOOKUP(H$1,DATA!$A$3:$F$301,3,FALSE)-VLOOKUP($A75,DATA!$A$3:$F$301,3,FALSE))^2),"")</f>
        <v/>
      </c>
      <c r="I75" s="14" t="str">
        <f>_xlfn.IFNA(SQRT((VLOOKUP(I$1,DATA!$A$3:$F$301,2,FALSE)-VLOOKUP($A75,DATA!$A$3:$F$301,2,FALSE))^2+(VLOOKUP(I$1,DATA!$A$3:$F$301,3,FALSE)-VLOOKUP($A75,DATA!$A$3:$F$301,3,FALSE))^2),"")</f>
        <v/>
      </c>
      <c r="J75" s="14" t="str">
        <f>_xlfn.IFNA(SQRT((VLOOKUP(J$1,DATA!$A$3:$F$301,2,FALSE)-VLOOKUP($A75,DATA!$A$3:$F$301,2,FALSE))^2+(VLOOKUP(J$1,DATA!$A$3:$F$301,3,FALSE)-VLOOKUP($A75,DATA!$A$3:$F$301,3,FALSE))^2),"")</f>
        <v/>
      </c>
      <c r="K75" s="14" t="str">
        <f>_xlfn.IFNA(SQRT((VLOOKUP(K$1,DATA!$A$3:$F$301,2,FALSE)-VLOOKUP($A75,DATA!$A$3:$F$301,2,FALSE))^2+(VLOOKUP(K$1,DATA!$A$3:$F$301,3,FALSE)-VLOOKUP($A75,DATA!$A$3:$F$301,3,FALSE))^2),"")</f>
        <v/>
      </c>
      <c r="L75" s="14" t="str">
        <f>_xlfn.IFNA(SQRT((VLOOKUP(L$1,DATA!$A$3:$F$301,2,FALSE)-VLOOKUP($A75,DATA!$A$3:$F$301,2,FALSE))^2+(VLOOKUP(L$1,DATA!$A$3:$F$301,3,FALSE)-VLOOKUP($A75,DATA!$A$3:$F$301,3,FALSE))^2),"")</f>
        <v/>
      </c>
      <c r="M75" s="14" t="str">
        <f>_xlfn.IFNA(SQRT((VLOOKUP(M$1,DATA!$A$3:$F$301,2,FALSE)-VLOOKUP($A75,DATA!$A$3:$F$301,2,FALSE))^2+(VLOOKUP(M$1,DATA!$A$3:$F$301,3,FALSE)-VLOOKUP($A75,DATA!$A$3:$F$301,3,FALSE))^2),"")</f>
        <v/>
      </c>
      <c r="N75" s="14" t="str">
        <f>_xlfn.IFNA(SQRT((VLOOKUP(N$1,DATA!$A$3:$F$301,2,FALSE)-VLOOKUP($A75,DATA!$A$3:$F$301,2,FALSE))^2+(VLOOKUP(N$1,DATA!$A$3:$F$301,3,FALSE)-VLOOKUP($A75,DATA!$A$3:$F$301,3,FALSE))^2),"")</f>
        <v/>
      </c>
      <c r="O75" s="14" t="str">
        <f>_xlfn.IFNA(SQRT((VLOOKUP(O$1,DATA!$A$3:$F$301,2,FALSE)-VLOOKUP($A75,DATA!$A$3:$F$301,2,FALSE))^2+(VLOOKUP(O$1,DATA!$A$3:$F$301,3,FALSE)-VLOOKUP($A75,DATA!$A$3:$F$301,3,FALSE))^2),"")</f>
        <v/>
      </c>
      <c r="P75" s="14" t="str">
        <f>_xlfn.IFNA(SQRT((VLOOKUP(P$1,DATA!$A$3:$F$301,2,FALSE)-VLOOKUP($A75,DATA!$A$3:$F$301,2,FALSE))^2+(VLOOKUP(P$1,DATA!$A$3:$F$301,3,FALSE)-VLOOKUP($A75,DATA!$A$3:$F$301,3,FALSE))^2),"")</f>
        <v/>
      </c>
      <c r="Q75" s="14" t="str">
        <f>_xlfn.IFNA(SQRT((VLOOKUP(Q$1,DATA!$A$3:$F$301,2,FALSE)-VLOOKUP($A75,DATA!$A$3:$F$301,2,FALSE))^2+(VLOOKUP(Q$1,DATA!$A$3:$F$301,3,FALSE)-VLOOKUP($A75,DATA!$A$3:$F$301,3,FALSE))^2),"")</f>
        <v/>
      </c>
      <c r="R75" s="14" t="str">
        <f>_xlfn.IFNA(SQRT((VLOOKUP(R$1,DATA!$A$3:$F$301,2,FALSE)-VLOOKUP($A75,DATA!$A$3:$F$301,2,FALSE))^2+(VLOOKUP(R$1,DATA!$A$3:$F$301,3,FALSE)-VLOOKUP($A75,DATA!$A$3:$F$301,3,FALSE))^2),"")</f>
        <v/>
      </c>
      <c r="S75" s="14" t="str">
        <f>_xlfn.IFNA(SQRT((VLOOKUP(S$1,DATA!$A$3:$F$301,2,FALSE)-VLOOKUP($A75,DATA!$A$3:$F$301,2,FALSE))^2+(VLOOKUP(S$1,DATA!$A$3:$F$301,3,FALSE)-VLOOKUP($A75,DATA!$A$3:$F$301,3,FALSE))^2),"")</f>
        <v/>
      </c>
      <c r="T75" s="14" t="str">
        <f>_xlfn.IFNA(SQRT((VLOOKUP(T$1,DATA!$A$3:$F$301,2,FALSE)-VLOOKUP($A75,DATA!$A$3:$F$301,2,FALSE))^2+(VLOOKUP(T$1,DATA!$A$3:$F$301,3,FALSE)-VLOOKUP($A75,DATA!$A$3:$F$301,3,FALSE))^2),"")</f>
        <v/>
      </c>
      <c r="U75" s="14" t="str">
        <f>_xlfn.IFNA(SQRT((VLOOKUP(U$1,DATA!$A$3:$F$301,2,FALSE)-VLOOKUP($A75,DATA!$A$3:$F$301,2,FALSE))^2+(VLOOKUP(U$1,DATA!$A$3:$F$301,3,FALSE)-VLOOKUP($A75,DATA!$A$3:$F$301,3,FALSE))^2),"")</f>
        <v/>
      </c>
      <c r="V75" s="14" t="str">
        <f>_xlfn.IFNA(SQRT((VLOOKUP(V$1,DATA!$A$3:$F$301,2,FALSE)-VLOOKUP($A75,DATA!$A$3:$F$301,2,FALSE))^2+(VLOOKUP(V$1,DATA!$A$3:$F$301,3,FALSE)-VLOOKUP($A75,DATA!$A$3:$F$301,3,FALSE))^2),"")</f>
        <v/>
      </c>
      <c r="W75" s="14" t="str">
        <f>_xlfn.IFNA(SQRT((VLOOKUP(W$1,DATA!$A$3:$F$301,2,FALSE)-VLOOKUP($A75,DATA!$A$3:$F$301,2,FALSE))^2+(VLOOKUP(W$1,DATA!$A$3:$F$301,3,FALSE)-VLOOKUP($A75,DATA!$A$3:$F$301,3,FALSE))^2),"")</f>
        <v/>
      </c>
      <c r="X75" s="14" t="str">
        <f>_xlfn.IFNA(SQRT((VLOOKUP(X$1,DATA!$A$3:$F$301,2,FALSE)-VLOOKUP($A75,DATA!$A$3:$F$301,2,FALSE))^2+(VLOOKUP(X$1,DATA!$A$3:$F$301,3,FALSE)-VLOOKUP($A75,DATA!$A$3:$F$301,3,FALSE))^2),"")</f>
        <v/>
      </c>
      <c r="Y75" s="14" t="str">
        <f>_xlfn.IFNA(SQRT((VLOOKUP(Y$1,DATA!$A$3:$F$301,2,FALSE)-VLOOKUP($A75,DATA!$A$3:$F$301,2,FALSE))^2+(VLOOKUP(Y$1,DATA!$A$3:$F$301,3,FALSE)-VLOOKUP($A75,DATA!$A$3:$F$301,3,FALSE))^2),"")</f>
        <v/>
      </c>
      <c r="Z75" s="14" t="str">
        <f>_xlfn.IFNA(SQRT((VLOOKUP(Z$1,DATA!$A$3:$F$301,2,FALSE)-VLOOKUP($A75,DATA!$A$3:$F$301,2,FALSE))^2+(VLOOKUP(Z$1,DATA!$A$3:$F$301,3,FALSE)-VLOOKUP($A75,DATA!$A$3:$F$301,3,FALSE))^2),"")</f>
        <v/>
      </c>
      <c r="AA75" s="14" t="str">
        <f>_xlfn.IFNA(SQRT((VLOOKUP(AA$1,DATA!$A$3:$F$301,2,FALSE)-VLOOKUP($A75,DATA!$A$3:$F$301,2,FALSE))^2+(VLOOKUP(AA$1,DATA!$A$3:$F$301,3,FALSE)-VLOOKUP($A75,DATA!$A$3:$F$301,3,FALSE))^2),"")</f>
        <v/>
      </c>
      <c r="AB75" s="14" t="str">
        <f>_xlfn.IFNA(SQRT((VLOOKUP(AB$1,DATA!$A$3:$F$301,2,FALSE)-VLOOKUP($A75,DATA!$A$3:$F$301,2,FALSE))^2+(VLOOKUP(AB$1,DATA!$A$3:$F$301,3,FALSE)-VLOOKUP($A75,DATA!$A$3:$F$301,3,FALSE))^2),"")</f>
        <v/>
      </c>
      <c r="AC75" s="14" t="str">
        <f>_xlfn.IFNA(SQRT((VLOOKUP(AC$1,DATA!$A$3:$F$301,2,FALSE)-VLOOKUP($A75,DATA!$A$3:$F$301,2,FALSE))^2+(VLOOKUP(AC$1,DATA!$A$3:$F$301,3,FALSE)-VLOOKUP($A75,DATA!$A$3:$F$301,3,FALSE))^2),"")</f>
        <v/>
      </c>
      <c r="AD75" s="14" t="str">
        <f>_xlfn.IFNA(SQRT((VLOOKUP(AD$1,DATA!$A$3:$F$301,2,FALSE)-VLOOKUP($A75,DATA!$A$3:$F$301,2,FALSE))^2+(VLOOKUP(AD$1,DATA!$A$3:$F$301,3,FALSE)-VLOOKUP($A75,DATA!$A$3:$F$301,3,FALSE))^2),"")</f>
        <v/>
      </c>
      <c r="AE75" s="14" t="str">
        <f>_xlfn.IFNA(SQRT((VLOOKUP(AE$1,DATA!$A$3:$F$301,2,FALSE)-VLOOKUP($A75,DATA!$A$3:$F$301,2,FALSE))^2+(VLOOKUP(AE$1,DATA!$A$3:$F$301,3,FALSE)-VLOOKUP($A75,DATA!$A$3:$F$301,3,FALSE))^2),"")</f>
        <v/>
      </c>
      <c r="AF75" s="14" t="str">
        <f>_xlfn.IFNA(SQRT((VLOOKUP(AF$1,DATA!$A$3:$F$301,2,FALSE)-VLOOKUP($A75,DATA!$A$3:$F$301,2,FALSE))^2+(VLOOKUP(AF$1,DATA!$A$3:$F$301,3,FALSE)-VLOOKUP($A75,DATA!$A$3:$F$301,3,FALSE))^2),"")</f>
        <v/>
      </c>
      <c r="AG75" s="14" t="str">
        <f>_xlfn.IFNA(SQRT((VLOOKUP(AG$1,DATA!$A$3:$F$301,2,FALSE)-VLOOKUP($A75,DATA!$A$3:$F$301,2,FALSE))^2+(VLOOKUP(AG$1,DATA!$A$3:$F$301,3,FALSE)-VLOOKUP($A75,DATA!$A$3:$F$301,3,FALSE))^2),"")</f>
        <v/>
      </c>
      <c r="AH75" s="14" t="str">
        <f>_xlfn.IFNA(SQRT((VLOOKUP(AH$1,DATA!$A$3:$F$301,2,FALSE)-VLOOKUP($A75,DATA!$A$3:$F$301,2,FALSE))^2+(VLOOKUP(AH$1,DATA!$A$3:$F$301,3,FALSE)-VLOOKUP($A75,DATA!$A$3:$F$301,3,FALSE))^2),"")</f>
        <v/>
      </c>
      <c r="AI75" s="14" t="str">
        <f>_xlfn.IFNA(SQRT((VLOOKUP(AI$1,DATA!$A$3:$F$301,2,FALSE)-VLOOKUP($A75,DATA!$A$3:$F$301,2,FALSE))^2+(VLOOKUP(AI$1,DATA!$A$3:$F$301,3,FALSE)-VLOOKUP($A75,DATA!$A$3:$F$301,3,FALSE))^2),"")</f>
        <v/>
      </c>
      <c r="AJ75" s="14" t="str">
        <f>_xlfn.IFNA(SQRT((VLOOKUP(AJ$1,DATA!$A$3:$F$301,2,FALSE)-VLOOKUP($A75,DATA!$A$3:$F$301,2,FALSE))^2+(VLOOKUP(AJ$1,DATA!$A$3:$F$301,3,FALSE)-VLOOKUP($A75,DATA!$A$3:$F$301,3,FALSE))^2),"")</f>
        <v/>
      </c>
      <c r="AK75" s="14" t="str">
        <f>_xlfn.IFNA(SQRT((VLOOKUP(AK$1,DATA!$A$3:$F$301,2,FALSE)-VLOOKUP($A75,DATA!$A$3:$F$301,2,FALSE))^2+(VLOOKUP(AK$1,DATA!$A$3:$F$301,3,FALSE)-VLOOKUP($A75,DATA!$A$3:$F$301,3,FALSE))^2),"")</f>
        <v/>
      </c>
      <c r="AL75" s="14" t="str">
        <f>_xlfn.IFNA(SQRT((VLOOKUP(AL$1,DATA!$A$3:$F$301,2,FALSE)-VLOOKUP($A75,DATA!$A$3:$F$301,2,FALSE))^2+(VLOOKUP(AL$1,DATA!$A$3:$F$301,3,FALSE)-VLOOKUP($A75,DATA!$A$3:$F$301,3,FALSE))^2),"")</f>
        <v/>
      </c>
      <c r="AM75" s="14" t="str">
        <f>_xlfn.IFNA(SQRT((VLOOKUP(AM$1,DATA!$A$3:$F$301,2,FALSE)-VLOOKUP($A75,DATA!$A$3:$F$301,2,FALSE))^2+(VLOOKUP(AM$1,DATA!$A$3:$F$301,3,FALSE)-VLOOKUP($A75,DATA!$A$3:$F$301,3,FALSE))^2),"")</f>
        <v/>
      </c>
      <c r="AN75" s="14" t="str">
        <f>_xlfn.IFNA(SQRT((VLOOKUP(AN$1,DATA!$A$3:$F$301,2,FALSE)-VLOOKUP($A75,DATA!$A$3:$F$301,2,FALSE))^2+(VLOOKUP(AN$1,DATA!$A$3:$F$301,3,FALSE)-VLOOKUP($A75,DATA!$A$3:$F$301,3,FALSE))^2),"")</f>
        <v/>
      </c>
      <c r="AO75" s="14" t="str">
        <f>_xlfn.IFNA(SQRT((VLOOKUP(AO$1,DATA!$A$3:$F$301,2,FALSE)-VLOOKUP($A75,DATA!$A$3:$F$301,2,FALSE))^2+(VLOOKUP(AO$1,DATA!$A$3:$F$301,3,FALSE)-VLOOKUP($A75,DATA!$A$3:$F$301,3,FALSE))^2),"")</f>
        <v/>
      </c>
      <c r="AP75" s="14" t="str">
        <f>_xlfn.IFNA(SQRT((VLOOKUP(AP$1,DATA!$A$3:$F$301,2,FALSE)-VLOOKUP($A75,DATA!$A$3:$F$301,2,FALSE))^2+(VLOOKUP(AP$1,DATA!$A$3:$F$301,3,FALSE)-VLOOKUP($A75,DATA!$A$3:$F$301,3,FALSE))^2),"")</f>
        <v/>
      </c>
      <c r="AQ75" s="14" t="str">
        <f>_xlfn.IFNA(SQRT((VLOOKUP(AQ$1,DATA!$A$3:$F$301,2,FALSE)-VLOOKUP($A75,DATA!$A$3:$F$301,2,FALSE))^2+(VLOOKUP(AQ$1,DATA!$A$3:$F$301,3,FALSE)-VLOOKUP($A75,DATA!$A$3:$F$301,3,FALSE))^2),"")</f>
        <v/>
      </c>
      <c r="AR75" s="14" t="str">
        <f>_xlfn.IFNA(SQRT((VLOOKUP(AR$1,DATA!$A$3:$F$301,2,FALSE)-VLOOKUP($A75,DATA!$A$3:$F$301,2,FALSE))^2+(VLOOKUP(AR$1,DATA!$A$3:$F$301,3,FALSE)-VLOOKUP($A75,DATA!$A$3:$F$301,3,FALSE))^2),"")</f>
        <v/>
      </c>
      <c r="AS75" s="14" t="str">
        <f>_xlfn.IFNA(SQRT((VLOOKUP(AS$1,DATA!$A$3:$F$301,2,FALSE)-VLOOKUP($A75,DATA!$A$3:$F$301,2,FALSE))^2+(VLOOKUP(AS$1,DATA!$A$3:$F$301,3,FALSE)-VLOOKUP($A75,DATA!$A$3:$F$301,3,FALSE))^2),"")</f>
        <v/>
      </c>
      <c r="AT75" s="14" t="str">
        <f>_xlfn.IFNA(SQRT((VLOOKUP(AT$1,DATA!$A$3:$F$301,2,FALSE)-VLOOKUP($A75,DATA!$A$3:$F$301,2,FALSE))^2+(VLOOKUP(AT$1,DATA!$A$3:$F$301,3,FALSE)-VLOOKUP($A75,DATA!$A$3:$F$301,3,FALSE))^2),"")</f>
        <v/>
      </c>
      <c r="AU75" s="14" t="str">
        <f>_xlfn.IFNA(SQRT((VLOOKUP(AU$1,DATA!$A$3:$F$301,2,FALSE)-VLOOKUP($A75,DATA!$A$3:$F$301,2,FALSE))^2+(VLOOKUP(AU$1,DATA!$A$3:$F$301,3,FALSE)-VLOOKUP($A75,DATA!$A$3:$F$301,3,FALSE))^2),"")</f>
        <v/>
      </c>
      <c r="AV75" s="14" t="str">
        <f>_xlfn.IFNA(SQRT((VLOOKUP(AV$1,DATA!$A$3:$F$301,2,FALSE)-VLOOKUP($A75,DATA!$A$3:$F$301,2,FALSE))^2+(VLOOKUP(AV$1,DATA!$A$3:$F$301,3,FALSE)-VLOOKUP($A75,DATA!$A$3:$F$301,3,FALSE))^2),"")</f>
        <v/>
      </c>
      <c r="AW75" s="14" t="str">
        <f>_xlfn.IFNA(SQRT((VLOOKUP(AW$1,DATA!$A$3:$F$301,2,FALSE)-VLOOKUP($A75,DATA!$A$3:$F$301,2,FALSE))^2+(VLOOKUP(AW$1,DATA!$A$3:$F$301,3,FALSE)-VLOOKUP($A75,DATA!$A$3:$F$301,3,FALSE))^2),"")</f>
        <v/>
      </c>
      <c r="AX75" s="14" t="str">
        <f>_xlfn.IFNA(SQRT((VLOOKUP(AX$1,DATA!$A$3:$F$301,2,FALSE)-VLOOKUP($A75,DATA!$A$3:$F$301,2,FALSE))^2+(VLOOKUP(AX$1,DATA!$A$3:$F$301,3,FALSE)-VLOOKUP($A75,DATA!$A$3:$F$301,3,FALSE))^2),"")</f>
        <v/>
      </c>
      <c r="AY75" s="14" t="str">
        <f>_xlfn.IFNA(SQRT((VLOOKUP(AY$1,DATA!$A$3:$F$301,2,FALSE)-VLOOKUP($A75,DATA!$A$3:$F$301,2,FALSE))^2+(VLOOKUP(AY$1,DATA!$A$3:$F$301,3,FALSE)-VLOOKUP($A75,DATA!$A$3:$F$301,3,FALSE))^2),"")</f>
        <v/>
      </c>
      <c r="AZ75" s="14" t="str">
        <f>_xlfn.IFNA(SQRT((VLOOKUP(AZ$1,DATA!$A$3:$F$301,2,FALSE)-VLOOKUP($A75,DATA!$A$3:$F$301,2,FALSE))^2+(VLOOKUP(AZ$1,DATA!$A$3:$F$301,3,FALSE)-VLOOKUP($A75,DATA!$A$3:$F$301,3,FALSE))^2),"")</f>
        <v/>
      </c>
      <c r="BA75" s="14" t="str">
        <f>_xlfn.IFNA(SQRT((VLOOKUP(BA$1,DATA!$A$3:$F$301,2,FALSE)-VLOOKUP($A75,DATA!$A$3:$F$301,2,FALSE))^2+(VLOOKUP(BA$1,DATA!$A$3:$F$301,3,FALSE)-VLOOKUP($A75,DATA!$A$3:$F$301,3,FALSE))^2),"")</f>
        <v/>
      </c>
      <c r="BB75" s="14" t="str">
        <f>_xlfn.IFNA(SQRT((VLOOKUP(BB$1,DATA!$A$3:$F$301,2,FALSE)-VLOOKUP($A75,DATA!$A$3:$F$301,2,FALSE))^2+(VLOOKUP(BB$1,DATA!$A$3:$F$301,3,FALSE)-VLOOKUP($A75,DATA!$A$3:$F$301,3,FALSE))^2),"")</f>
        <v/>
      </c>
      <c r="BC75" s="14" t="str">
        <f>_xlfn.IFNA(SQRT((VLOOKUP(BC$1,DATA!$A$3:$F$301,2,FALSE)-VLOOKUP($A75,DATA!$A$3:$F$301,2,FALSE))^2+(VLOOKUP(BC$1,DATA!$A$3:$F$301,3,FALSE)-VLOOKUP($A75,DATA!$A$3:$F$301,3,FALSE))^2),"")</f>
        <v/>
      </c>
      <c r="BD75" s="14" t="str">
        <f>_xlfn.IFNA(SQRT((VLOOKUP(BD$1,DATA!$A$3:$F$301,2,FALSE)-VLOOKUP($A75,DATA!$A$3:$F$301,2,FALSE))^2+(VLOOKUP(BD$1,DATA!$A$3:$F$301,3,FALSE)-VLOOKUP($A75,DATA!$A$3:$F$301,3,FALSE))^2),"")</f>
        <v/>
      </c>
      <c r="BE75" s="14" t="str">
        <f>_xlfn.IFNA(SQRT((VLOOKUP(BE$1,DATA!$A$3:$F$301,2,FALSE)-VLOOKUP($A75,DATA!$A$3:$F$301,2,FALSE))^2+(VLOOKUP(BE$1,DATA!$A$3:$F$301,3,FALSE)-VLOOKUP($A75,DATA!$A$3:$F$301,3,FALSE))^2),"")</f>
        <v/>
      </c>
      <c r="BF75" s="14" t="str">
        <f>_xlfn.IFNA(SQRT((VLOOKUP(BF$1,DATA!$A$3:$F$301,2,FALSE)-VLOOKUP($A75,DATA!$A$3:$F$301,2,FALSE))^2+(VLOOKUP(BF$1,DATA!$A$3:$F$301,3,FALSE)-VLOOKUP($A75,DATA!$A$3:$F$301,3,FALSE))^2),"")</f>
        <v/>
      </c>
      <c r="BG75" s="14" t="str">
        <f>_xlfn.IFNA(SQRT((VLOOKUP(BG$1,DATA!$A$3:$F$301,2,FALSE)-VLOOKUP($A75,DATA!$A$3:$F$301,2,FALSE))^2+(VLOOKUP(BG$1,DATA!$A$3:$F$301,3,FALSE)-VLOOKUP($A75,DATA!$A$3:$F$301,3,FALSE))^2),"")</f>
        <v/>
      </c>
      <c r="BH75" s="14" t="str">
        <f>_xlfn.IFNA(SQRT((VLOOKUP(BH$1,DATA!$A$3:$F$301,2,FALSE)-VLOOKUP($A75,DATA!$A$3:$F$301,2,FALSE))^2+(VLOOKUP(BH$1,DATA!$A$3:$F$301,3,FALSE)-VLOOKUP($A75,DATA!$A$3:$F$301,3,FALSE))^2),"")</f>
        <v/>
      </c>
      <c r="BI75" s="14" t="str">
        <f>_xlfn.IFNA(SQRT((VLOOKUP(BI$1,DATA!$A$3:$F$301,2,FALSE)-VLOOKUP($A75,DATA!$A$3:$F$301,2,FALSE))^2+(VLOOKUP(BI$1,DATA!$A$3:$F$301,3,FALSE)-VLOOKUP($A75,DATA!$A$3:$F$301,3,FALSE))^2),"")</f>
        <v/>
      </c>
      <c r="BJ75" s="14" t="str">
        <f>_xlfn.IFNA(SQRT((VLOOKUP(BJ$1,DATA!$A$3:$F$301,2,FALSE)-VLOOKUP($A75,DATA!$A$3:$F$301,2,FALSE))^2+(VLOOKUP(BJ$1,DATA!$A$3:$F$301,3,FALSE)-VLOOKUP($A75,DATA!$A$3:$F$301,3,FALSE))^2),"")</f>
        <v/>
      </c>
      <c r="BK75" s="14" t="str">
        <f>_xlfn.IFNA(SQRT((VLOOKUP(BK$1,DATA!$A$3:$F$301,2,FALSE)-VLOOKUP($A75,DATA!$A$3:$F$301,2,FALSE))^2+(VLOOKUP(BK$1,DATA!$A$3:$F$301,3,FALSE)-VLOOKUP($A75,DATA!$A$3:$F$301,3,FALSE))^2),"")</f>
        <v/>
      </c>
      <c r="BL75" s="14" t="str">
        <f>_xlfn.IFNA(SQRT((VLOOKUP(BL$1,DATA!$A$3:$F$301,2,FALSE)-VLOOKUP($A75,DATA!$A$3:$F$301,2,FALSE))^2+(VLOOKUP(BL$1,DATA!$A$3:$F$301,3,FALSE)-VLOOKUP($A75,DATA!$A$3:$F$301,3,FALSE))^2),"")</f>
        <v/>
      </c>
      <c r="BM75" s="14" t="str">
        <f>_xlfn.IFNA(SQRT((VLOOKUP(BM$1,DATA!$A$3:$F$301,2,FALSE)-VLOOKUP($A75,DATA!$A$3:$F$301,2,FALSE))^2+(VLOOKUP(BM$1,DATA!$A$3:$F$301,3,FALSE)-VLOOKUP($A75,DATA!$A$3:$F$301,3,FALSE))^2),"")</f>
        <v/>
      </c>
      <c r="BN75" s="14" t="str">
        <f>_xlfn.IFNA(SQRT((VLOOKUP(BN$1,DATA!$A$3:$F$301,2,FALSE)-VLOOKUP($A75,DATA!$A$3:$F$301,2,FALSE))^2+(VLOOKUP(BN$1,DATA!$A$3:$F$301,3,FALSE)-VLOOKUP($A75,DATA!$A$3:$F$301,3,FALSE))^2),"")</f>
        <v/>
      </c>
      <c r="BO75" s="14" t="str">
        <f>_xlfn.IFNA(SQRT((VLOOKUP(BO$1,DATA!$A$3:$F$301,2,FALSE)-VLOOKUP($A75,DATA!$A$3:$F$301,2,FALSE))^2+(VLOOKUP(BO$1,DATA!$A$3:$F$301,3,FALSE)-VLOOKUP($A75,DATA!$A$3:$F$301,3,FALSE))^2),"")</f>
        <v/>
      </c>
      <c r="BP75" s="14" t="str">
        <f>_xlfn.IFNA(SQRT((VLOOKUP(BP$1,DATA!$A$3:$F$301,2,FALSE)-VLOOKUP($A75,DATA!$A$3:$F$301,2,FALSE))^2+(VLOOKUP(BP$1,DATA!$A$3:$F$301,3,FALSE)-VLOOKUP($A75,DATA!$A$3:$F$301,3,FALSE))^2),"")</f>
        <v/>
      </c>
      <c r="BQ75" s="14" t="str">
        <f>_xlfn.IFNA(SQRT((VLOOKUP(BQ$1,DATA!$A$3:$F$301,2,FALSE)-VLOOKUP($A75,DATA!$A$3:$F$301,2,FALSE))^2+(VLOOKUP(BQ$1,DATA!$A$3:$F$301,3,FALSE)-VLOOKUP($A75,DATA!$A$3:$F$301,3,FALSE))^2),"")</f>
        <v/>
      </c>
      <c r="BR75" s="14" t="str">
        <f>_xlfn.IFNA(SQRT((VLOOKUP(BR$1,DATA!$A$3:$F$301,2,FALSE)-VLOOKUP($A75,DATA!$A$3:$F$301,2,FALSE))^2+(VLOOKUP(BR$1,DATA!$A$3:$F$301,3,FALSE)-VLOOKUP($A75,DATA!$A$3:$F$301,3,FALSE))^2),"")</f>
        <v/>
      </c>
      <c r="BS75" s="14" t="str">
        <f>_xlfn.IFNA(SQRT((VLOOKUP(BS$1,DATA!$A$3:$F$301,2,FALSE)-VLOOKUP($A75,DATA!$A$3:$F$301,2,FALSE))^2+(VLOOKUP(BS$1,DATA!$A$3:$F$301,3,FALSE)-VLOOKUP($A75,DATA!$A$3:$F$301,3,FALSE))^2),"")</f>
        <v/>
      </c>
      <c r="BT75" s="14" t="str">
        <f>_xlfn.IFNA(SQRT((VLOOKUP(BT$1,DATA!$A$3:$F$301,2,FALSE)-VLOOKUP($A75,DATA!$A$3:$F$301,2,FALSE))^2+(VLOOKUP(BT$1,DATA!$A$3:$F$301,3,FALSE)-VLOOKUP($A75,DATA!$A$3:$F$301,3,FALSE))^2),"")</f>
        <v/>
      </c>
      <c r="BU75" s="14" t="str">
        <f>_xlfn.IFNA(SQRT((VLOOKUP(BU$1,DATA!$A$3:$F$301,2,FALSE)-VLOOKUP($A75,DATA!$A$3:$F$301,2,FALSE))^2+(VLOOKUP(BU$1,DATA!$A$3:$F$301,3,FALSE)-VLOOKUP($A75,DATA!$A$3:$F$301,3,FALSE))^2),"")</f>
        <v/>
      </c>
      <c r="BV75" s="14" t="str">
        <f>_xlfn.IFNA(SQRT((VLOOKUP(BV$1,DATA!$A$3:$F$301,2,FALSE)-VLOOKUP($A75,DATA!$A$3:$F$301,2,FALSE))^2+(VLOOKUP(BV$1,DATA!$A$3:$F$301,3,FALSE)-VLOOKUP($A75,DATA!$A$3:$F$301,3,FALSE))^2),"")</f>
        <v/>
      </c>
      <c r="BW75" s="14" t="str">
        <f>_xlfn.IFNA(SQRT((VLOOKUP(BW$1,DATA!$A$3:$F$301,2,FALSE)-VLOOKUP($A75,DATA!$A$3:$F$301,2,FALSE))^2+(VLOOKUP(BW$1,DATA!$A$3:$F$301,3,FALSE)-VLOOKUP($A75,DATA!$A$3:$F$301,3,FALSE))^2),"")</f>
        <v/>
      </c>
      <c r="BX75" s="14" t="str">
        <f>_xlfn.IFNA(SQRT((VLOOKUP(BX$1,DATA!$A$3:$F$301,2,FALSE)-VLOOKUP($A75,DATA!$A$3:$F$301,2,FALSE))^2+(VLOOKUP(BX$1,DATA!$A$3:$F$301,3,FALSE)-VLOOKUP($A75,DATA!$A$3:$F$301,3,FALSE))^2),"")</f>
        <v/>
      </c>
      <c r="BY75" s="14" t="str">
        <f>_xlfn.IFNA(SQRT((VLOOKUP(BY$1,DATA!$A$3:$F$301,2,FALSE)-VLOOKUP($A75,DATA!$A$3:$F$301,2,FALSE))^2+(VLOOKUP(BY$1,DATA!$A$3:$F$301,3,FALSE)-VLOOKUP($A75,DATA!$A$3:$F$301,3,FALSE))^2),"")</f>
        <v/>
      </c>
      <c r="BZ75" s="14" t="str">
        <f>_xlfn.IFNA(SQRT((VLOOKUP(BZ$1,DATA!$A$3:$F$301,2,FALSE)-VLOOKUP($A75,DATA!$A$3:$F$301,2,FALSE))^2+(VLOOKUP(BZ$1,DATA!$A$3:$F$301,3,FALSE)-VLOOKUP($A75,DATA!$A$3:$F$301,3,FALSE))^2),"")</f>
        <v/>
      </c>
      <c r="CA75" s="14" t="str">
        <f>_xlfn.IFNA(SQRT((VLOOKUP(CA$1,DATA!$A$3:$F$301,2,FALSE)-VLOOKUP($A75,DATA!$A$3:$F$301,2,FALSE))^2+(VLOOKUP(CA$1,DATA!$A$3:$F$301,3,FALSE)-VLOOKUP($A75,DATA!$A$3:$F$301,3,FALSE))^2),"")</f>
        <v/>
      </c>
      <c r="CB75" s="14" t="str">
        <f>_xlfn.IFNA(SQRT((VLOOKUP(CB$1,DATA!$A$3:$F$301,2,FALSE)-VLOOKUP($A75,DATA!$A$3:$F$301,2,FALSE))^2+(VLOOKUP(CB$1,DATA!$A$3:$F$301,3,FALSE)-VLOOKUP($A75,DATA!$A$3:$F$301,3,FALSE))^2),"")</f>
        <v/>
      </c>
      <c r="CC75" s="14" t="str">
        <f>_xlfn.IFNA(SQRT((VLOOKUP(CC$1,DATA!$A$3:$F$301,2,FALSE)-VLOOKUP($A75,DATA!$A$3:$F$301,2,FALSE))^2+(VLOOKUP(CC$1,DATA!$A$3:$F$301,3,FALSE)-VLOOKUP($A75,DATA!$A$3:$F$301,3,FALSE))^2),"")</f>
        <v/>
      </c>
      <c r="CD75" s="14" t="str">
        <f>_xlfn.IFNA(SQRT((VLOOKUP(CD$1,DATA!$A$3:$F$301,2,FALSE)-VLOOKUP($A75,DATA!$A$3:$F$301,2,FALSE))^2+(VLOOKUP(CD$1,DATA!$A$3:$F$301,3,FALSE)-VLOOKUP($A75,DATA!$A$3:$F$301,3,FALSE))^2),"")</f>
        <v/>
      </c>
      <c r="CE75" s="14" t="str">
        <f>_xlfn.IFNA(SQRT((VLOOKUP(CE$1,DATA!$A$3:$F$301,2,FALSE)-VLOOKUP($A75,DATA!$A$3:$F$301,2,FALSE))^2+(VLOOKUP(CE$1,DATA!$A$3:$F$301,3,FALSE)-VLOOKUP($A75,DATA!$A$3:$F$301,3,FALSE))^2),"")</f>
        <v/>
      </c>
      <c r="CF75" s="14" t="str">
        <f>_xlfn.IFNA(SQRT((VLOOKUP(CF$1,DATA!$A$3:$F$301,2,FALSE)-VLOOKUP($A75,DATA!$A$3:$F$301,2,FALSE))^2+(VLOOKUP(CF$1,DATA!$A$3:$F$301,3,FALSE)-VLOOKUP($A75,DATA!$A$3:$F$301,3,FALSE))^2),"")</f>
        <v/>
      </c>
      <c r="CG75" s="14" t="str">
        <f>_xlfn.IFNA(SQRT((VLOOKUP(CG$1,DATA!$A$3:$F$301,2,FALSE)-VLOOKUP($A75,DATA!$A$3:$F$301,2,FALSE))^2+(VLOOKUP(CG$1,DATA!$A$3:$F$301,3,FALSE)-VLOOKUP($A75,DATA!$A$3:$F$301,3,FALSE))^2),"")</f>
        <v/>
      </c>
      <c r="CH75" s="14" t="str">
        <f>_xlfn.IFNA(SQRT((VLOOKUP(CH$1,DATA!$A$3:$F$301,2,FALSE)-VLOOKUP($A75,DATA!$A$3:$F$301,2,FALSE))^2+(VLOOKUP(CH$1,DATA!$A$3:$F$301,3,FALSE)-VLOOKUP($A75,DATA!$A$3:$F$301,3,FALSE))^2),"")</f>
        <v/>
      </c>
      <c r="CI75" s="14" t="str">
        <f>_xlfn.IFNA(SQRT((VLOOKUP(CI$1,DATA!$A$3:$F$301,2,FALSE)-VLOOKUP($A75,DATA!$A$3:$F$301,2,FALSE))^2+(VLOOKUP(CI$1,DATA!$A$3:$F$301,3,FALSE)-VLOOKUP($A75,DATA!$A$3:$F$301,3,FALSE))^2),"")</f>
        <v/>
      </c>
      <c r="CJ75" s="14" t="str">
        <f>_xlfn.IFNA(SQRT((VLOOKUP(CJ$1,DATA!$A$3:$F$301,2,FALSE)-VLOOKUP($A75,DATA!$A$3:$F$301,2,FALSE))^2+(VLOOKUP(CJ$1,DATA!$A$3:$F$301,3,FALSE)-VLOOKUP($A75,DATA!$A$3:$F$301,3,FALSE))^2),"")</f>
        <v/>
      </c>
      <c r="CK75" s="14" t="str">
        <f>_xlfn.IFNA(SQRT((VLOOKUP(CK$1,DATA!$A$3:$F$301,2,FALSE)-VLOOKUP($A75,DATA!$A$3:$F$301,2,FALSE))^2+(VLOOKUP(CK$1,DATA!$A$3:$F$301,3,FALSE)-VLOOKUP($A75,DATA!$A$3:$F$301,3,FALSE))^2),"")</f>
        <v/>
      </c>
      <c r="CL75" s="14" t="str">
        <f>_xlfn.IFNA(SQRT((VLOOKUP(CL$1,DATA!$A$3:$F$301,2,FALSE)-VLOOKUP($A75,DATA!$A$3:$F$301,2,FALSE))^2+(VLOOKUP(CL$1,DATA!$A$3:$F$301,3,FALSE)-VLOOKUP($A75,DATA!$A$3:$F$301,3,FALSE))^2),"")</f>
        <v/>
      </c>
      <c r="CM75" s="14" t="str">
        <f>_xlfn.IFNA(SQRT((VLOOKUP(CM$1,DATA!$A$3:$F$301,2,FALSE)-VLOOKUP($A75,DATA!$A$3:$F$301,2,FALSE))^2+(VLOOKUP(CM$1,DATA!$A$3:$F$301,3,FALSE)-VLOOKUP($A75,DATA!$A$3:$F$301,3,FALSE))^2),"")</f>
        <v/>
      </c>
      <c r="CN75" s="14" t="str">
        <f>_xlfn.IFNA(SQRT((VLOOKUP(CN$1,DATA!$A$3:$F$301,2,FALSE)-VLOOKUP($A75,DATA!$A$3:$F$301,2,FALSE))^2+(VLOOKUP(CN$1,DATA!$A$3:$F$301,3,FALSE)-VLOOKUP($A75,DATA!$A$3:$F$301,3,FALSE))^2),"")</f>
        <v/>
      </c>
      <c r="CO75" s="14" t="str">
        <f>_xlfn.IFNA(SQRT((VLOOKUP(CO$1,DATA!$A$3:$F$301,2,FALSE)-VLOOKUP($A75,DATA!$A$3:$F$301,2,FALSE))^2+(VLOOKUP(CO$1,DATA!$A$3:$F$301,3,FALSE)-VLOOKUP($A75,DATA!$A$3:$F$301,3,FALSE))^2),"")</f>
        <v/>
      </c>
      <c r="CP75" s="14" t="str">
        <f>_xlfn.IFNA(SQRT((VLOOKUP(CP$1,DATA!$A$3:$F$301,2,FALSE)-VLOOKUP($A75,DATA!$A$3:$F$301,2,FALSE))^2+(VLOOKUP(CP$1,DATA!$A$3:$F$301,3,FALSE)-VLOOKUP($A75,DATA!$A$3:$F$301,3,FALSE))^2),"")</f>
        <v/>
      </c>
      <c r="CQ75" s="14" t="str">
        <f>_xlfn.IFNA(SQRT((VLOOKUP(CQ$1,DATA!$A$3:$F$301,2,FALSE)-VLOOKUP($A75,DATA!$A$3:$F$301,2,FALSE))^2+(VLOOKUP(CQ$1,DATA!$A$3:$F$301,3,FALSE)-VLOOKUP($A75,DATA!$A$3:$F$301,3,FALSE))^2),"")</f>
        <v/>
      </c>
      <c r="CR75" s="14" t="str">
        <f>_xlfn.IFNA(SQRT((VLOOKUP(CR$1,DATA!$A$3:$F$301,2,FALSE)-VLOOKUP($A75,DATA!$A$3:$F$301,2,FALSE))^2+(VLOOKUP(CR$1,DATA!$A$3:$F$301,3,FALSE)-VLOOKUP($A75,DATA!$A$3:$F$301,3,FALSE))^2),"")</f>
        <v/>
      </c>
      <c r="CS75" s="14" t="str">
        <f>_xlfn.IFNA(SQRT((VLOOKUP(CS$1,DATA!$A$3:$F$301,2,FALSE)-VLOOKUP($A75,DATA!$A$3:$F$301,2,FALSE))^2+(VLOOKUP(CS$1,DATA!$A$3:$F$301,3,FALSE)-VLOOKUP($A75,DATA!$A$3:$F$301,3,FALSE))^2),"")</f>
        <v/>
      </c>
      <c r="CT75" s="14" t="str">
        <f>_xlfn.IFNA(SQRT((VLOOKUP(CT$1,DATA!$A$3:$F$301,2,FALSE)-VLOOKUP($A75,DATA!$A$3:$F$301,2,FALSE))^2+(VLOOKUP(CT$1,DATA!$A$3:$F$301,3,FALSE)-VLOOKUP($A75,DATA!$A$3:$F$301,3,FALSE))^2),"")</f>
        <v/>
      </c>
      <c r="CU75" s="14" t="str">
        <f>_xlfn.IFNA(SQRT((VLOOKUP(CU$1,DATA!$A$3:$F$301,2,FALSE)-VLOOKUP($A75,DATA!$A$3:$F$301,2,FALSE))^2+(VLOOKUP(CU$1,DATA!$A$3:$F$301,3,FALSE)-VLOOKUP($A75,DATA!$A$3:$F$301,3,FALSE))^2),"")</f>
        <v/>
      </c>
      <c r="CV75" s="14" t="str">
        <f>_xlfn.IFNA(SQRT((VLOOKUP(CV$1,DATA!$A$3:$F$301,2,FALSE)-VLOOKUP($A75,DATA!$A$3:$F$301,2,FALSE))^2+(VLOOKUP(CV$1,DATA!$A$3:$F$301,3,FALSE)-VLOOKUP($A75,DATA!$A$3:$F$301,3,FALSE))^2),"")</f>
        <v/>
      </c>
      <c r="CW75" s="14" t="str">
        <f>_xlfn.IFNA(SQRT((VLOOKUP(CW$1,DATA!$A$3:$F$301,2,FALSE)-VLOOKUP($A75,DATA!$A$3:$F$301,2,FALSE))^2+(VLOOKUP(CW$1,DATA!$A$3:$F$301,3,FALSE)-VLOOKUP($A75,DATA!$A$3:$F$301,3,FALSE))^2),"")</f>
        <v/>
      </c>
      <c r="CX75" s="14" t="str">
        <f>_xlfn.IFNA(SQRT((VLOOKUP(CX$1,DATA!$A$3:$F$301,2,FALSE)-VLOOKUP($A75,DATA!$A$3:$F$301,2,FALSE))^2+(VLOOKUP(CX$1,DATA!$A$3:$F$301,3,FALSE)-VLOOKUP($A75,DATA!$A$3:$F$301,3,FALSE))^2),"")</f>
        <v/>
      </c>
    </row>
    <row r="76" spans="1:102">
      <c r="A76" s="13">
        <v>75</v>
      </c>
      <c r="B76" s="14" t="str">
        <f>_xlfn.IFNA(SQRT((VLOOKUP(B$1,DATA!$A$3:$F$301,2,FALSE)-VLOOKUP($A76,DATA!$A$3:$F$301,2,FALSE))^2+(VLOOKUP(B$1,DATA!$A$3:$F$301,3,FALSE)-VLOOKUP($A76,DATA!$A$3:$F$301,3,FALSE))^2),"")</f>
        <v/>
      </c>
      <c r="C76" s="14" t="str">
        <f>_xlfn.IFNA(SQRT((VLOOKUP(C$1,DATA!$A$3:$F$301,2,FALSE)-VLOOKUP($A76,DATA!$A$3:$F$301,2,FALSE))^2+(VLOOKUP(C$1,DATA!$A$3:$F$301,3,FALSE)-VLOOKUP($A76,DATA!$A$3:$F$301,3,FALSE))^2),"")</f>
        <v/>
      </c>
      <c r="D76" s="14" t="str">
        <f>_xlfn.IFNA(SQRT((VLOOKUP(D$1,DATA!$A$3:$F$301,2,FALSE)-VLOOKUP($A76,DATA!$A$3:$F$301,2,FALSE))^2+(VLOOKUP(D$1,DATA!$A$3:$F$301,3,FALSE)-VLOOKUP($A76,DATA!$A$3:$F$301,3,FALSE))^2),"")</f>
        <v/>
      </c>
      <c r="E76" s="14" t="str">
        <f>_xlfn.IFNA(SQRT((VLOOKUP(E$1,DATA!$A$3:$F$301,2,FALSE)-VLOOKUP($A76,DATA!$A$3:$F$301,2,FALSE))^2+(VLOOKUP(E$1,DATA!$A$3:$F$301,3,FALSE)-VLOOKUP($A76,DATA!$A$3:$F$301,3,FALSE))^2),"")</f>
        <v/>
      </c>
      <c r="F76" s="14" t="str">
        <f>_xlfn.IFNA(SQRT((VLOOKUP(F$1,DATA!$A$3:$F$301,2,FALSE)-VLOOKUP($A76,DATA!$A$3:$F$301,2,FALSE))^2+(VLOOKUP(F$1,DATA!$A$3:$F$301,3,FALSE)-VLOOKUP($A76,DATA!$A$3:$F$301,3,FALSE))^2),"")</f>
        <v/>
      </c>
      <c r="G76" s="14" t="str">
        <f>_xlfn.IFNA(SQRT((VLOOKUP(G$1,DATA!$A$3:$F$301,2,FALSE)-VLOOKUP($A76,DATA!$A$3:$F$301,2,FALSE))^2+(VLOOKUP(G$1,DATA!$A$3:$F$301,3,FALSE)-VLOOKUP($A76,DATA!$A$3:$F$301,3,FALSE))^2),"")</f>
        <v/>
      </c>
      <c r="H76" s="14" t="str">
        <f>_xlfn.IFNA(SQRT((VLOOKUP(H$1,DATA!$A$3:$F$301,2,FALSE)-VLOOKUP($A76,DATA!$A$3:$F$301,2,FALSE))^2+(VLOOKUP(H$1,DATA!$A$3:$F$301,3,FALSE)-VLOOKUP($A76,DATA!$A$3:$F$301,3,FALSE))^2),"")</f>
        <v/>
      </c>
      <c r="I76" s="14" t="str">
        <f>_xlfn.IFNA(SQRT((VLOOKUP(I$1,DATA!$A$3:$F$301,2,FALSE)-VLOOKUP($A76,DATA!$A$3:$F$301,2,FALSE))^2+(VLOOKUP(I$1,DATA!$A$3:$F$301,3,FALSE)-VLOOKUP($A76,DATA!$A$3:$F$301,3,FALSE))^2),"")</f>
        <v/>
      </c>
      <c r="J76" s="14" t="str">
        <f>_xlfn.IFNA(SQRT((VLOOKUP(J$1,DATA!$A$3:$F$301,2,FALSE)-VLOOKUP($A76,DATA!$A$3:$F$301,2,FALSE))^2+(VLOOKUP(J$1,DATA!$A$3:$F$301,3,FALSE)-VLOOKUP($A76,DATA!$A$3:$F$301,3,FALSE))^2),"")</f>
        <v/>
      </c>
      <c r="K76" s="14" t="str">
        <f>_xlfn.IFNA(SQRT((VLOOKUP(K$1,DATA!$A$3:$F$301,2,FALSE)-VLOOKUP($A76,DATA!$A$3:$F$301,2,FALSE))^2+(VLOOKUP(K$1,DATA!$A$3:$F$301,3,FALSE)-VLOOKUP($A76,DATA!$A$3:$F$301,3,FALSE))^2),"")</f>
        <v/>
      </c>
      <c r="L76" s="14" t="str">
        <f>_xlfn.IFNA(SQRT((VLOOKUP(L$1,DATA!$A$3:$F$301,2,FALSE)-VLOOKUP($A76,DATA!$A$3:$F$301,2,FALSE))^2+(VLOOKUP(L$1,DATA!$A$3:$F$301,3,FALSE)-VLOOKUP($A76,DATA!$A$3:$F$301,3,FALSE))^2),"")</f>
        <v/>
      </c>
      <c r="M76" s="14" t="str">
        <f>_xlfn.IFNA(SQRT((VLOOKUP(M$1,DATA!$A$3:$F$301,2,FALSE)-VLOOKUP($A76,DATA!$A$3:$F$301,2,FALSE))^2+(VLOOKUP(M$1,DATA!$A$3:$F$301,3,FALSE)-VLOOKUP($A76,DATA!$A$3:$F$301,3,FALSE))^2),"")</f>
        <v/>
      </c>
      <c r="N76" s="14" t="str">
        <f>_xlfn.IFNA(SQRT((VLOOKUP(N$1,DATA!$A$3:$F$301,2,FALSE)-VLOOKUP($A76,DATA!$A$3:$F$301,2,FALSE))^2+(VLOOKUP(N$1,DATA!$A$3:$F$301,3,FALSE)-VLOOKUP($A76,DATA!$A$3:$F$301,3,FALSE))^2),"")</f>
        <v/>
      </c>
      <c r="O76" s="14" t="str">
        <f>_xlfn.IFNA(SQRT((VLOOKUP(O$1,DATA!$A$3:$F$301,2,FALSE)-VLOOKUP($A76,DATA!$A$3:$F$301,2,FALSE))^2+(VLOOKUP(O$1,DATA!$A$3:$F$301,3,FALSE)-VLOOKUP($A76,DATA!$A$3:$F$301,3,FALSE))^2),"")</f>
        <v/>
      </c>
      <c r="P76" s="14" t="str">
        <f>_xlfn.IFNA(SQRT((VLOOKUP(P$1,DATA!$A$3:$F$301,2,FALSE)-VLOOKUP($A76,DATA!$A$3:$F$301,2,FALSE))^2+(VLOOKUP(P$1,DATA!$A$3:$F$301,3,FALSE)-VLOOKUP($A76,DATA!$A$3:$F$301,3,FALSE))^2),"")</f>
        <v/>
      </c>
      <c r="Q76" s="14" t="str">
        <f>_xlfn.IFNA(SQRT((VLOOKUP(Q$1,DATA!$A$3:$F$301,2,FALSE)-VLOOKUP($A76,DATA!$A$3:$F$301,2,FALSE))^2+(VLOOKUP(Q$1,DATA!$A$3:$F$301,3,FALSE)-VLOOKUP($A76,DATA!$A$3:$F$301,3,FALSE))^2),"")</f>
        <v/>
      </c>
      <c r="R76" s="14" t="str">
        <f>_xlfn.IFNA(SQRT((VLOOKUP(R$1,DATA!$A$3:$F$301,2,FALSE)-VLOOKUP($A76,DATA!$A$3:$F$301,2,FALSE))^2+(VLOOKUP(R$1,DATA!$A$3:$F$301,3,FALSE)-VLOOKUP($A76,DATA!$A$3:$F$301,3,FALSE))^2),"")</f>
        <v/>
      </c>
      <c r="S76" s="14" t="str">
        <f>_xlfn.IFNA(SQRT((VLOOKUP(S$1,DATA!$A$3:$F$301,2,FALSE)-VLOOKUP($A76,DATA!$A$3:$F$301,2,FALSE))^2+(VLOOKUP(S$1,DATA!$A$3:$F$301,3,FALSE)-VLOOKUP($A76,DATA!$A$3:$F$301,3,FALSE))^2),"")</f>
        <v/>
      </c>
      <c r="T76" s="14" t="str">
        <f>_xlfn.IFNA(SQRT((VLOOKUP(T$1,DATA!$A$3:$F$301,2,FALSE)-VLOOKUP($A76,DATA!$A$3:$F$301,2,FALSE))^2+(VLOOKUP(T$1,DATA!$A$3:$F$301,3,FALSE)-VLOOKUP($A76,DATA!$A$3:$F$301,3,FALSE))^2),"")</f>
        <v/>
      </c>
      <c r="U76" s="14" t="str">
        <f>_xlfn.IFNA(SQRT((VLOOKUP(U$1,DATA!$A$3:$F$301,2,FALSE)-VLOOKUP($A76,DATA!$A$3:$F$301,2,FALSE))^2+(VLOOKUP(U$1,DATA!$A$3:$F$301,3,FALSE)-VLOOKUP($A76,DATA!$A$3:$F$301,3,FALSE))^2),"")</f>
        <v/>
      </c>
      <c r="V76" s="14" t="str">
        <f>_xlfn.IFNA(SQRT((VLOOKUP(V$1,DATA!$A$3:$F$301,2,FALSE)-VLOOKUP($A76,DATA!$A$3:$F$301,2,FALSE))^2+(VLOOKUP(V$1,DATA!$A$3:$F$301,3,FALSE)-VLOOKUP($A76,DATA!$A$3:$F$301,3,FALSE))^2),"")</f>
        <v/>
      </c>
      <c r="W76" s="14" t="str">
        <f>_xlfn.IFNA(SQRT((VLOOKUP(W$1,DATA!$A$3:$F$301,2,FALSE)-VLOOKUP($A76,DATA!$A$3:$F$301,2,FALSE))^2+(VLOOKUP(W$1,DATA!$A$3:$F$301,3,FALSE)-VLOOKUP($A76,DATA!$A$3:$F$301,3,FALSE))^2),"")</f>
        <v/>
      </c>
      <c r="X76" s="14" t="str">
        <f>_xlfn.IFNA(SQRT((VLOOKUP(X$1,DATA!$A$3:$F$301,2,FALSE)-VLOOKUP($A76,DATA!$A$3:$F$301,2,FALSE))^2+(VLOOKUP(X$1,DATA!$A$3:$F$301,3,FALSE)-VLOOKUP($A76,DATA!$A$3:$F$301,3,FALSE))^2),"")</f>
        <v/>
      </c>
      <c r="Y76" s="14" t="str">
        <f>_xlfn.IFNA(SQRT((VLOOKUP(Y$1,DATA!$A$3:$F$301,2,FALSE)-VLOOKUP($A76,DATA!$A$3:$F$301,2,FALSE))^2+(VLOOKUP(Y$1,DATA!$A$3:$F$301,3,FALSE)-VLOOKUP($A76,DATA!$A$3:$F$301,3,FALSE))^2),"")</f>
        <v/>
      </c>
      <c r="Z76" s="14" t="str">
        <f>_xlfn.IFNA(SQRT((VLOOKUP(Z$1,DATA!$A$3:$F$301,2,FALSE)-VLOOKUP($A76,DATA!$A$3:$F$301,2,FALSE))^2+(VLOOKUP(Z$1,DATA!$A$3:$F$301,3,FALSE)-VLOOKUP($A76,DATA!$A$3:$F$301,3,FALSE))^2),"")</f>
        <v/>
      </c>
      <c r="AA76" s="14" t="str">
        <f>_xlfn.IFNA(SQRT((VLOOKUP(AA$1,DATA!$A$3:$F$301,2,FALSE)-VLOOKUP($A76,DATA!$A$3:$F$301,2,FALSE))^2+(VLOOKUP(AA$1,DATA!$A$3:$F$301,3,FALSE)-VLOOKUP($A76,DATA!$A$3:$F$301,3,FALSE))^2),"")</f>
        <v/>
      </c>
      <c r="AB76" s="14" t="str">
        <f>_xlfn.IFNA(SQRT((VLOOKUP(AB$1,DATA!$A$3:$F$301,2,FALSE)-VLOOKUP($A76,DATA!$A$3:$F$301,2,FALSE))^2+(VLOOKUP(AB$1,DATA!$A$3:$F$301,3,FALSE)-VLOOKUP($A76,DATA!$A$3:$F$301,3,FALSE))^2),"")</f>
        <v/>
      </c>
      <c r="AC76" s="14" t="str">
        <f>_xlfn.IFNA(SQRT((VLOOKUP(AC$1,DATA!$A$3:$F$301,2,FALSE)-VLOOKUP($A76,DATA!$A$3:$F$301,2,FALSE))^2+(VLOOKUP(AC$1,DATA!$A$3:$F$301,3,FALSE)-VLOOKUP($A76,DATA!$A$3:$F$301,3,FALSE))^2),"")</f>
        <v/>
      </c>
      <c r="AD76" s="14" t="str">
        <f>_xlfn.IFNA(SQRT((VLOOKUP(AD$1,DATA!$A$3:$F$301,2,FALSE)-VLOOKUP($A76,DATA!$A$3:$F$301,2,FALSE))^2+(VLOOKUP(AD$1,DATA!$A$3:$F$301,3,FALSE)-VLOOKUP($A76,DATA!$A$3:$F$301,3,FALSE))^2),"")</f>
        <v/>
      </c>
      <c r="AE76" s="14" t="str">
        <f>_xlfn.IFNA(SQRT((VLOOKUP(AE$1,DATA!$A$3:$F$301,2,FALSE)-VLOOKUP($A76,DATA!$A$3:$F$301,2,FALSE))^2+(VLOOKUP(AE$1,DATA!$A$3:$F$301,3,FALSE)-VLOOKUP($A76,DATA!$A$3:$F$301,3,FALSE))^2),"")</f>
        <v/>
      </c>
      <c r="AF76" s="14" t="str">
        <f>_xlfn.IFNA(SQRT((VLOOKUP(AF$1,DATA!$A$3:$F$301,2,FALSE)-VLOOKUP($A76,DATA!$A$3:$F$301,2,FALSE))^2+(VLOOKUP(AF$1,DATA!$A$3:$F$301,3,FALSE)-VLOOKUP($A76,DATA!$A$3:$F$301,3,FALSE))^2),"")</f>
        <v/>
      </c>
      <c r="AG76" s="14" t="str">
        <f>_xlfn.IFNA(SQRT((VLOOKUP(AG$1,DATA!$A$3:$F$301,2,FALSE)-VLOOKUP($A76,DATA!$A$3:$F$301,2,FALSE))^2+(VLOOKUP(AG$1,DATA!$A$3:$F$301,3,FALSE)-VLOOKUP($A76,DATA!$A$3:$F$301,3,FALSE))^2),"")</f>
        <v/>
      </c>
      <c r="AH76" s="14" t="str">
        <f>_xlfn.IFNA(SQRT((VLOOKUP(AH$1,DATA!$A$3:$F$301,2,FALSE)-VLOOKUP($A76,DATA!$A$3:$F$301,2,FALSE))^2+(VLOOKUP(AH$1,DATA!$A$3:$F$301,3,FALSE)-VLOOKUP($A76,DATA!$A$3:$F$301,3,FALSE))^2),"")</f>
        <v/>
      </c>
      <c r="AI76" s="14" t="str">
        <f>_xlfn.IFNA(SQRT((VLOOKUP(AI$1,DATA!$A$3:$F$301,2,FALSE)-VLOOKUP($A76,DATA!$A$3:$F$301,2,FALSE))^2+(VLOOKUP(AI$1,DATA!$A$3:$F$301,3,FALSE)-VLOOKUP($A76,DATA!$A$3:$F$301,3,FALSE))^2),"")</f>
        <v/>
      </c>
      <c r="AJ76" s="14" t="str">
        <f>_xlfn.IFNA(SQRT((VLOOKUP(AJ$1,DATA!$A$3:$F$301,2,FALSE)-VLOOKUP($A76,DATA!$A$3:$F$301,2,FALSE))^2+(VLOOKUP(AJ$1,DATA!$A$3:$F$301,3,FALSE)-VLOOKUP($A76,DATA!$A$3:$F$301,3,FALSE))^2),"")</f>
        <v/>
      </c>
      <c r="AK76" s="14" t="str">
        <f>_xlfn.IFNA(SQRT((VLOOKUP(AK$1,DATA!$A$3:$F$301,2,FALSE)-VLOOKUP($A76,DATA!$A$3:$F$301,2,FALSE))^2+(VLOOKUP(AK$1,DATA!$A$3:$F$301,3,FALSE)-VLOOKUP($A76,DATA!$A$3:$F$301,3,FALSE))^2),"")</f>
        <v/>
      </c>
      <c r="AL76" s="14" t="str">
        <f>_xlfn.IFNA(SQRT((VLOOKUP(AL$1,DATA!$A$3:$F$301,2,FALSE)-VLOOKUP($A76,DATA!$A$3:$F$301,2,FALSE))^2+(VLOOKUP(AL$1,DATA!$A$3:$F$301,3,FALSE)-VLOOKUP($A76,DATA!$A$3:$F$301,3,FALSE))^2),"")</f>
        <v/>
      </c>
      <c r="AM76" s="14" t="str">
        <f>_xlfn.IFNA(SQRT((VLOOKUP(AM$1,DATA!$A$3:$F$301,2,FALSE)-VLOOKUP($A76,DATA!$A$3:$F$301,2,FALSE))^2+(VLOOKUP(AM$1,DATA!$A$3:$F$301,3,FALSE)-VLOOKUP($A76,DATA!$A$3:$F$301,3,FALSE))^2),"")</f>
        <v/>
      </c>
      <c r="AN76" s="14" t="str">
        <f>_xlfn.IFNA(SQRT((VLOOKUP(AN$1,DATA!$A$3:$F$301,2,FALSE)-VLOOKUP($A76,DATA!$A$3:$F$301,2,FALSE))^2+(VLOOKUP(AN$1,DATA!$A$3:$F$301,3,FALSE)-VLOOKUP($A76,DATA!$A$3:$F$301,3,FALSE))^2),"")</f>
        <v/>
      </c>
      <c r="AO76" s="14" t="str">
        <f>_xlfn.IFNA(SQRT((VLOOKUP(AO$1,DATA!$A$3:$F$301,2,FALSE)-VLOOKUP($A76,DATA!$A$3:$F$301,2,FALSE))^2+(VLOOKUP(AO$1,DATA!$A$3:$F$301,3,FALSE)-VLOOKUP($A76,DATA!$A$3:$F$301,3,FALSE))^2),"")</f>
        <v/>
      </c>
      <c r="AP76" s="14" t="str">
        <f>_xlfn.IFNA(SQRT((VLOOKUP(AP$1,DATA!$A$3:$F$301,2,FALSE)-VLOOKUP($A76,DATA!$A$3:$F$301,2,FALSE))^2+(VLOOKUP(AP$1,DATA!$A$3:$F$301,3,FALSE)-VLOOKUP($A76,DATA!$A$3:$F$301,3,FALSE))^2),"")</f>
        <v/>
      </c>
      <c r="AQ76" s="14" t="str">
        <f>_xlfn.IFNA(SQRT((VLOOKUP(AQ$1,DATA!$A$3:$F$301,2,FALSE)-VLOOKUP($A76,DATA!$A$3:$F$301,2,FALSE))^2+(VLOOKUP(AQ$1,DATA!$A$3:$F$301,3,FALSE)-VLOOKUP($A76,DATA!$A$3:$F$301,3,FALSE))^2),"")</f>
        <v/>
      </c>
      <c r="AR76" s="14" t="str">
        <f>_xlfn.IFNA(SQRT((VLOOKUP(AR$1,DATA!$A$3:$F$301,2,FALSE)-VLOOKUP($A76,DATA!$A$3:$F$301,2,FALSE))^2+(VLOOKUP(AR$1,DATA!$A$3:$F$301,3,FALSE)-VLOOKUP($A76,DATA!$A$3:$F$301,3,FALSE))^2),"")</f>
        <v/>
      </c>
      <c r="AS76" s="14" t="str">
        <f>_xlfn.IFNA(SQRT((VLOOKUP(AS$1,DATA!$A$3:$F$301,2,FALSE)-VLOOKUP($A76,DATA!$A$3:$F$301,2,FALSE))^2+(VLOOKUP(AS$1,DATA!$A$3:$F$301,3,FALSE)-VLOOKUP($A76,DATA!$A$3:$F$301,3,FALSE))^2),"")</f>
        <v/>
      </c>
      <c r="AT76" s="14" t="str">
        <f>_xlfn.IFNA(SQRT((VLOOKUP(AT$1,DATA!$A$3:$F$301,2,FALSE)-VLOOKUP($A76,DATA!$A$3:$F$301,2,FALSE))^2+(VLOOKUP(AT$1,DATA!$A$3:$F$301,3,FALSE)-VLOOKUP($A76,DATA!$A$3:$F$301,3,FALSE))^2),"")</f>
        <v/>
      </c>
      <c r="AU76" s="14" t="str">
        <f>_xlfn.IFNA(SQRT((VLOOKUP(AU$1,DATA!$A$3:$F$301,2,FALSE)-VLOOKUP($A76,DATA!$A$3:$F$301,2,FALSE))^2+(VLOOKUP(AU$1,DATA!$A$3:$F$301,3,FALSE)-VLOOKUP($A76,DATA!$A$3:$F$301,3,FALSE))^2),"")</f>
        <v/>
      </c>
      <c r="AV76" s="14" t="str">
        <f>_xlfn.IFNA(SQRT((VLOOKUP(AV$1,DATA!$A$3:$F$301,2,FALSE)-VLOOKUP($A76,DATA!$A$3:$F$301,2,FALSE))^2+(VLOOKUP(AV$1,DATA!$A$3:$F$301,3,FALSE)-VLOOKUP($A76,DATA!$A$3:$F$301,3,FALSE))^2),"")</f>
        <v/>
      </c>
      <c r="AW76" s="14" t="str">
        <f>_xlfn.IFNA(SQRT((VLOOKUP(AW$1,DATA!$A$3:$F$301,2,FALSE)-VLOOKUP($A76,DATA!$A$3:$F$301,2,FALSE))^2+(VLOOKUP(AW$1,DATA!$A$3:$F$301,3,FALSE)-VLOOKUP($A76,DATA!$A$3:$F$301,3,FALSE))^2),"")</f>
        <v/>
      </c>
      <c r="AX76" s="14" t="str">
        <f>_xlfn.IFNA(SQRT((VLOOKUP(AX$1,DATA!$A$3:$F$301,2,FALSE)-VLOOKUP($A76,DATA!$A$3:$F$301,2,FALSE))^2+(VLOOKUP(AX$1,DATA!$A$3:$F$301,3,FALSE)-VLOOKUP($A76,DATA!$A$3:$F$301,3,FALSE))^2),"")</f>
        <v/>
      </c>
      <c r="AY76" s="14" t="str">
        <f>_xlfn.IFNA(SQRT((VLOOKUP(AY$1,DATA!$A$3:$F$301,2,FALSE)-VLOOKUP($A76,DATA!$A$3:$F$301,2,FALSE))^2+(VLOOKUP(AY$1,DATA!$A$3:$F$301,3,FALSE)-VLOOKUP($A76,DATA!$A$3:$F$301,3,FALSE))^2),"")</f>
        <v/>
      </c>
      <c r="AZ76" s="14" t="str">
        <f>_xlfn.IFNA(SQRT((VLOOKUP(AZ$1,DATA!$A$3:$F$301,2,FALSE)-VLOOKUP($A76,DATA!$A$3:$F$301,2,FALSE))^2+(VLOOKUP(AZ$1,DATA!$A$3:$F$301,3,FALSE)-VLOOKUP($A76,DATA!$A$3:$F$301,3,FALSE))^2),"")</f>
        <v/>
      </c>
      <c r="BA76" s="14" t="str">
        <f>_xlfn.IFNA(SQRT((VLOOKUP(BA$1,DATA!$A$3:$F$301,2,FALSE)-VLOOKUP($A76,DATA!$A$3:$F$301,2,FALSE))^2+(VLOOKUP(BA$1,DATA!$A$3:$F$301,3,FALSE)-VLOOKUP($A76,DATA!$A$3:$F$301,3,FALSE))^2),"")</f>
        <v/>
      </c>
      <c r="BB76" s="14" t="str">
        <f>_xlfn.IFNA(SQRT((VLOOKUP(BB$1,DATA!$A$3:$F$301,2,FALSE)-VLOOKUP($A76,DATA!$A$3:$F$301,2,FALSE))^2+(VLOOKUP(BB$1,DATA!$A$3:$F$301,3,FALSE)-VLOOKUP($A76,DATA!$A$3:$F$301,3,FALSE))^2),"")</f>
        <v/>
      </c>
      <c r="BC76" s="14" t="str">
        <f>_xlfn.IFNA(SQRT((VLOOKUP(BC$1,DATA!$A$3:$F$301,2,FALSE)-VLOOKUP($A76,DATA!$A$3:$F$301,2,FALSE))^2+(VLOOKUP(BC$1,DATA!$A$3:$F$301,3,FALSE)-VLOOKUP($A76,DATA!$A$3:$F$301,3,FALSE))^2),"")</f>
        <v/>
      </c>
      <c r="BD76" s="14" t="str">
        <f>_xlfn.IFNA(SQRT((VLOOKUP(BD$1,DATA!$A$3:$F$301,2,FALSE)-VLOOKUP($A76,DATA!$A$3:$F$301,2,FALSE))^2+(VLOOKUP(BD$1,DATA!$A$3:$F$301,3,FALSE)-VLOOKUP($A76,DATA!$A$3:$F$301,3,FALSE))^2),"")</f>
        <v/>
      </c>
      <c r="BE76" s="14" t="str">
        <f>_xlfn.IFNA(SQRT((VLOOKUP(BE$1,DATA!$A$3:$F$301,2,FALSE)-VLOOKUP($A76,DATA!$A$3:$F$301,2,FALSE))^2+(VLOOKUP(BE$1,DATA!$A$3:$F$301,3,FALSE)-VLOOKUP($A76,DATA!$A$3:$F$301,3,FALSE))^2),"")</f>
        <v/>
      </c>
      <c r="BF76" s="14" t="str">
        <f>_xlfn.IFNA(SQRT((VLOOKUP(BF$1,DATA!$A$3:$F$301,2,FALSE)-VLOOKUP($A76,DATA!$A$3:$F$301,2,FALSE))^2+(VLOOKUP(BF$1,DATA!$A$3:$F$301,3,FALSE)-VLOOKUP($A76,DATA!$A$3:$F$301,3,FALSE))^2),"")</f>
        <v/>
      </c>
      <c r="BG76" s="14" t="str">
        <f>_xlfn.IFNA(SQRT((VLOOKUP(BG$1,DATA!$A$3:$F$301,2,FALSE)-VLOOKUP($A76,DATA!$A$3:$F$301,2,FALSE))^2+(VLOOKUP(BG$1,DATA!$A$3:$F$301,3,FALSE)-VLOOKUP($A76,DATA!$A$3:$F$301,3,FALSE))^2),"")</f>
        <v/>
      </c>
      <c r="BH76" s="14" t="str">
        <f>_xlfn.IFNA(SQRT((VLOOKUP(BH$1,DATA!$A$3:$F$301,2,FALSE)-VLOOKUP($A76,DATA!$A$3:$F$301,2,FALSE))^2+(VLOOKUP(BH$1,DATA!$A$3:$F$301,3,FALSE)-VLOOKUP($A76,DATA!$A$3:$F$301,3,FALSE))^2),"")</f>
        <v/>
      </c>
      <c r="BI76" s="14" t="str">
        <f>_xlfn.IFNA(SQRT((VLOOKUP(BI$1,DATA!$A$3:$F$301,2,FALSE)-VLOOKUP($A76,DATA!$A$3:$F$301,2,FALSE))^2+(VLOOKUP(BI$1,DATA!$A$3:$F$301,3,FALSE)-VLOOKUP($A76,DATA!$A$3:$F$301,3,FALSE))^2),"")</f>
        <v/>
      </c>
      <c r="BJ76" s="14" t="str">
        <f>_xlfn.IFNA(SQRT((VLOOKUP(BJ$1,DATA!$A$3:$F$301,2,FALSE)-VLOOKUP($A76,DATA!$A$3:$F$301,2,FALSE))^2+(VLOOKUP(BJ$1,DATA!$A$3:$F$301,3,FALSE)-VLOOKUP($A76,DATA!$A$3:$F$301,3,FALSE))^2),"")</f>
        <v/>
      </c>
      <c r="BK76" s="14" t="str">
        <f>_xlfn.IFNA(SQRT((VLOOKUP(BK$1,DATA!$A$3:$F$301,2,FALSE)-VLOOKUP($A76,DATA!$A$3:$F$301,2,FALSE))^2+(VLOOKUP(BK$1,DATA!$A$3:$F$301,3,FALSE)-VLOOKUP($A76,DATA!$A$3:$F$301,3,FALSE))^2),"")</f>
        <v/>
      </c>
      <c r="BL76" s="14" t="str">
        <f>_xlfn.IFNA(SQRT((VLOOKUP(BL$1,DATA!$A$3:$F$301,2,FALSE)-VLOOKUP($A76,DATA!$A$3:$F$301,2,FALSE))^2+(VLOOKUP(BL$1,DATA!$A$3:$F$301,3,FALSE)-VLOOKUP($A76,DATA!$A$3:$F$301,3,FALSE))^2),"")</f>
        <v/>
      </c>
      <c r="BM76" s="14" t="str">
        <f>_xlfn.IFNA(SQRT((VLOOKUP(BM$1,DATA!$A$3:$F$301,2,FALSE)-VLOOKUP($A76,DATA!$A$3:$F$301,2,FALSE))^2+(VLOOKUP(BM$1,DATA!$A$3:$F$301,3,FALSE)-VLOOKUP($A76,DATA!$A$3:$F$301,3,FALSE))^2),"")</f>
        <v/>
      </c>
      <c r="BN76" s="14" t="str">
        <f>_xlfn.IFNA(SQRT((VLOOKUP(BN$1,DATA!$A$3:$F$301,2,FALSE)-VLOOKUP($A76,DATA!$A$3:$F$301,2,FALSE))^2+(VLOOKUP(BN$1,DATA!$A$3:$F$301,3,FALSE)-VLOOKUP($A76,DATA!$A$3:$F$301,3,FALSE))^2),"")</f>
        <v/>
      </c>
      <c r="BO76" s="14" t="str">
        <f>_xlfn.IFNA(SQRT((VLOOKUP(BO$1,DATA!$A$3:$F$301,2,FALSE)-VLOOKUP($A76,DATA!$A$3:$F$301,2,FALSE))^2+(VLOOKUP(BO$1,DATA!$A$3:$F$301,3,FALSE)-VLOOKUP($A76,DATA!$A$3:$F$301,3,FALSE))^2),"")</f>
        <v/>
      </c>
      <c r="BP76" s="14" t="str">
        <f>_xlfn.IFNA(SQRT((VLOOKUP(BP$1,DATA!$A$3:$F$301,2,FALSE)-VLOOKUP($A76,DATA!$A$3:$F$301,2,FALSE))^2+(VLOOKUP(BP$1,DATA!$A$3:$F$301,3,FALSE)-VLOOKUP($A76,DATA!$A$3:$F$301,3,FALSE))^2),"")</f>
        <v/>
      </c>
      <c r="BQ76" s="14" t="str">
        <f>_xlfn.IFNA(SQRT((VLOOKUP(BQ$1,DATA!$A$3:$F$301,2,FALSE)-VLOOKUP($A76,DATA!$A$3:$F$301,2,FALSE))^2+(VLOOKUP(BQ$1,DATA!$A$3:$F$301,3,FALSE)-VLOOKUP($A76,DATA!$A$3:$F$301,3,FALSE))^2),"")</f>
        <v/>
      </c>
      <c r="BR76" s="14" t="str">
        <f>_xlfn.IFNA(SQRT((VLOOKUP(BR$1,DATA!$A$3:$F$301,2,FALSE)-VLOOKUP($A76,DATA!$A$3:$F$301,2,FALSE))^2+(VLOOKUP(BR$1,DATA!$A$3:$F$301,3,FALSE)-VLOOKUP($A76,DATA!$A$3:$F$301,3,FALSE))^2),"")</f>
        <v/>
      </c>
      <c r="BS76" s="14" t="str">
        <f>_xlfn.IFNA(SQRT((VLOOKUP(BS$1,DATA!$A$3:$F$301,2,FALSE)-VLOOKUP($A76,DATA!$A$3:$F$301,2,FALSE))^2+(VLOOKUP(BS$1,DATA!$A$3:$F$301,3,FALSE)-VLOOKUP($A76,DATA!$A$3:$F$301,3,FALSE))^2),"")</f>
        <v/>
      </c>
      <c r="BT76" s="14" t="str">
        <f>_xlfn.IFNA(SQRT((VLOOKUP(BT$1,DATA!$A$3:$F$301,2,FALSE)-VLOOKUP($A76,DATA!$A$3:$F$301,2,FALSE))^2+(VLOOKUP(BT$1,DATA!$A$3:$F$301,3,FALSE)-VLOOKUP($A76,DATA!$A$3:$F$301,3,FALSE))^2),"")</f>
        <v/>
      </c>
      <c r="BU76" s="14" t="str">
        <f>_xlfn.IFNA(SQRT((VLOOKUP(BU$1,DATA!$A$3:$F$301,2,FALSE)-VLOOKUP($A76,DATA!$A$3:$F$301,2,FALSE))^2+(VLOOKUP(BU$1,DATA!$A$3:$F$301,3,FALSE)-VLOOKUP($A76,DATA!$A$3:$F$301,3,FALSE))^2),"")</f>
        <v/>
      </c>
      <c r="BV76" s="14" t="str">
        <f>_xlfn.IFNA(SQRT((VLOOKUP(BV$1,DATA!$A$3:$F$301,2,FALSE)-VLOOKUP($A76,DATA!$A$3:$F$301,2,FALSE))^2+(VLOOKUP(BV$1,DATA!$A$3:$F$301,3,FALSE)-VLOOKUP($A76,DATA!$A$3:$F$301,3,FALSE))^2),"")</f>
        <v/>
      </c>
      <c r="BW76" s="14" t="str">
        <f>_xlfn.IFNA(SQRT((VLOOKUP(BW$1,DATA!$A$3:$F$301,2,FALSE)-VLOOKUP($A76,DATA!$A$3:$F$301,2,FALSE))^2+(VLOOKUP(BW$1,DATA!$A$3:$F$301,3,FALSE)-VLOOKUP($A76,DATA!$A$3:$F$301,3,FALSE))^2),"")</f>
        <v/>
      </c>
      <c r="BX76" s="14" t="str">
        <f>_xlfn.IFNA(SQRT((VLOOKUP(BX$1,DATA!$A$3:$F$301,2,FALSE)-VLOOKUP($A76,DATA!$A$3:$F$301,2,FALSE))^2+(VLOOKUP(BX$1,DATA!$A$3:$F$301,3,FALSE)-VLOOKUP($A76,DATA!$A$3:$F$301,3,FALSE))^2),"")</f>
        <v/>
      </c>
      <c r="BY76" s="14" t="str">
        <f>_xlfn.IFNA(SQRT((VLOOKUP(BY$1,DATA!$A$3:$F$301,2,FALSE)-VLOOKUP($A76,DATA!$A$3:$F$301,2,FALSE))^2+(VLOOKUP(BY$1,DATA!$A$3:$F$301,3,FALSE)-VLOOKUP($A76,DATA!$A$3:$F$301,3,FALSE))^2),"")</f>
        <v/>
      </c>
      <c r="BZ76" s="14" t="str">
        <f>_xlfn.IFNA(SQRT((VLOOKUP(BZ$1,DATA!$A$3:$F$301,2,FALSE)-VLOOKUP($A76,DATA!$A$3:$F$301,2,FALSE))^2+(VLOOKUP(BZ$1,DATA!$A$3:$F$301,3,FALSE)-VLOOKUP($A76,DATA!$A$3:$F$301,3,FALSE))^2),"")</f>
        <v/>
      </c>
      <c r="CA76" s="14" t="str">
        <f>_xlfn.IFNA(SQRT((VLOOKUP(CA$1,DATA!$A$3:$F$301,2,FALSE)-VLOOKUP($A76,DATA!$A$3:$F$301,2,FALSE))^2+(VLOOKUP(CA$1,DATA!$A$3:$F$301,3,FALSE)-VLOOKUP($A76,DATA!$A$3:$F$301,3,FALSE))^2),"")</f>
        <v/>
      </c>
      <c r="CB76" s="14" t="str">
        <f>_xlfn.IFNA(SQRT((VLOOKUP(CB$1,DATA!$A$3:$F$301,2,FALSE)-VLOOKUP($A76,DATA!$A$3:$F$301,2,FALSE))^2+(VLOOKUP(CB$1,DATA!$A$3:$F$301,3,FALSE)-VLOOKUP($A76,DATA!$A$3:$F$301,3,FALSE))^2),"")</f>
        <v/>
      </c>
      <c r="CC76" s="14" t="str">
        <f>_xlfn.IFNA(SQRT((VLOOKUP(CC$1,DATA!$A$3:$F$301,2,FALSE)-VLOOKUP($A76,DATA!$A$3:$F$301,2,FALSE))^2+(VLOOKUP(CC$1,DATA!$A$3:$F$301,3,FALSE)-VLOOKUP($A76,DATA!$A$3:$F$301,3,FALSE))^2),"")</f>
        <v/>
      </c>
      <c r="CD76" s="14" t="str">
        <f>_xlfn.IFNA(SQRT((VLOOKUP(CD$1,DATA!$A$3:$F$301,2,FALSE)-VLOOKUP($A76,DATA!$A$3:$F$301,2,FALSE))^2+(VLOOKUP(CD$1,DATA!$A$3:$F$301,3,FALSE)-VLOOKUP($A76,DATA!$A$3:$F$301,3,FALSE))^2),"")</f>
        <v/>
      </c>
      <c r="CE76" s="14" t="str">
        <f>_xlfn.IFNA(SQRT((VLOOKUP(CE$1,DATA!$A$3:$F$301,2,FALSE)-VLOOKUP($A76,DATA!$A$3:$F$301,2,FALSE))^2+(VLOOKUP(CE$1,DATA!$A$3:$F$301,3,FALSE)-VLOOKUP($A76,DATA!$A$3:$F$301,3,FALSE))^2),"")</f>
        <v/>
      </c>
      <c r="CF76" s="14" t="str">
        <f>_xlfn.IFNA(SQRT((VLOOKUP(CF$1,DATA!$A$3:$F$301,2,FALSE)-VLOOKUP($A76,DATA!$A$3:$F$301,2,FALSE))^2+(VLOOKUP(CF$1,DATA!$A$3:$F$301,3,FALSE)-VLOOKUP($A76,DATA!$A$3:$F$301,3,FALSE))^2),"")</f>
        <v/>
      </c>
      <c r="CG76" s="14" t="str">
        <f>_xlfn.IFNA(SQRT((VLOOKUP(CG$1,DATA!$A$3:$F$301,2,FALSE)-VLOOKUP($A76,DATA!$A$3:$F$301,2,FALSE))^2+(VLOOKUP(CG$1,DATA!$A$3:$F$301,3,FALSE)-VLOOKUP($A76,DATA!$A$3:$F$301,3,FALSE))^2),"")</f>
        <v/>
      </c>
      <c r="CH76" s="14" t="str">
        <f>_xlfn.IFNA(SQRT((VLOOKUP(CH$1,DATA!$A$3:$F$301,2,FALSE)-VLOOKUP($A76,DATA!$A$3:$F$301,2,FALSE))^2+(VLOOKUP(CH$1,DATA!$A$3:$F$301,3,FALSE)-VLOOKUP($A76,DATA!$A$3:$F$301,3,FALSE))^2),"")</f>
        <v/>
      </c>
      <c r="CI76" s="14" t="str">
        <f>_xlfn.IFNA(SQRT((VLOOKUP(CI$1,DATA!$A$3:$F$301,2,FALSE)-VLOOKUP($A76,DATA!$A$3:$F$301,2,FALSE))^2+(VLOOKUP(CI$1,DATA!$A$3:$F$301,3,FALSE)-VLOOKUP($A76,DATA!$A$3:$F$301,3,FALSE))^2),"")</f>
        <v/>
      </c>
      <c r="CJ76" s="14" t="str">
        <f>_xlfn.IFNA(SQRT((VLOOKUP(CJ$1,DATA!$A$3:$F$301,2,FALSE)-VLOOKUP($A76,DATA!$A$3:$F$301,2,FALSE))^2+(VLOOKUP(CJ$1,DATA!$A$3:$F$301,3,FALSE)-VLOOKUP($A76,DATA!$A$3:$F$301,3,FALSE))^2),"")</f>
        <v/>
      </c>
      <c r="CK76" s="14" t="str">
        <f>_xlfn.IFNA(SQRT((VLOOKUP(CK$1,DATA!$A$3:$F$301,2,FALSE)-VLOOKUP($A76,DATA!$A$3:$F$301,2,FALSE))^2+(VLOOKUP(CK$1,DATA!$A$3:$F$301,3,FALSE)-VLOOKUP($A76,DATA!$A$3:$F$301,3,FALSE))^2),"")</f>
        <v/>
      </c>
      <c r="CL76" s="14" t="str">
        <f>_xlfn.IFNA(SQRT((VLOOKUP(CL$1,DATA!$A$3:$F$301,2,FALSE)-VLOOKUP($A76,DATA!$A$3:$F$301,2,FALSE))^2+(VLOOKUP(CL$1,DATA!$A$3:$F$301,3,FALSE)-VLOOKUP($A76,DATA!$A$3:$F$301,3,FALSE))^2),"")</f>
        <v/>
      </c>
      <c r="CM76" s="14" t="str">
        <f>_xlfn.IFNA(SQRT((VLOOKUP(CM$1,DATA!$A$3:$F$301,2,FALSE)-VLOOKUP($A76,DATA!$A$3:$F$301,2,FALSE))^2+(VLOOKUP(CM$1,DATA!$A$3:$F$301,3,FALSE)-VLOOKUP($A76,DATA!$A$3:$F$301,3,FALSE))^2),"")</f>
        <v/>
      </c>
      <c r="CN76" s="14" t="str">
        <f>_xlfn.IFNA(SQRT((VLOOKUP(CN$1,DATA!$A$3:$F$301,2,FALSE)-VLOOKUP($A76,DATA!$A$3:$F$301,2,FALSE))^2+(VLOOKUP(CN$1,DATA!$A$3:$F$301,3,FALSE)-VLOOKUP($A76,DATA!$A$3:$F$301,3,FALSE))^2),"")</f>
        <v/>
      </c>
      <c r="CO76" s="14" t="str">
        <f>_xlfn.IFNA(SQRT((VLOOKUP(CO$1,DATA!$A$3:$F$301,2,FALSE)-VLOOKUP($A76,DATA!$A$3:$F$301,2,FALSE))^2+(VLOOKUP(CO$1,DATA!$A$3:$F$301,3,FALSE)-VLOOKUP($A76,DATA!$A$3:$F$301,3,FALSE))^2),"")</f>
        <v/>
      </c>
      <c r="CP76" s="14" t="str">
        <f>_xlfn.IFNA(SQRT((VLOOKUP(CP$1,DATA!$A$3:$F$301,2,FALSE)-VLOOKUP($A76,DATA!$A$3:$F$301,2,FALSE))^2+(VLOOKUP(CP$1,DATA!$A$3:$F$301,3,FALSE)-VLOOKUP($A76,DATA!$A$3:$F$301,3,FALSE))^2),"")</f>
        <v/>
      </c>
      <c r="CQ76" s="14" t="str">
        <f>_xlfn.IFNA(SQRT((VLOOKUP(CQ$1,DATA!$A$3:$F$301,2,FALSE)-VLOOKUP($A76,DATA!$A$3:$F$301,2,FALSE))^2+(VLOOKUP(CQ$1,DATA!$A$3:$F$301,3,FALSE)-VLOOKUP($A76,DATA!$A$3:$F$301,3,FALSE))^2),"")</f>
        <v/>
      </c>
      <c r="CR76" s="14" t="str">
        <f>_xlfn.IFNA(SQRT((VLOOKUP(CR$1,DATA!$A$3:$F$301,2,FALSE)-VLOOKUP($A76,DATA!$A$3:$F$301,2,FALSE))^2+(VLOOKUP(CR$1,DATA!$A$3:$F$301,3,FALSE)-VLOOKUP($A76,DATA!$A$3:$F$301,3,FALSE))^2),"")</f>
        <v/>
      </c>
      <c r="CS76" s="14" t="str">
        <f>_xlfn.IFNA(SQRT((VLOOKUP(CS$1,DATA!$A$3:$F$301,2,FALSE)-VLOOKUP($A76,DATA!$A$3:$F$301,2,FALSE))^2+(VLOOKUP(CS$1,DATA!$A$3:$F$301,3,FALSE)-VLOOKUP($A76,DATA!$A$3:$F$301,3,FALSE))^2),"")</f>
        <v/>
      </c>
      <c r="CT76" s="14" t="str">
        <f>_xlfn.IFNA(SQRT((VLOOKUP(CT$1,DATA!$A$3:$F$301,2,FALSE)-VLOOKUP($A76,DATA!$A$3:$F$301,2,FALSE))^2+(VLOOKUP(CT$1,DATA!$A$3:$F$301,3,FALSE)-VLOOKUP($A76,DATA!$A$3:$F$301,3,FALSE))^2),"")</f>
        <v/>
      </c>
      <c r="CU76" s="14" t="str">
        <f>_xlfn.IFNA(SQRT((VLOOKUP(CU$1,DATA!$A$3:$F$301,2,FALSE)-VLOOKUP($A76,DATA!$A$3:$F$301,2,FALSE))^2+(VLOOKUP(CU$1,DATA!$A$3:$F$301,3,FALSE)-VLOOKUP($A76,DATA!$A$3:$F$301,3,FALSE))^2),"")</f>
        <v/>
      </c>
      <c r="CV76" s="14" t="str">
        <f>_xlfn.IFNA(SQRT((VLOOKUP(CV$1,DATA!$A$3:$F$301,2,FALSE)-VLOOKUP($A76,DATA!$A$3:$F$301,2,FALSE))^2+(VLOOKUP(CV$1,DATA!$A$3:$F$301,3,FALSE)-VLOOKUP($A76,DATA!$A$3:$F$301,3,FALSE))^2),"")</f>
        <v/>
      </c>
      <c r="CW76" s="14" t="str">
        <f>_xlfn.IFNA(SQRT((VLOOKUP(CW$1,DATA!$A$3:$F$301,2,FALSE)-VLOOKUP($A76,DATA!$A$3:$F$301,2,FALSE))^2+(VLOOKUP(CW$1,DATA!$A$3:$F$301,3,FALSE)-VLOOKUP($A76,DATA!$A$3:$F$301,3,FALSE))^2),"")</f>
        <v/>
      </c>
      <c r="CX76" s="14" t="str">
        <f>_xlfn.IFNA(SQRT((VLOOKUP(CX$1,DATA!$A$3:$F$301,2,FALSE)-VLOOKUP($A76,DATA!$A$3:$F$301,2,FALSE))^2+(VLOOKUP(CX$1,DATA!$A$3:$F$301,3,FALSE)-VLOOKUP($A76,DATA!$A$3:$F$301,3,FALSE))^2),"")</f>
        <v/>
      </c>
    </row>
    <row r="77" spans="1:102">
      <c r="A77" s="13">
        <v>76</v>
      </c>
      <c r="B77" s="14" t="str">
        <f>_xlfn.IFNA(SQRT((VLOOKUP(B$1,DATA!$A$3:$F$301,2,FALSE)-VLOOKUP($A77,DATA!$A$3:$F$301,2,FALSE))^2+(VLOOKUP(B$1,DATA!$A$3:$F$301,3,FALSE)-VLOOKUP($A77,DATA!$A$3:$F$301,3,FALSE))^2),"")</f>
        <v/>
      </c>
      <c r="C77" s="14" t="str">
        <f>_xlfn.IFNA(SQRT((VLOOKUP(C$1,DATA!$A$3:$F$301,2,FALSE)-VLOOKUP($A77,DATA!$A$3:$F$301,2,FALSE))^2+(VLOOKUP(C$1,DATA!$A$3:$F$301,3,FALSE)-VLOOKUP($A77,DATA!$A$3:$F$301,3,FALSE))^2),"")</f>
        <v/>
      </c>
      <c r="D77" s="14" t="str">
        <f>_xlfn.IFNA(SQRT((VLOOKUP(D$1,DATA!$A$3:$F$301,2,FALSE)-VLOOKUP($A77,DATA!$A$3:$F$301,2,FALSE))^2+(VLOOKUP(D$1,DATA!$A$3:$F$301,3,FALSE)-VLOOKUP($A77,DATA!$A$3:$F$301,3,FALSE))^2),"")</f>
        <v/>
      </c>
      <c r="E77" s="14" t="str">
        <f>_xlfn.IFNA(SQRT((VLOOKUP(E$1,DATA!$A$3:$F$301,2,FALSE)-VLOOKUP($A77,DATA!$A$3:$F$301,2,FALSE))^2+(VLOOKUP(E$1,DATA!$A$3:$F$301,3,FALSE)-VLOOKUP($A77,DATA!$A$3:$F$301,3,FALSE))^2),"")</f>
        <v/>
      </c>
      <c r="F77" s="14" t="str">
        <f>_xlfn.IFNA(SQRT((VLOOKUP(F$1,DATA!$A$3:$F$301,2,FALSE)-VLOOKUP($A77,DATA!$A$3:$F$301,2,FALSE))^2+(VLOOKUP(F$1,DATA!$A$3:$F$301,3,FALSE)-VLOOKUP($A77,DATA!$A$3:$F$301,3,FALSE))^2),"")</f>
        <v/>
      </c>
      <c r="G77" s="14" t="str">
        <f>_xlfn.IFNA(SQRT((VLOOKUP(G$1,DATA!$A$3:$F$301,2,FALSE)-VLOOKUP($A77,DATA!$A$3:$F$301,2,FALSE))^2+(VLOOKUP(G$1,DATA!$A$3:$F$301,3,FALSE)-VLOOKUP($A77,DATA!$A$3:$F$301,3,FALSE))^2),"")</f>
        <v/>
      </c>
      <c r="H77" s="14" t="str">
        <f>_xlfn.IFNA(SQRT((VLOOKUP(H$1,DATA!$A$3:$F$301,2,FALSE)-VLOOKUP($A77,DATA!$A$3:$F$301,2,FALSE))^2+(VLOOKUP(H$1,DATA!$A$3:$F$301,3,FALSE)-VLOOKUP($A77,DATA!$A$3:$F$301,3,FALSE))^2),"")</f>
        <v/>
      </c>
      <c r="I77" s="14" t="str">
        <f>_xlfn.IFNA(SQRT((VLOOKUP(I$1,DATA!$A$3:$F$301,2,FALSE)-VLOOKUP($A77,DATA!$A$3:$F$301,2,FALSE))^2+(VLOOKUP(I$1,DATA!$A$3:$F$301,3,FALSE)-VLOOKUP($A77,DATA!$A$3:$F$301,3,FALSE))^2),"")</f>
        <v/>
      </c>
      <c r="J77" s="14" t="str">
        <f>_xlfn.IFNA(SQRT((VLOOKUP(J$1,DATA!$A$3:$F$301,2,FALSE)-VLOOKUP($A77,DATA!$A$3:$F$301,2,FALSE))^2+(VLOOKUP(J$1,DATA!$A$3:$F$301,3,FALSE)-VLOOKUP($A77,DATA!$A$3:$F$301,3,FALSE))^2),"")</f>
        <v/>
      </c>
      <c r="K77" s="14" t="str">
        <f>_xlfn.IFNA(SQRT((VLOOKUP(K$1,DATA!$A$3:$F$301,2,FALSE)-VLOOKUP($A77,DATA!$A$3:$F$301,2,FALSE))^2+(VLOOKUP(K$1,DATA!$A$3:$F$301,3,FALSE)-VLOOKUP($A77,DATA!$A$3:$F$301,3,FALSE))^2),"")</f>
        <v/>
      </c>
      <c r="L77" s="14" t="str">
        <f>_xlfn.IFNA(SQRT((VLOOKUP(L$1,DATA!$A$3:$F$301,2,FALSE)-VLOOKUP($A77,DATA!$A$3:$F$301,2,FALSE))^2+(VLOOKUP(L$1,DATA!$A$3:$F$301,3,FALSE)-VLOOKUP($A77,DATA!$A$3:$F$301,3,FALSE))^2),"")</f>
        <v/>
      </c>
      <c r="M77" s="14" t="str">
        <f>_xlfn.IFNA(SQRT((VLOOKUP(M$1,DATA!$A$3:$F$301,2,FALSE)-VLOOKUP($A77,DATA!$A$3:$F$301,2,FALSE))^2+(VLOOKUP(M$1,DATA!$A$3:$F$301,3,FALSE)-VLOOKUP($A77,DATA!$A$3:$F$301,3,FALSE))^2),"")</f>
        <v/>
      </c>
      <c r="N77" s="14" t="str">
        <f>_xlfn.IFNA(SQRT((VLOOKUP(N$1,DATA!$A$3:$F$301,2,FALSE)-VLOOKUP($A77,DATA!$A$3:$F$301,2,FALSE))^2+(VLOOKUP(N$1,DATA!$A$3:$F$301,3,FALSE)-VLOOKUP($A77,DATA!$A$3:$F$301,3,FALSE))^2),"")</f>
        <v/>
      </c>
      <c r="O77" s="14" t="str">
        <f>_xlfn.IFNA(SQRT((VLOOKUP(O$1,DATA!$A$3:$F$301,2,FALSE)-VLOOKUP($A77,DATA!$A$3:$F$301,2,FALSE))^2+(VLOOKUP(O$1,DATA!$A$3:$F$301,3,FALSE)-VLOOKUP($A77,DATA!$A$3:$F$301,3,FALSE))^2),"")</f>
        <v/>
      </c>
      <c r="P77" s="14" t="str">
        <f>_xlfn.IFNA(SQRT((VLOOKUP(P$1,DATA!$A$3:$F$301,2,FALSE)-VLOOKUP($A77,DATA!$A$3:$F$301,2,FALSE))^2+(VLOOKUP(P$1,DATA!$A$3:$F$301,3,FALSE)-VLOOKUP($A77,DATA!$A$3:$F$301,3,FALSE))^2),"")</f>
        <v/>
      </c>
      <c r="Q77" s="14" t="str">
        <f>_xlfn.IFNA(SQRT((VLOOKUP(Q$1,DATA!$A$3:$F$301,2,FALSE)-VLOOKUP($A77,DATA!$A$3:$F$301,2,FALSE))^2+(VLOOKUP(Q$1,DATA!$A$3:$F$301,3,FALSE)-VLOOKUP($A77,DATA!$A$3:$F$301,3,FALSE))^2),"")</f>
        <v/>
      </c>
      <c r="R77" s="14" t="str">
        <f>_xlfn.IFNA(SQRT((VLOOKUP(R$1,DATA!$A$3:$F$301,2,FALSE)-VLOOKUP($A77,DATA!$A$3:$F$301,2,FALSE))^2+(VLOOKUP(R$1,DATA!$A$3:$F$301,3,FALSE)-VLOOKUP($A77,DATA!$A$3:$F$301,3,FALSE))^2),"")</f>
        <v/>
      </c>
      <c r="S77" s="14" t="str">
        <f>_xlfn.IFNA(SQRT((VLOOKUP(S$1,DATA!$A$3:$F$301,2,FALSE)-VLOOKUP($A77,DATA!$A$3:$F$301,2,FALSE))^2+(VLOOKUP(S$1,DATA!$A$3:$F$301,3,FALSE)-VLOOKUP($A77,DATA!$A$3:$F$301,3,FALSE))^2),"")</f>
        <v/>
      </c>
      <c r="T77" s="14" t="str">
        <f>_xlfn.IFNA(SQRT((VLOOKUP(T$1,DATA!$A$3:$F$301,2,FALSE)-VLOOKUP($A77,DATA!$A$3:$F$301,2,FALSE))^2+(VLOOKUP(T$1,DATA!$A$3:$F$301,3,FALSE)-VLOOKUP($A77,DATA!$A$3:$F$301,3,FALSE))^2),"")</f>
        <v/>
      </c>
      <c r="U77" s="14" t="str">
        <f>_xlfn.IFNA(SQRT((VLOOKUP(U$1,DATA!$A$3:$F$301,2,FALSE)-VLOOKUP($A77,DATA!$A$3:$F$301,2,FALSE))^2+(VLOOKUP(U$1,DATA!$A$3:$F$301,3,FALSE)-VLOOKUP($A77,DATA!$A$3:$F$301,3,FALSE))^2),"")</f>
        <v/>
      </c>
      <c r="V77" s="14" t="str">
        <f>_xlfn.IFNA(SQRT((VLOOKUP(V$1,DATA!$A$3:$F$301,2,FALSE)-VLOOKUP($A77,DATA!$A$3:$F$301,2,FALSE))^2+(VLOOKUP(V$1,DATA!$A$3:$F$301,3,FALSE)-VLOOKUP($A77,DATA!$A$3:$F$301,3,FALSE))^2),"")</f>
        <v/>
      </c>
      <c r="W77" s="14" t="str">
        <f>_xlfn.IFNA(SQRT((VLOOKUP(W$1,DATA!$A$3:$F$301,2,FALSE)-VLOOKUP($A77,DATA!$A$3:$F$301,2,FALSE))^2+(VLOOKUP(W$1,DATA!$A$3:$F$301,3,FALSE)-VLOOKUP($A77,DATA!$A$3:$F$301,3,FALSE))^2),"")</f>
        <v/>
      </c>
      <c r="X77" s="14" t="str">
        <f>_xlfn.IFNA(SQRT((VLOOKUP(X$1,DATA!$A$3:$F$301,2,FALSE)-VLOOKUP($A77,DATA!$A$3:$F$301,2,FALSE))^2+(VLOOKUP(X$1,DATA!$A$3:$F$301,3,FALSE)-VLOOKUP($A77,DATA!$A$3:$F$301,3,FALSE))^2),"")</f>
        <v/>
      </c>
      <c r="Y77" s="14" t="str">
        <f>_xlfn.IFNA(SQRT((VLOOKUP(Y$1,DATA!$A$3:$F$301,2,FALSE)-VLOOKUP($A77,DATA!$A$3:$F$301,2,FALSE))^2+(VLOOKUP(Y$1,DATA!$A$3:$F$301,3,FALSE)-VLOOKUP($A77,DATA!$A$3:$F$301,3,FALSE))^2),"")</f>
        <v/>
      </c>
      <c r="Z77" s="14" t="str">
        <f>_xlfn.IFNA(SQRT((VLOOKUP(Z$1,DATA!$A$3:$F$301,2,FALSE)-VLOOKUP($A77,DATA!$A$3:$F$301,2,FALSE))^2+(VLOOKUP(Z$1,DATA!$A$3:$F$301,3,FALSE)-VLOOKUP($A77,DATA!$A$3:$F$301,3,FALSE))^2),"")</f>
        <v/>
      </c>
      <c r="AA77" s="14" t="str">
        <f>_xlfn.IFNA(SQRT((VLOOKUP(AA$1,DATA!$A$3:$F$301,2,FALSE)-VLOOKUP($A77,DATA!$A$3:$F$301,2,FALSE))^2+(VLOOKUP(AA$1,DATA!$A$3:$F$301,3,FALSE)-VLOOKUP($A77,DATA!$A$3:$F$301,3,FALSE))^2),"")</f>
        <v/>
      </c>
      <c r="AB77" s="14" t="str">
        <f>_xlfn.IFNA(SQRT((VLOOKUP(AB$1,DATA!$A$3:$F$301,2,FALSE)-VLOOKUP($A77,DATA!$A$3:$F$301,2,FALSE))^2+(VLOOKUP(AB$1,DATA!$A$3:$F$301,3,FALSE)-VLOOKUP($A77,DATA!$A$3:$F$301,3,FALSE))^2),"")</f>
        <v/>
      </c>
      <c r="AC77" s="14" t="str">
        <f>_xlfn.IFNA(SQRT((VLOOKUP(AC$1,DATA!$A$3:$F$301,2,FALSE)-VLOOKUP($A77,DATA!$A$3:$F$301,2,FALSE))^2+(VLOOKUP(AC$1,DATA!$A$3:$F$301,3,FALSE)-VLOOKUP($A77,DATA!$A$3:$F$301,3,FALSE))^2),"")</f>
        <v/>
      </c>
      <c r="AD77" s="14" t="str">
        <f>_xlfn.IFNA(SQRT((VLOOKUP(AD$1,DATA!$A$3:$F$301,2,FALSE)-VLOOKUP($A77,DATA!$A$3:$F$301,2,FALSE))^2+(VLOOKUP(AD$1,DATA!$A$3:$F$301,3,FALSE)-VLOOKUP($A77,DATA!$A$3:$F$301,3,FALSE))^2),"")</f>
        <v/>
      </c>
      <c r="AE77" s="14" t="str">
        <f>_xlfn.IFNA(SQRT((VLOOKUP(AE$1,DATA!$A$3:$F$301,2,FALSE)-VLOOKUP($A77,DATA!$A$3:$F$301,2,FALSE))^2+(VLOOKUP(AE$1,DATA!$A$3:$F$301,3,FALSE)-VLOOKUP($A77,DATA!$A$3:$F$301,3,FALSE))^2),"")</f>
        <v/>
      </c>
      <c r="AF77" s="14" t="str">
        <f>_xlfn.IFNA(SQRT((VLOOKUP(AF$1,DATA!$A$3:$F$301,2,FALSE)-VLOOKUP($A77,DATA!$A$3:$F$301,2,FALSE))^2+(VLOOKUP(AF$1,DATA!$A$3:$F$301,3,FALSE)-VLOOKUP($A77,DATA!$A$3:$F$301,3,FALSE))^2),"")</f>
        <v/>
      </c>
      <c r="AG77" s="14" t="str">
        <f>_xlfn.IFNA(SQRT((VLOOKUP(AG$1,DATA!$A$3:$F$301,2,FALSE)-VLOOKUP($A77,DATA!$A$3:$F$301,2,FALSE))^2+(VLOOKUP(AG$1,DATA!$A$3:$F$301,3,FALSE)-VLOOKUP($A77,DATA!$A$3:$F$301,3,FALSE))^2),"")</f>
        <v/>
      </c>
      <c r="AH77" s="14" t="str">
        <f>_xlfn.IFNA(SQRT((VLOOKUP(AH$1,DATA!$A$3:$F$301,2,FALSE)-VLOOKUP($A77,DATA!$A$3:$F$301,2,FALSE))^2+(VLOOKUP(AH$1,DATA!$A$3:$F$301,3,FALSE)-VLOOKUP($A77,DATA!$A$3:$F$301,3,FALSE))^2),"")</f>
        <v/>
      </c>
      <c r="AI77" s="14" t="str">
        <f>_xlfn.IFNA(SQRT((VLOOKUP(AI$1,DATA!$A$3:$F$301,2,FALSE)-VLOOKUP($A77,DATA!$A$3:$F$301,2,FALSE))^2+(VLOOKUP(AI$1,DATA!$A$3:$F$301,3,FALSE)-VLOOKUP($A77,DATA!$A$3:$F$301,3,FALSE))^2),"")</f>
        <v/>
      </c>
      <c r="AJ77" s="14" t="str">
        <f>_xlfn.IFNA(SQRT((VLOOKUP(AJ$1,DATA!$A$3:$F$301,2,FALSE)-VLOOKUP($A77,DATA!$A$3:$F$301,2,FALSE))^2+(VLOOKUP(AJ$1,DATA!$A$3:$F$301,3,FALSE)-VLOOKUP($A77,DATA!$A$3:$F$301,3,FALSE))^2),"")</f>
        <v/>
      </c>
      <c r="AK77" s="14" t="str">
        <f>_xlfn.IFNA(SQRT((VLOOKUP(AK$1,DATA!$A$3:$F$301,2,FALSE)-VLOOKUP($A77,DATA!$A$3:$F$301,2,FALSE))^2+(VLOOKUP(AK$1,DATA!$A$3:$F$301,3,FALSE)-VLOOKUP($A77,DATA!$A$3:$F$301,3,FALSE))^2),"")</f>
        <v/>
      </c>
      <c r="AL77" s="14" t="str">
        <f>_xlfn.IFNA(SQRT((VLOOKUP(AL$1,DATA!$A$3:$F$301,2,FALSE)-VLOOKUP($A77,DATA!$A$3:$F$301,2,FALSE))^2+(VLOOKUP(AL$1,DATA!$A$3:$F$301,3,FALSE)-VLOOKUP($A77,DATA!$A$3:$F$301,3,FALSE))^2),"")</f>
        <v/>
      </c>
      <c r="AM77" s="14" t="str">
        <f>_xlfn.IFNA(SQRT((VLOOKUP(AM$1,DATA!$A$3:$F$301,2,FALSE)-VLOOKUP($A77,DATA!$A$3:$F$301,2,FALSE))^2+(VLOOKUP(AM$1,DATA!$A$3:$F$301,3,FALSE)-VLOOKUP($A77,DATA!$A$3:$F$301,3,FALSE))^2),"")</f>
        <v/>
      </c>
      <c r="AN77" s="14" t="str">
        <f>_xlfn.IFNA(SQRT((VLOOKUP(AN$1,DATA!$A$3:$F$301,2,FALSE)-VLOOKUP($A77,DATA!$A$3:$F$301,2,FALSE))^2+(VLOOKUP(AN$1,DATA!$A$3:$F$301,3,FALSE)-VLOOKUP($A77,DATA!$A$3:$F$301,3,FALSE))^2),"")</f>
        <v/>
      </c>
      <c r="AO77" s="14" t="str">
        <f>_xlfn.IFNA(SQRT((VLOOKUP(AO$1,DATA!$A$3:$F$301,2,FALSE)-VLOOKUP($A77,DATA!$A$3:$F$301,2,FALSE))^2+(VLOOKUP(AO$1,DATA!$A$3:$F$301,3,FALSE)-VLOOKUP($A77,DATA!$A$3:$F$301,3,FALSE))^2),"")</f>
        <v/>
      </c>
      <c r="AP77" s="14" t="str">
        <f>_xlfn.IFNA(SQRT((VLOOKUP(AP$1,DATA!$A$3:$F$301,2,FALSE)-VLOOKUP($A77,DATA!$A$3:$F$301,2,FALSE))^2+(VLOOKUP(AP$1,DATA!$A$3:$F$301,3,FALSE)-VLOOKUP($A77,DATA!$A$3:$F$301,3,FALSE))^2),"")</f>
        <v/>
      </c>
      <c r="AQ77" s="14" t="str">
        <f>_xlfn.IFNA(SQRT((VLOOKUP(AQ$1,DATA!$A$3:$F$301,2,FALSE)-VLOOKUP($A77,DATA!$A$3:$F$301,2,FALSE))^2+(VLOOKUP(AQ$1,DATA!$A$3:$F$301,3,FALSE)-VLOOKUP($A77,DATA!$A$3:$F$301,3,FALSE))^2),"")</f>
        <v/>
      </c>
      <c r="AR77" s="14" t="str">
        <f>_xlfn.IFNA(SQRT((VLOOKUP(AR$1,DATA!$A$3:$F$301,2,FALSE)-VLOOKUP($A77,DATA!$A$3:$F$301,2,FALSE))^2+(VLOOKUP(AR$1,DATA!$A$3:$F$301,3,FALSE)-VLOOKUP($A77,DATA!$A$3:$F$301,3,FALSE))^2),"")</f>
        <v/>
      </c>
      <c r="AS77" s="14" t="str">
        <f>_xlfn.IFNA(SQRT((VLOOKUP(AS$1,DATA!$A$3:$F$301,2,FALSE)-VLOOKUP($A77,DATA!$A$3:$F$301,2,FALSE))^2+(VLOOKUP(AS$1,DATA!$A$3:$F$301,3,FALSE)-VLOOKUP($A77,DATA!$A$3:$F$301,3,FALSE))^2),"")</f>
        <v/>
      </c>
      <c r="AT77" s="14" t="str">
        <f>_xlfn.IFNA(SQRT((VLOOKUP(AT$1,DATA!$A$3:$F$301,2,FALSE)-VLOOKUP($A77,DATA!$A$3:$F$301,2,FALSE))^2+(VLOOKUP(AT$1,DATA!$A$3:$F$301,3,FALSE)-VLOOKUP($A77,DATA!$A$3:$F$301,3,FALSE))^2),"")</f>
        <v/>
      </c>
      <c r="AU77" s="14" t="str">
        <f>_xlfn.IFNA(SQRT((VLOOKUP(AU$1,DATA!$A$3:$F$301,2,FALSE)-VLOOKUP($A77,DATA!$A$3:$F$301,2,FALSE))^2+(VLOOKUP(AU$1,DATA!$A$3:$F$301,3,FALSE)-VLOOKUP($A77,DATA!$A$3:$F$301,3,FALSE))^2),"")</f>
        <v/>
      </c>
      <c r="AV77" s="14" t="str">
        <f>_xlfn.IFNA(SQRT((VLOOKUP(AV$1,DATA!$A$3:$F$301,2,FALSE)-VLOOKUP($A77,DATA!$A$3:$F$301,2,FALSE))^2+(VLOOKUP(AV$1,DATA!$A$3:$F$301,3,FALSE)-VLOOKUP($A77,DATA!$A$3:$F$301,3,FALSE))^2),"")</f>
        <v/>
      </c>
      <c r="AW77" s="14" t="str">
        <f>_xlfn.IFNA(SQRT((VLOOKUP(AW$1,DATA!$A$3:$F$301,2,FALSE)-VLOOKUP($A77,DATA!$A$3:$F$301,2,FALSE))^2+(VLOOKUP(AW$1,DATA!$A$3:$F$301,3,FALSE)-VLOOKUP($A77,DATA!$A$3:$F$301,3,FALSE))^2),"")</f>
        <v/>
      </c>
      <c r="AX77" s="14" t="str">
        <f>_xlfn.IFNA(SQRT((VLOOKUP(AX$1,DATA!$A$3:$F$301,2,FALSE)-VLOOKUP($A77,DATA!$A$3:$F$301,2,FALSE))^2+(VLOOKUP(AX$1,DATA!$A$3:$F$301,3,FALSE)-VLOOKUP($A77,DATA!$A$3:$F$301,3,FALSE))^2),"")</f>
        <v/>
      </c>
      <c r="AY77" s="14" t="str">
        <f>_xlfn.IFNA(SQRT((VLOOKUP(AY$1,DATA!$A$3:$F$301,2,FALSE)-VLOOKUP($A77,DATA!$A$3:$F$301,2,FALSE))^2+(VLOOKUP(AY$1,DATA!$A$3:$F$301,3,FALSE)-VLOOKUP($A77,DATA!$A$3:$F$301,3,FALSE))^2),"")</f>
        <v/>
      </c>
      <c r="AZ77" s="14" t="str">
        <f>_xlfn.IFNA(SQRT((VLOOKUP(AZ$1,DATA!$A$3:$F$301,2,FALSE)-VLOOKUP($A77,DATA!$A$3:$F$301,2,FALSE))^2+(VLOOKUP(AZ$1,DATA!$A$3:$F$301,3,FALSE)-VLOOKUP($A77,DATA!$A$3:$F$301,3,FALSE))^2),"")</f>
        <v/>
      </c>
      <c r="BA77" s="14" t="str">
        <f>_xlfn.IFNA(SQRT((VLOOKUP(BA$1,DATA!$A$3:$F$301,2,FALSE)-VLOOKUP($A77,DATA!$A$3:$F$301,2,FALSE))^2+(VLOOKUP(BA$1,DATA!$A$3:$F$301,3,FALSE)-VLOOKUP($A77,DATA!$A$3:$F$301,3,FALSE))^2),"")</f>
        <v/>
      </c>
      <c r="BB77" s="14" t="str">
        <f>_xlfn.IFNA(SQRT((VLOOKUP(BB$1,DATA!$A$3:$F$301,2,FALSE)-VLOOKUP($A77,DATA!$A$3:$F$301,2,FALSE))^2+(VLOOKUP(BB$1,DATA!$A$3:$F$301,3,FALSE)-VLOOKUP($A77,DATA!$A$3:$F$301,3,FALSE))^2),"")</f>
        <v/>
      </c>
      <c r="BC77" s="14" t="str">
        <f>_xlfn.IFNA(SQRT((VLOOKUP(BC$1,DATA!$A$3:$F$301,2,FALSE)-VLOOKUP($A77,DATA!$A$3:$F$301,2,FALSE))^2+(VLOOKUP(BC$1,DATA!$A$3:$F$301,3,FALSE)-VLOOKUP($A77,DATA!$A$3:$F$301,3,FALSE))^2),"")</f>
        <v/>
      </c>
      <c r="BD77" s="14" t="str">
        <f>_xlfn.IFNA(SQRT((VLOOKUP(BD$1,DATA!$A$3:$F$301,2,FALSE)-VLOOKUP($A77,DATA!$A$3:$F$301,2,FALSE))^2+(VLOOKUP(BD$1,DATA!$A$3:$F$301,3,FALSE)-VLOOKUP($A77,DATA!$A$3:$F$301,3,FALSE))^2),"")</f>
        <v/>
      </c>
      <c r="BE77" s="14" t="str">
        <f>_xlfn.IFNA(SQRT((VLOOKUP(BE$1,DATA!$A$3:$F$301,2,FALSE)-VLOOKUP($A77,DATA!$A$3:$F$301,2,FALSE))^2+(VLOOKUP(BE$1,DATA!$A$3:$F$301,3,FALSE)-VLOOKUP($A77,DATA!$A$3:$F$301,3,FALSE))^2),"")</f>
        <v/>
      </c>
      <c r="BF77" s="14" t="str">
        <f>_xlfn.IFNA(SQRT((VLOOKUP(BF$1,DATA!$A$3:$F$301,2,FALSE)-VLOOKUP($A77,DATA!$A$3:$F$301,2,FALSE))^2+(VLOOKUP(BF$1,DATA!$A$3:$F$301,3,FALSE)-VLOOKUP($A77,DATA!$A$3:$F$301,3,FALSE))^2),"")</f>
        <v/>
      </c>
      <c r="BG77" s="14" t="str">
        <f>_xlfn.IFNA(SQRT((VLOOKUP(BG$1,DATA!$A$3:$F$301,2,FALSE)-VLOOKUP($A77,DATA!$A$3:$F$301,2,FALSE))^2+(VLOOKUP(BG$1,DATA!$A$3:$F$301,3,FALSE)-VLOOKUP($A77,DATA!$A$3:$F$301,3,FALSE))^2),"")</f>
        <v/>
      </c>
      <c r="BH77" s="14" t="str">
        <f>_xlfn.IFNA(SQRT((VLOOKUP(BH$1,DATA!$A$3:$F$301,2,FALSE)-VLOOKUP($A77,DATA!$A$3:$F$301,2,FALSE))^2+(VLOOKUP(BH$1,DATA!$A$3:$F$301,3,FALSE)-VLOOKUP($A77,DATA!$A$3:$F$301,3,FALSE))^2),"")</f>
        <v/>
      </c>
      <c r="BI77" s="14" t="str">
        <f>_xlfn.IFNA(SQRT((VLOOKUP(BI$1,DATA!$A$3:$F$301,2,FALSE)-VLOOKUP($A77,DATA!$A$3:$F$301,2,FALSE))^2+(VLOOKUP(BI$1,DATA!$A$3:$F$301,3,FALSE)-VLOOKUP($A77,DATA!$A$3:$F$301,3,FALSE))^2),"")</f>
        <v/>
      </c>
      <c r="BJ77" s="14" t="str">
        <f>_xlfn.IFNA(SQRT((VLOOKUP(BJ$1,DATA!$A$3:$F$301,2,FALSE)-VLOOKUP($A77,DATA!$A$3:$F$301,2,FALSE))^2+(VLOOKUP(BJ$1,DATA!$A$3:$F$301,3,FALSE)-VLOOKUP($A77,DATA!$A$3:$F$301,3,FALSE))^2),"")</f>
        <v/>
      </c>
      <c r="BK77" s="14" t="str">
        <f>_xlfn.IFNA(SQRT((VLOOKUP(BK$1,DATA!$A$3:$F$301,2,FALSE)-VLOOKUP($A77,DATA!$A$3:$F$301,2,FALSE))^2+(VLOOKUP(BK$1,DATA!$A$3:$F$301,3,FALSE)-VLOOKUP($A77,DATA!$A$3:$F$301,3,FALSE))^2),"")</f>
        <v/>
      </c>
      <c r="BL77" s="14" t="str">
        <f>_xlfn.IFNA(SQRT((VLOOKUP(BL$1,DATA!$A$3:$F$301,2,FALSE)-VLOOKUP($A77,DATA!$A$3:$F$301,2,FALSE))^2+(VLOOKUP(BL$1,DATA!$A$3:$F$301,3,FALSE)-VLOOKUP($A77,DATA!$A$3:$F$301,3,FALSE))^2),"")</f>
        <v/>
      </c>
      <c r="BM77" s="14" t="str">
        <f>_xlfn.IFNA(SQRT((VLOOKUP(BM$1,DATA!$A$3:$F$301,2,FALSE)-VLOOKUP($A77,DATA!$A$3:$F$301,2,FALSE))^2+(VLOOKUP(BM$1,DATA!$A$3:$F$301,3,FALSE)-VLOOKUP($A77,DATA!$A$3:$F$301,3,FALSE))^2),"")</f>
        <v/>
      </c>
      <c r="BN77" s="14" t="str">
        <f>_xlfn.IFNA(SQRT((VLOOKUP(BN$1,DATA!$A$3:$F$301,2,FALSE)-VLOOKUP($A77,DATA!$A$3:$F$301,2,FALSE))^2+(VLOOKUP(BN$1,DATA!$A$3:$F$301,3,FALSE)-VLOOKUP($A77,DATA!$A$3:$F$301,3,FALSE))^2),"")</f>
        <v/>
      </c>
      <c r="BO77" s="14" t="str">
        <f>_xlfn.IFNA(SQRT((VLOOKUP(BO$1,DATA!$A$3:$F$301,2,FALSE)-VLOOKUP($A77,DATA!$A$3:$F$301,2,FALSE))^2+(VLOOKUP(BO$1,DATA!$A$3:$F$301,3,FALSE)-VLOOKUP($A77,DATA!$A$3:$F$301,3,FALSE))^2),"")</f>
        <v/>
      </c>
      <c r="BP77" s="14" t="str">
        <f>_xlfn.IFNA(SQRT((VLOOKUP(BP$1,DATA!$A$3:$F$301,2,FALSE)-VLOOKUP($A77,DATA!$A$3:$F$301,2,FALSE))^2+(VLOOKUP(BP$1,DATA!$A$3:$F$301,3,FALSE)-VLOOKUP($A77,DATA!$A$3:$F$301,3,FALSE))^2),"")</f>
        <v/>
      </c>
      <c r="BQ77" s="14" t="str">
        <f>_xlfn.IFNA(SQRT((VLOOKUP(BQ$1,DATA!$A$3:$F$301,2,FALSE)-VLOOKUP($A77,DATA!$A$3:$F$301,2,FALSE))^2+(VLOOKUP(BQ$1,DATA!$A$3:$F$301,3,FALSE)-VLOOKUP($A77,DATA!$A$3:$F$301,3,FALSE))^2),"")</f>
        <v/>
      </c>
      <c r="BR77" s="14" t="str">
        <f>_xlfn.IFNA(SQRT((VLOOKUP(BR$1,DATA!$A$3:$F$301,2,FALSE)-VLOOKUP($A77,DATA!$A$3:$F$301,2,FALSE))^2+(VLOOKUP(BR$1,DATA!$A$3:$F$301,3,FALSE)-VLOOKUP($A77,DATA!$A$3:$F$301,3,FALSE))^2),"")</f>
        <v/>
      </c>
      <c r="BS77" s="14" t="str">
        <f>_xlfn.IFNA(SQRT((VLOOKUP(BS$1,DATA!$A$3:$F$301,2,FALSE)-VLOOKUP($A77,DATA!$A$3:$F$301,2,FALSE))^2+(VLOOKUP(BS$1,DATA!$A$3:$F$301,3,FALSE)-VLOOKUP($A77,DATA!$A$3:$F$301,3,FALSE))^2),"")</f>
        <v/>
      </c>
      <c r="BT77" s="14" t="str">
        <f>_xlfn.IFNA(SQRT((VLOOKUP(BT$1,DATA!$A$3:$F$301,2,FALSE)-VLOOKUP($A77,DATA!$A$3:$F$301,2,FALSE))^2+(VLOOKUP(BT$1,DATA!$A$3:$F$301,3,FALSE)-VLOOKUP($A77,DATA!$A$3:$F$301,3,FALSE))^2),"")</f>
        <v/>
      </c>
      <c r="BU77" s="14" t="str">
        <f>_xlfn.IFNA(SQRT((VLOOKUP(BU$1,DATA!$A$3:$F$301,2,FALSE)-VLOOKUP($A77,DATA!$A$3:$F$301,2,FALSE))^2+(VLOOKUP(BU$1,DATA!$A$3:$F$301,3,FALSE)-VLOOKUP($A77,DATA!$A$3:$F$301,3,FALSE))^2),"")</f>
        <v/>
      </c>
      <c r="BV77" s="14" t="str">
        <f>_xlfn.IFNA(SQRT((VLOOKUP(BV$1,DATA!$A$3:$F$301,2,FALSE)-VLOOKUP($A77,DATA!$A$3:$F$301,2,FALSE))^2+(VLOOKUP(BV$1,DATA!$A$3:$F$301,3,FALSE)-VLOOKUP($A77,DATA!$A$3:$F$301,3,FALSE))^2),"")</f>
        <v/>
      </c>
      <c r="BW77" s="14" t="str">
        <f>_xlfn.IFNA(SQRT((VLOOKUP(BW$1,DATA!$A$3:$F$301,2,FALSE)-VLOOKUP($A77,DATA!$A$3:$F$301,2,FALSE))^2+(VLOOKUP(BW$1,DATA!$A$3:$F$301,3,FALSE)-VLOOKUP($A77,DATA!$A$3:$F$301,3,FALSE))^2),"")</f>
        <v/>
      </c>
      <c r="BX77" s="14" t="str">
        <f>_xlfn.IFNA(SQRT((VLOOKUP(BX$1,DATA!$A$3:$F$301,2,FALSE)-VLOOKUP($A77,DATA!$A$3:$F$301,2,FALSE))^2+(VLOOKUP(BX$1,DATA!$A$3:$F$301,3,FALSE)-VLOOKUP($A77,DATA!$A$3:$F$301,3,FALSE))^2),"")</f>
        <v/>
      </c>
      <c r="BY77" s="14" t="str">
        <f>_xlfn.IFNA(SQRT((VLOOKUP(BY$1,DATA!$A$3:$F$301,2,FALSE)-VLOOKUP($A77,DATA!$A$3:$F$301,2,FALSE))^2+(VLOOKUP(BY$1,DATA!$A$3:$F$301,3,FALSE)-VLOOKUP($A77,DATA!$A$3:$F$301,3,FALSE))^2),"")</f>
        <v/>
      </c>
      <c r="BZ77" s="14" t="str">
        <f>_xlfn.IFNA(SQRT((VLOOKUP(BZ$1,DATA!$A$3:$F$301,2,FALSE)-VLOOKUP($A77,DATA!$A$3:$F$301,2,FALSE))^2+(VLOOKUP(BZ$1,DATA!$A$3:$F$301,3,FALSE)-VLOOKUP($A77,DATA!$A$3:$F$301,3,FALSE))^2),"")</f>
        <v/>
      </c>
      <c r="CA77" s="14" t="str">
        <f>_xlfn.IFNA(SQRT((VLOOKUP(CA$1,DATA!$A$3:$F$301,2,FALSE)-VLOOKUP($A77,DATA!$A$3:$F$301,2,FALSE))^2+(VLOOKUP(CA$1,DATA!$A$3:$F$301,3,FALSE)-VLOOKUP($A77,DATA!$A$3:$F$301,3,FALSE))^2),"")</f>
        <v/>
      </c>
      <c r="CB77" s="14" t="str">
        <f>_xlfn.IFNA(SQRT((VLOOKUP(CB$1,DATA!$A$3:$F$301,2,FALSE)-VLOOKUP($A77,DATA!$A$3:$F$301,2,FALSE))^2+(VLOOKUP(CB$1,DATA!$A$3:$F$301,3,FALSE)-VLOOKUP($A77,DATA!$A$3:$F$301,3,FALSE))^2),"")</f>
        <v/>
      </c>
      <c r="CC77" s="14" t="str">
        <f>_xlfn.IFNA(SQRT((VLOOKUP(CC$1,DATA!$A$3:$F$301,2,FALSE)-VLOOKUP($A77,DATA!$A$3:$F$301,2,FALSE))^2+(VLOOKUP(CC$1,DATA!$A$3:$F$301,3,FALSE)-VLOOKUP($A77,DATA!$A$3:$F$301,3,FALSE))^2),"")</f>
        <v/>
      </c>
      <c r="CD77" s="14" t="str">
        <f>_xlfn.IFNA(SQRT((VLOOKUP(CD$1,DATA!$A$3:$F$301,2,FALSE)-VLOOKUP($A77,DATA!$A$3:$F$301,2,FALSE))^2+(VLOOKUP(CD$1,DATA!$A$3:$F$301,3,FALSE)-VLOOKUP($A77,DATA!$A$3:$F$301,3,FALSE))^2),"")</f>
        <v/>
      </c>
      <c r="CE77" s="14" t="str">
        <f>_xlfn.IFNA(SQRT((VLOOKUP(CE$1,DATA!$A$3:$F$301,2,FALSE)-VLOOKUP($A77,DATA!$A$3:$F$301,2,FALSE))^2+(VLOOKUP(CE$1,DATA!$A$3:$F$301,3,FALSE)-VLOOKUP($A77,DATA!$A$3:$F$301,3,FALSE))^2),"")</f>
        <v/>
      </c>
      <c r="CF77" s="14" t="str">
        <f>_xlfn.IFNA(SQRT((VLOOKUP(CF$1,DATA!$A$3:$F$301,2,FALSE)-VLOOKUP($A77,DATA!$A$3:$F$301,2,FALSE))^2+(VLOOKUP(CF$1,DATA!$A$3:$F$301,3,FALSE)-VLOOKUP($A77,DATA!$A$3:$F$301,3,FALSE))^2),"")</f>
        <v/>
      </c>
      <c r="CG77" s="14" t="str">
        <f>_xlfn.IFNA(SQRT((VLOOKUP(CG$1,DATA!$A$3:$F$301,2,FALSE)-VLOOKUP($A77,DATA!$A$3:$F$301,2,FALSE))^2+(VLOOKUP(CG$1,DATA!$A$3:$F$301,3,FALSE)-VLOOKUP($A77,DATA!$A$3:$F$301,3,FALSE))^2),"")</f>
        <v/>
      </c>
      <c r="CH77" s="14" t="str">
        <f>_xlfn.IFNA(SQRT((VLOOKUP(CH$1,DATA!$A$3:$F$301,2,FALSE)-VLOOKUP($A77,DATA!$A$3:$F$301,2,FALSE))^2+(VLOOKUP(CH$1,DATA!$A$3:$F$301,3,FALSE)-VLOOKUP($A77,DATA!$A$3:$F$301,3,FALSE))^2),"")</f>
        <v/>
      </c>
      <c r="CI77" s="14" t="str">
        <f>_xlfn.IFNA(SQRT((VLOOKUP(CI$1,DATA!$A$3:$F$301,2,FALSE)-VLOOKUP($A77,DATA!$A$3:$F$301,2,FALSE))^2+(VLOOKUP(CI$1,DATA!$A$3:$F$301,3,FALSE)-VLOOKUP($A77,DATA!$A$3:$F$301,3,FALSE))^2),"")</f>
        <v/>
      </c>
      <c r="CJ77" s="14" t="str">
        <f>_xlfn.IFNA(SQRT((VLOOKUP(CJ$1,DATA!$A$3:$F$301,2,FALSE)-VLOOKUP($A77,DATA!$A$3:$F$301,2,FALSE))^2+(VLOOKUP(CJ$1,DATA!$A$3:$F$301,3,FALSE)-VLOOKUP($A77,DATA!$A$3:$F$301,3,FALSE))^2),"")</f>
        <v/>
      </c>
      <c r="CK77" s="14" t="str">
        <f>_xlfn.IFNA(SQRT((VLOOKUP(CK$1,DATA!$A$3:$F$301,2,FALSE)-VLOOKUP($A77,DATA!$A$3:$F$301,2,FALSE))^2+(VLOOKUP(CK$1,DATA!$A$3:$F$301,3,FALSE)-VLOOKUP($A77,DATA!$A$3:$F$301,3,FALSE))^2),"")</f>
        <v/>
      </c>
      <c r="CL77" s="14" t="str">
        <f>_xlfn.IFNA(SQRT((VLOOKUP(CL$1,DATA!$A$3:$F$301,2,FALSE)-VLOOKUP($A77,DATA!$A$3:$F$301,2,FALSE))^2+(VLOOKUP(CL$1,DATA!$A$3:$F$301,3,FALSE)-VLOOKUP($A77,DATA!$A$3:$F$301,3,FALSE))^2),"")</f>
        <v/>
      </c>
      <c r="CM77" s="14" t="str">
        <f>_xlfn.IFNA(SQRT((VLOOKUP(CM$1,DATA!$A$3:$F$301,2,FALSE)-VLOOKUP($A77,DATA!$A$3:$F$301,2,FALSE))^2+(VLOOKUP(CM$1,DATA!$A$3:$F$301,3,FALSE)-VLOOKUP($A77,DATA!$A$3:$F$301,3,FALSE))^2),"")</f>
        <v/>
      </c>
      <c r="CN77" s="14" t="str">
        <f>_xlfn.IFNA(SQRT((VLOOKUP(CN$1,DATA!$A$3:$F$301,2,FALSE)-VLOOKUP($A77,DATA!$A$3:$F$301,2,FALSE))^2+(VLOOKUP(CN$1,DATA!$A$3:$F$301,3,FALSE)-VLOOKUP($A77,DATA!$A$3:$F$301,3,FALSE))^2),"")</f>
        <v/>
      </c>
      <c r="CO77" s="14" t="str">
        <f>_xlfn.IFNA(SQRT((VLOOKUP(CO$1,DATA!$A$3:$F$301,2,FALSE)-VLOOKUP($A77,DATA!$A$3:$F$301,2,FALSE))^2+(VLOOKUP(CO$1,DATA!$A$3:$F$301,3,FALSE)-VLOOKUP($A77,DATA!$A$3:$F$301,3,FALSE))^2),"")</f>
        <v/>
      </c>
      <c r="CP77" s="14" t="str">
        <f>_xlfn.IFNA(SQRT((VLOOKUP(CP$1,DATA!$A$3:$F$301,2,FALSE)-VLOOKUP($A77,DATA!$A$3:$F$301,2,FALSE))^2+(VLOOKUP(CP$1,DATA!$A$3:$F$301,3,FALSE)-VLOOKUP($A77,DATA!$A$3:$F$301,3,FALSE))^2),"")</f>
        <v/>
      </c>
      <c r="CQ77" s="14" t="str">
        <f>_xlfn.IFNA(SQRT((VLOOKUP(CQ$1,DATA!$A$3:$F$301,2,FALSE)-VLOOKUP($A77,DATA!$A$3:$F$301,2,FALSE))^2+(VLOOKUP(CQ$1,DATA!$A$3:$F$301,3,FALSE)-VLOOKUP($A77,DATA!$A$3:$F$301,3,FALSE))^2),"")</f>
        <v/>
      </c>
      <c r="CR77" s="14" t="str">
        <f>_xlfn.IFNA(SQRT((VLOOKUP(CR$1,DATA!$A$3:$F$301,2,FALSE)-VLOOKUP($A77,DATA!$A$3:$F$301,2,FALSE))^2+(VLOOKUP(CR$1,DATA!$A$3:$F$301,3,FALSE)-VLOOKUP($A77,DATA!$A$3:$F$301,3,FALSE))^2),"")</f>
        <v/>
      </c>
      <c r="CS77" s="14" t="str">
        <f>_xlfn.IFNA(SQRT((VLOOKUP(CS$1,DATA!$A$3:$F$301,2,FALSE)-VLOOKUP($A77,DATA!$A$3:$F$301,2,FALSE))^2+(VLOOKUP(CS$1,DATA!$A$3:$F$301,3,FALSE)-VLOOKUP($A77,DATA!$A$3:$F$301,3,FALSE))^2),"")</f>
        <v/>
      </c>
      <c r="CT77" s="14" t="str">
        <f>_xlfn.IFNA(SQRT((VLOOKUP(CT$1,DATA!$A$3:$F$301,2,FALSE)-VLOOKUP($A77,DATA!$A$3:$F$301,2,FALSE))^2+(VLOOKUP(CT$1,DATA!$A$3:$F$301,3,FALSE)-VLOOKUP($A77,DATA!$A$3:$F$301,3,FALSE))^2),"")</f>
        <v/>
      </c>
      <c r="CU77" s="14" t="str">
        <f>_xlfn.IFNA(SQRT((VLOOKUP(CU$1,DATA!$A$3:$F$301,2,FALSE)-VLOOKUP($A77,DATA!$A$3:$F$301,2,FALSE))^2+(VLOOKUP(CU$1,DATA!$A$3:$F$301,3,FALSE)-VLOOKUP($A77,DATA!$A$3:$F$301,3,FALSE))^2),"")</f>
        <v/>
      </c>
      <c r="CV77" s="14" t="str">
        <f>_xlfn.IFNA(SQRT((VLOOKUP(CV$1,DATA!$A$3:$F$301,2,FALSE)-VLOOKUP($A77,DATA!$A$3:$F$301,2,FALSE))^2+(VLOOKUP(CV$1,DATA!$A$3:$F$301,3,FALSE)-VLOOKUP($A77,DATA!$A$3:$F$301,3,FALSE))^2),"")</f>
        <v/>
      </c>
      <c r="CW77" s="14" t="str">
        <f>_xlfn.IFNA(SQRT((VLOOKUP(CW$1,DATA!$A$3:$F$301,2,FALSE)-VLOOKUP($A77,DATA!$A$3:$F$301,2,FALSE))^2+(VLOOKUP(CW$1,DATA!$A$3:$F$301,3,FALSE)-VLOOKUP($A77,DATA!$A$3:$F$301,3,FALSE))^2),"")</f>
        <v/>
      </c>
      <c r="CX77" s="14" t="str">
        <f>_xlfn.IFNA(SQRT((VLOOKUP(CX$1,DATA!$A$3:$F$301,2,FALSE)-VLOOKUP($A77,DATA!$A$3:$F$301,2,FALSE))^2+(VLOOKUP(CX$1,DATA!$A$3:$F$301,3,FALSE)-VLOOKUP($A77,DATA!$A$3:$F$301,3,FALSE))^2),"")</f>
        <v/>
      </c>
    </row>
    <row r="78" spans="1:102">
      <c r="A78" s="13">
        <v>77</v>
      </c>
      <c r="B78" s="14" t="str">
        <f>_xlfn.IFNA(SQRT((VLOOKUP(B$1,DATA!$A$3:$F$301,2,FALSE)-VLOOKUP($A78,DATA!$A$3:$F$301,2,FALSE))^2+(VLOOKUP(B$1,DATA!$A$3:$F$301,3,FALSE)-VLOOKUP($A78,DATA!$A$3:$F$301,3,FALSE))^2),"")</f>
        <v/>
      </c>
      <c r="C78" s="14" t="str">
        <f>_xlfn.IFNA(SQRT((VLOOKUP(C$1,DATA!$A$3:$F$301,2,FALSE)-VLOOKUP($A78,DATA!$A$3:$F$301,2,FALSE))^2+(VLOOKUP(C$1,DATA!$A$3:$F$301,3,FALSE)-VLOOKUP($A78,DATA!$A$3:$F$301,3,FALSE))^2),"")</f>
        <v/>
      </c>
      <c r="D78" s="14" t="str">
        <f>_xlfn.IFNA(SQRT((VLOOKUP(D$1,DATA!$A$3:$F$301,2,FALSE)-VLOOKUP($A78,DATA!$A$3:$F$301,2,FALSE))^2+(VLOOKUP(D$1,DATA!$A$3:$F$301,3,FALSE)-VLOOKUP($A78,DATA!$A$3:$F$301,3,FALSE))^2),"")</f>
        <v/>
      </c>
      <c r="E78" s="14" t="str">
        <f>_xlfn.IFNA(SQRT((VLOOKUP(E$1,DATA!$A$3:$F$301,2,FALSE)-VLOOKUP($A78,DATA!$A$3:$F$301,2,FALSE))^2+(VLOOKUP(E$1,DATA!$A$3:$F$301,3,FALSE)-VLOOKUP($A78,DATA!$A$3:$F$301,3,FALSE))^2),"")</f>
        <v/>
      </c>
      <c r="F78" s="14" t="str">
        <f>_xlfn.IFNA(SQRT((VLOOKUP(F$1,DATA!$A$3:$F$301,2,FALSE)-VLOOKUP($A78,DATA!$A$3:$F$301,2,FALSE))^2+(VLOOKUP(F$1,DATA!$A$3:$F$301,3,FALSE)-VLOOKUP($A78,DATA!$A$3:$F$301,3,FALSE))^2),"")</f>
        <v/>
      </c>
      <c r="G78" s="14" t="str">
        <f>_xlfn.IFNA(SQRT((VLOOKUP(G$1,DATA!$A$3:$F$301,2,FALSE)-VLOOKUP($A78,DATA!$A$3:$F$301,2,FALSE))^2+(VLOOKUP(G$1,DATA!$A$3:$F$301,3,FALSE)-VLOOKUP($A78,DATA!$A$3:$F$301,3,FALSE))^2),"")</f>
        <v/>
      </c>
      <c r="H78" s="14" t="str">
        <f>_xlfn.IFNA(SQRT((VLOOKUP(H$1,DATA!$A$3:$F$301,2,FALSE)-VLOOKUP($A78,DATA!$A$3:$F$301,2,FALSE))^2+(VLOOKUP(H$1,DATA!$A$3:$F$301,3,FALSE)-VLOOKUP($A78,DATA!$A$3:$F$301,3,FALSE))^2),"")</f>
        <v/>
      </c>
      <c r="I78" s="14" t="str">
        <f>_xlfn.IFNA(SQRT((VLOOKUP(I$1,DATA!$A$3:$F$301,2,FALSE)-VLOOKUP($A78,DATA!$A$3:$F$301,2,FALSE))^2+(VLOOKUP(I$1,DATA!$A$3:$F$301,3,FALSE)-VLOOKUP($A78,DATA!$A$3:$F$301,3,FALSE))^2),"")</f>
        <v/>
      </c>
      <c r="J78" s="14" t="str">
        <f>_xlfn.IFNA(SQRT((VLOOKUP(J$1,DATA!$A$3:$F$301,2,FALSE)-VLOOKUP($A78,DATA!$A$3:$F$301,2,FALSE))^2+(VLOOKUP(J$1,DATA!$A$3:$F$301,3,FALSE)-VLOOKUP($A78,DATA!$A$3:$F$301,3,FALSE))^2),"")</f>
        <v/>
      </c>
      <c r="K78" s="14" t="str">
        <f>_xlfn.IFNA(SQRT((VLOOKUP(K$1,DATA!$A$3:$F$301,2,FALSE)-VLOOKUP($A78,DATA!$A$3:$F$301,2,FALSE))^2+(VLOOKUP(K$1,DATA!$A$3:$F$301,3,FALSE)-VLOOKUP($A78,DATA!$A$3:$F$301,3,FALSE))^2),"")</f>
        <v/>
      </c>
      <c r="L78" s="14" t="str">
        <f>_xlfn.IFNA(SQRT((VLOOKUP(L$1,DATA!$A$3:$F$301,2,FALSE)-VLOOKUP($A78,DATA!$A$3:$F$301,2,FALSE))^2+(VLOOKUP(L$1,DATA!$A$3:$F$301,3,FALSE)-VLOOKUP($A78,DATA!$A$3:$F$301,3,FALSE))^2),"")</f>
        <v/>
      </c>
      <c r="M78" s="14" t="str">
        <f>_xlfn.IFNA(SQRT((VLOOKUP(M$1,DATA!$A$3:$F$301,2,FALSE)-VLOOKUP($A78,DATA!$A$3:$F$301,2,FALSE))^2+(VLOOKUP(M$1,DATA!$A$3:$F$301,3,FALSE)-VLOOKUP($A78,DATA!$A$3:$F$301,3,FALSE))^2),"")</f>
        <v/>
      </c>
      <c r="N78" s="14" t="str">
        <f>_xlfn.IFNA(SQRT((VLOOKUP(N$1,DATA!$A$3:$F$301,2,FALSE)-VLOOKUP($A78,DATA!$A$3:$F$301,2,FALSE))^2+(VLOOKUP(N$1,DATA!$A$3:$F$301,3,FALSE)-VLOOKUP($A78,DATA!$A$3:$F$301,3,FALSE))^2),"")</f>
        <v/>
      </c>
      <c r="O78" s="14" t="str">
        <f>_xlfn.IFNA(SQRT((VLOOKUP(O$1,DATA!$A$3:$F$301,2,FALSE)-VLOOKUP($A78,DATA!$A$3:$F$301,2,FALSE))^2+(VLOOKUP(O$1,DATA!$A$3:$F$301,3,FALSE)-VLOOKUP($A78,DATA!$A$3:$F$301,3,FALSE))^2),"")</f>
        <v/>
      </c>
      <c r="P78" s="14" t="str">
        <f>_xlfn.IFNA(SQRT((VLOOKUP(P$1,DATA!$A$3:$F$301,2,FALSE)-VLOOKUP($A78,DATA!$A$3:$F$301,2,FALSE))^2+(VLOOKUP(P$1,DATA!$A$3:$F$301,3,FALSE)-VLOOKUP($A78,DATA!$A$3:$F$301,3,FALSE))^2),"")</f>
        <v/>
      </c>
      <c r="Q78" s="14" t="str">
        <f>_xlfn.IFNA(SQRT((VLOOKUP(Q$1,DATA!$A$3:$F$301,2,FALSE)-VLOOKUP($A78,DATA!$A$3:$F$301,2,FALSE))^2+(VLOOKUP(Q$1,DATA!$A$3:$F$301,3,FALSE)-VLOOKUP($A78,DATA!$A$3:$F$301,3,FALSE))^2),"")</f>
        <v/>
      </c>
      <c r="R78" s="14" t="str">
        <f>_xlfn.IFNA(SQRT((VLOOKUP(R$1,DATA!$A$3:$F$301,2,FALSE)-VLOOKUP($A78,DATA!$A$3:$F$301,2,FALSE))^2+(VLOOKUP(R$1,DATA!$A$3:$F$301,3,FALSE)-VLOOKUP($A78,DATA!$A$3:$F$301,3,FALSE))^2),"")</f>
        <v/>
      </c>
      <c r="S78" s="14" t="str">
        <f>_xlfn.IFNA(SQRT((VLOOKUP(S$1,DATA!$A$3:$F$301,2,FALSE)-VLOOKUP($A78,DATA!$A$3:$F$301,2,FALSE))^2+(VLOOKUP(S$1,DATA!$A$3:$F$301,3,FALSE)-VLOOKUP($A78,DATA!$A$3:$F$301,3,FALSE))^2),"")</f>
        <v/>
      </c>
      <c r="T78" s="14" t="str">
        <f>_xlfn.IFNA(SQRT((VLOOKUP(T$1,DATA!$A$3:$F$301,2,FALSE)-VLOOKUP($A78,DATA!$A$3:$F$301,2,FALSE))^2+(VLOOKUP(T$1,DATA!$A$3:$F$301,3,FALSE)-VLOOKUP($A78,DATA!$A$3:$F$301,3,FALSE))^2),"")</f>
        <v/>
      </c>
      <c r="U78" s="14" t="str">
        <f>_xlfn.IFNA(SQRT((VLOOKUP(U$1,DATA!$A$3:$F$301,2,FALSE)-VLOOKUP($A78,DATA!$A$3:$F$301,2,FALSE))^2+(VLOOKUP(U$1,DATA!$A$3:$F$301,3,FALSE)-VLOOKUP($A78,DATA!$A$3:$F$301,3,FALSE))^2),"")</f>
        <v/>
      </c>
      <c r="V78" s="14" t="str">
        <f>_xlfn.IFNA(SQRT((VLOOKUP(V$1,DATA!$A$3:$F$301,2,FALSE)-VLOOKUP($A78,DATA!$A$3:$F$301,2,FALSE))^2+(VLOOKUP(V$1,DATA!$A$3:$F$301,3,FALSE)-VLOOKUP($A78,DATA!$A$3:$F$301,3,FALSE))^2),"")</f>
        <v/>
      </c>
      <c r="W78" s="14" t="str">
        <f>_xlfn.IFNA(SQRT((VLOOKUP(W$1,DATA!$A$3:$F$301,2,FALSE)-VLOOKUP($A78,DATA!$A$3:$F$301,2,FALSE))^2+(VLOOKUP(W$1,DATA!$A$3:$F$301,3,FALSE)-VLOOKUP($A78,DATA!$A$3:$F$301,3,FALSE))^2),"")</f>
        <v/>
      </c>
      <c r="X78" s="14" t="str">
        <f>_xlfn.IFNA(SQRT((VLOOKUP(X$1,DATA!$A$3:$F$301,2,FALSE)-VLOOKUP($A78,DATA!$A$3:$F$301,2,FALSE))^2+(VLOOKUP(X$1,DATA!$A$3:$F$301,3,FALSE)-VLOOKUP($A78,DATA!$A$3:$F$301,3,FALSE))^2),"")</f>
        <v/>
      </c>
      <c r="Y78" s="14" t="str">
        <f>_xlfn.IFNA(SQRT((VLOOKUP(Y$1,DATA!$A$3:$F$301,2,FALSE)-VLOOKUP($A78,DATA!$A$3:$F$301,2,FALSE))^2+(VLOOKUP(Y$1,DATA!$A$3:$F$301,3,FALSE)-VLOOKUP($A78,DATA!$A$3:$F$301,3,FALSE))^2),"")</f>
        <v/>
      </c>
      <c r="Z78" s="14" t="str">
        <f>_xlfn.IFNA(SQRT((VLOOKUP(Z$1,DATA!$A$3:$F$301,2,FALSE)-VLOOKUP($A78,DATA!$A$3:$F$301,2,FALSE))^2+(VLOOKUP(Z$1,DATA!$A$3:$F$301,3,FALSE)-VLOOKUP($A78,DATA!$A$3:$F$301,3,FALSE))^2),"")</f>
        <v/>
      </c>
      <c r="AA78" s="14" t="str">
        <f>_xlfn.IFNA(SQRT((VLOOKUP(AA$1,DATA!$A$3:$F$301,2,FALSE)-VLOOKUP($A78,DATA!$A$3:$F$301,2,FALSE))^2+(VLOOKUP(AA$1,DATA!$A$3:$F$301,3,FALSE)-VLOOKUP($A78,DATA!$A$3:$F$301,3,FALSE))^2),"")</f>
        <v/>
      </c>
      <c r="AB78" s="14" t="str">
        <f>_xlfn.IFNA(SQRT((VLOOKUP(AB$1,DATA!$A$3:$F$301,2,FALSE)-VLOOKUP($A78,DATA!$A$3:$F$301,2,FALSE))^2+(VLOOKUP(AB$1,DATA!$A$3:$F$301,3,FALSE)-VLOOKUP($A78,DATA!$A$3:$F$301,3,FALSE))^2),"")</f>
        <v/>
      </c>
      <c r="AC78" s="14" t="str">
        <f>_xlfn.IFNA(SQRT((VLOOKUP(AC$1,DATA!$A$3:$F$301,2,FALSE)-VLOOKUP($A78,DATA!$A$3:$F$301,2,FALSE))^2+(VLOOKUP(AC$1,DATA!$A$3:$F$301,3,FALSE)-VLOOKUP($A78,DATA!$A$3:$F$301,3,FALSE))^2),"")</f>
        <v/>
      </c>
      <c r="AD78" s="14" t="str">
        <f>_xlfn.IFNA(SQRT((VLOOKUP(AD$1,DATA!$A$3:$F$301,2,FALSE)-VLOOKUP($A78,DATA!$A$3:$F$301,2,FALSE))^2+(VLOOKUP(AD$1,DATA!$A$3:$F$301,3,FALSE)-VLOOKUP($A78,DATA!$A$3:$F$301,3,FALSE))^2),"")</f>
        <v/>
      </c>
      <c r="AE78" s="14" t="str">
        <f>_xlfn.IFNA(SQRT((VLOOKUP(AE$1,DATA!$A$3:$F$301,2,FALSE)-VLOOKUP($A78,DATA!$A$3:$F$301,2,FALSE))^2+(VLOOKUP(AE$1,DATA!$A$3:$F$301,3,FALSE)-VLOOKUP($A78,DATA!$A$3:$F$301,3,FALSE))^2),"")</f>
        <v/>
      </c>
      <c r="AF78" s="14" t="str">
        <f>_xlfn.IFNA(SQRT((VLOOKUP(AF$1,DATA!$A$3:$F$301,2,FALSE)-VLOOKUP($A78,DATA!$A$3:$F$301,2,FALSE))^2+(VLOOKUP(AF$1,DATA!$A$3:$F$301,3,FALSE)-VLOOKUP($A78,DATA!$A$3:$F$301,3,FALSE))^2),"")</f>
        <v/>
      </c>
      <c r="AG78" s="14" t="str">
        <f>_xlfn.IFNA(SQRT((VLOOKUP(AG$1,DATA!$A$3:$F$301,2,FALSE)-VLOOKUP($A78,DATA!$A$3:$F$301,2,FALSE))^2+(VLOOKUP(AG$1,DATA!$A$3:$F$301,3,FALSE)-VLOOKUP($A78,DATA!$A$3:$F$301,3,FALSE))^2),"")</f>
        <v/>
      </c>
      <c r="AH78" s="14" t="str">
        <f>_xlfn.IFNA(SQRT((VLOOKUP(AH$1,DATA!$A$3:$F$301,2,FALSE)-VLOOKUP($A78,DATA!$A$3:$F$301,2,FALSE))^2+(VLOOKUP(AH$1,DATA!$A$3:$F$301,3,FALSE)-VLOOKUP($A78,DATA!$A$3:$F$301,3,FALSE))^2),"")</f>
        <v/>
      </c>
      <c r="AI78" s="14" t="str">
        <f>_xlfn.IFNA(SQRT((VLOOKUP(AI$1,DATA!$A$3:$F$301,2,FALSE)-VLOOKUP($A78,DATA!$A$3:$F$301,2,FALSE))^2+(VLOOKUP(AI$1,DATA!$A$3:$F$301,3,FALSE)-VLOOKUP($A78,DATA!$A$3:$F$301,3,FALSE))^2),"")</f>
        <v/>
      </c>
      <c r="AJ78" s="14" t="str">
        <f>_xlfn.IFNA(SQRT((VLOOKUP(AJ$1,DATA!$A$3:$F$301,2,FALSE)-VLOOKUP($A78,DATA!$A$3:$F$301,2,FALSE))^2+(VLOOKUP(AJ$1,DATA!$A$3:$F$301,3,FALSE)-VLOOKUP($A78,DATA!$A$3:$F$301,3,FALSE))^2),"")</f>
        <v/>
      </c>
      <c r="AK78" s="14" t="str">
        <f>_xlfn.IFNA(SQRT((VLOOKUP(AK$1,DATA!$A$3:$F$301,2,FALSE)-VLOOKUP($A78,DATA!$A$3:$F$301,2,FALSE))^2+(VLOOKUP(AK$1,DATA!$A$3:$F$301,3,FALSE)-VLOOKUP($A78,DATA!$A$3:$F$301,3,FALSE))^2),"")</f>
        <v/>
      </c>
      <c r="AL78" s="14" t="str">
        <f>_xlfn.IFNA(SQRT((VLOOKUP(AL$1,DATA!$A$3:$F$301,2,FALSE)-VLOOKUP($A78,DATA!$A$3:$F$301,2,FALSE))^2+(VLOOKUP(AL$1,DATA!$A$3:$F$301,3,FALSE)-VLOOKUP($A78,DATA!$A$3:$F$301,3,FALSE))^2),"")</f>
        <v/>
      </c>
      <c r="AM78" s="14" t="str">
        <f>_xlfn.IFNA(SQRT((VLOOKUP(AM$1,DATA!$A$3:$F$301,2,FALSE)-VLOOKUP($A78,DATA!$A$3:$F$301,2,FALSE))^2+(VLOOKUP(AM$1,DATA!$A$3:$F$301,3,FALSE)-VLOOKUP($A78,DATA!$A$3:$F$301,3,FALSE))^2),"")</f>
        <v/>
      </c>
      <c r="AN78" s="14" t="str">
        <f>_xlfn.IFNA(SQRT((VLOOKUP(AN$1,DATA!$A$3:$F$301,2,FALSE)-VLOOKUP($A78,DATA!$A$3:$F$301,2,FALSE))^2+(VLOOKUP(AN$1,DATA!$A$3:$F$301,3,FALSE)-VLOOKUP($A78,DATA!$A$3:$F$301,3,FALSE))^2),"")</f>
        <v/>
      </c>
      <c r="AO78" s="14" t="str">
        <f>_xlfn.IFNA(SQRT((VLOOKUP(AO$1,DATA!$A$3:$F$301,2,FALSE)-VLOOKUP($A78,DATA!$A$3:$F$301,2,FALSE))^2+(VLOOKUP(AO$1,DATA!$A$3:$F$301,3,FALSE)-VLOOKUP($A78,DATA!$A$3:$F$301,3,FALSE))^2),"")</f>
        <v/>
      </c>
      <c r="AP78" s="14" t="str">
        <f>_xlfn.IFNA(SQRT((VLOOKUP(AP$1,DATA!$A$3:$F$301,2,FALSE)-VLOOKUP($A78,DATA!$A$3:$F$301,2,FALSE))^2+(VLOOKUP(AP$1,DATA!$A$3:$F$301,3,FALSE)-VLOOKUP($A78,DATA!$A$3:$F$301,3,FALSE))^2),"")</f>
        <v/>
      </c>
      <c r="AQ78" s="14" t="str">
        <f>_xlfn.IFNA(SQRT((VLOOKUP(AQ$1,DATA!$A$3:$F$301,2,FALSE)-VLOOKUP($A78,DATA!$A$3:$F$301,2,FALSE))^2+(VLOOKUP(AQ$1,DATA!$A$3:$F$301,3,FALSE)-VLOOKUP($A78,DATA!$A$3:$F$301,3,FALSE))^2),"")</f>
        <v/>
      </c>
      <c r="AR78" s="14" t="str">
        <f>_xlfn.IFNA(SQRT((VLOOKUP(AR$1,DATA!$A$3:$F$301,2,FALSE)-VLOOKUP($A78,DATA!$A$3:$F$301,2,FALSE))^2+(VLOOKUP(AR$1,DATA!$A$3:$F$301,3,FALSE)-VLOOKUP($A78,DATA!$A$3:$F$301,3,FALSE))^2),"")</f>
        <v/>
      </c>
      <c r="AS78" s="14" t="str">
        <f>_xlfn.IFNA(SQRT((VLOOKUP(AS$1,DATA!$A$3:$F$301,2,FALSE)-VLOOKUP($A78,DATA!$A$3:$F$301,2,FALSE))^2+(VLOOKUP(AS$1,DATA!$A$3:$F$301,3,FALSE)-VLOOKUP($A78,DATA!$A$3:$F$301,3,FALSE))^2),"")</f>
        <v/>
      </c>
      <c r="AT78" s="14" t="str">
        <f>_xlfn.IFNA(SQRT((VLOOKUP(AT$1,DATA!$A$3:$F$301,2,FALSE)-VLOOKUP($A78,DATA!$A$3:$F$301,2,FALSE))^2+(VLOOKUP(AT$1,DATA!$A$3:$F$301,3,FALSE)-VLOOKUP($A78,DATA!$A$3:$F$301,3,FALSE))^2),"")</f>
        <v/>
      </c>
      <c r="AU78" s="14" t="str">
        <f>_xlfn.IFNA(SQRT((VLOOKUP(AU$1,DATA!$A$3:$F$301,2,FALSE)-VLOOKUP($A78,DATA!$A$3:$F$301,2,FALSE))^2+(VLOOKUP(AU$1,DATA!$A$3:$F$301,3,FALSE)-VLOOKUP($A78,DATA!$A$3:$F$301,3,FALSE))^2),"")</f>
        <v/>
      </c>
      <c r="AV78" s="14" t="str">
        <f>_xlfn.IFNA(SQRT((VLOOKUP(AV$1,DATA!$A$3:$F$301,2,FALSE)-VLOOKUP($A78,DATA!$A$3:$F$301,2,FALSE))^2+(VLOOKUP(AV$1,DATA!$A$3:$F$301,3,FALSE)-VLOOKUP($A78,DATA!$A$3:$F$301,3,FALSE))^2),"")</f>
        <v/>
      </c>
      <c r="AW78" s="14" t="str">
        <f>_xlfn.IFNA(SQRT((VLOOKUP(AW$1,DATA!$A$3:$F$301,2,FALSE)-VLOOKUP($A78,DATA!$A$3:$F$301,2,FALSE))^2+(VLOOKUP(AW$1,DATA!$A$3:$F$301,3,FALSE)-VLOOKUP($A78,DATA!$A$3:$F$301,3,FALSE))^2),"")</f>
        <v/>
      </c>
      <c r="AX78" s="14" t="str">
        <f>_xlfn.IFNA(SQRT((VLOOKUP(AX$1,DATA!$A$3:$F$301,2,FALSE)-VLOOKUP($A78,DATA!$A$3:$F$301,2,FALSE))^2+(VLOOKUP(AX$1,DATA!$A$3:$F$301,3,FALSE)-VLOOKUP($A78,DATA!$A$3:$F$301,3,FALSE))^2),"")</f>
        <v/>
      </c>
      <c r="AY78" s="14" t="str">
        <f>_xlfn.IFNA(SQRT((VLOOKUP(AY$1,DATA!$A$3:$F$301,2,FALSE)-VLOOKUP($A78,DATA!$A$3:$F$301,2,FALSE))^2+(VLOOKUP(AY$1,DATA!$A$3:$F$301,3,FALSE)-VLOOKUP($A78,DATA!$A$3:$F$301,3,FALSE))^2),"")</f>
        <v/>
      </c>
      <c r="AZ78" s="14" t="str">
        <f>_xlfn.IFNA(SQRT((VLOOKUP(AZ$1,DATA!$A$3:$F$301,2,FALSE)-VLOOKUP($A78,DATA!$A$3:$F$301,2,FALSE))^2+(VLOOKUP(AZ$1,DATA!$A$3:$F$301,3,FALSE)-VLOOKUP($A78,DATA!$A$3:$F$301,3,FALSE))^2),"")</f>
        <v/>
      </c>
      <c r="BA78" s="14" t="str">
        <f>_xlfn.IFNA(SQRT((VLOOKUP(BA$1,DATA!$A$3:$F$301,2,FALSE)-VLOOKUP($A78,DATA!$A$3:$F$301,2,FALSE))^2+(VLOOKUP(BA$1,DATA!$A$3:$F$301,3,FALSE)-VLOOKUP($A78,DATA!$A$3:$F$301,3,FALSE))^2),"")</f>
        <v/>
      </c>
      <c r="BB78" s="14" t="str">
        <f>_xlfn.IFNA(SQRT((VLOOKUP(BB$1,DATA!$A$3:$F$301,2,FALSE)-VLOOKUP($A78,DATA!$A$3:$F$301,2,FALSE))^2+(VLOOKUP(BB$1,DATA!$A$3:$F$301,3,FALSE)-VLOOKUP($A78,DATA!$A$3:$F$301,3,FALSE))^2),"")</f>
        <v/>
      </c>
      <c r="BC78" s="14" t="str">
        <f>_xlfn.IFNA(SQRT((VLOOKUP(BC$1,DATA!$A$3:$F$301,2,FALSE)-VLOOKUP($A78,DATA!$A$3:$F$301,2,FALSE))^2+(VLOOKUP(BC$1,DATA!$A$3:$F$301,3,FALSE)-VLOOKUP($A78,DATA!$A$3:$F$301,3,FALSE))^2),"")</f>
        <v/>
      </c>
      <c r="BD78" s="14" t="str">
        <f>_xlfn.IFNA(SQRT((VLOOKUP(BD$1,DATA!$A$3:$F$301,2,FALSE)-VLOOKUP($A78,DATA!$A$3:$F$301,2,FALSE))^2+(VLOOKUP(BD$1,DATA!$A$3:$F$301,3,FALSE)-VLOOKUP($A78,DATA!$A$3:$F$301,3,FALSE))^2),"")</f>
        <v/>
      </c>
      <c r="BE78" s="14" t="str">
        <f>_xlfn.IFNA(SQRT((VLOOKUP(BE$1,DATA!$A$3:$F$301,2,FALSE)-VLOOKUP($A78,DATA!$A$3:$F$301,2,FALSE))^2+(VLOOKUP(BE$1,DATA!$A$3:$F$301,3,FALSE)-VLOOKUP($A78,DATA!$A$3:$F$301,3,FALSE))^2),"")</f>
        <v/>
      </c>
      <c r="BF78" s="14" t="str">
        <f>_xlfn.IFNA(SQRT((VLOOKUP(BF$1,DATA!$A$3:$F$301,2,FALSE)-VLOOKUP($A78,DATA!$A$3:$F$301,2,FALSE))^2+(VLOOKUP(BF$1,DATA!$A$3:$F$301,3,FALSE)-VLOOKUP($A78,DATA!$A$3:$F$301,3,FALSE))^2),"")</f>
        <v/>
      </c>
      <c r="BG78" s="14" t="str">
        <f>_xlfn.IFNA(SQRT((VLOOKUP(BG$1,DATA!$A$3:$F$301,2,FALSE)-VLOOKUP($A78,DATA!$A$3:$F$301,2,FALSE))^2+(VLOOKUP(BG$1,DATA!$A$3:$F$301,3,FALSE)-VLOOKUP($A78,DATA!$A$3:$F$301,3,FALSE))^2),"")</f>
        <v/>
      </c>
      <c r="BH78" s="14" t="str">
        <f>_xlfn.IFNA(SQRT((VLOOKUP(BH$1,DATA!$A$3:$F$301,2,FALSE)-VLOOKUP($A78,DATA!$A$3:$F$301,2,FALSE))^2+(VLOOKUP(BH$1,DATA!$A$3:$F$301,3,FALSE)-VLOOKUP($A78,DATA!$A$3:$F$301,3,FALSE))^2),"")</f>
        <v/>
      </c>
      <c r="BI78" s="14" t="str">
        <f>_xlfn.IFNA(SQRT((VLOOKUP(BI$1,DATA!$A$3:$F$301,2,FALSE)-VLOOKUP($A78,DATA!$A$3:$F$301,2,FALSE))^2+(VLOOKUP(BI$1,DATA!$A$3:$F$301,3,FALSE)-VLOOKUP($A78,DATA!$A$3:$F$301,3,FALSE))^2),"")</f>
        <v/>
      </c>
      <c r="BJ78" s="14" t="str">
        <f>_xlfn.IFNA(SQRT((VLOOKUP(BJ$1,DATA!$A$3:$F$301,2,FALSE)-VLOOKUP($A78,DATA!$A$3:$F$301,2,FALSE))^2+(VLOOKUP(BJ$1,DATA!$A$3:$F$301,3,FALSE)-VLOOKUP($A78,DATA!$A$3:$F$301,3,FALSE))^2),"")</f>
        <v/>
      </c>
      <c r="BK78" s="14" t="str">
        <f>_xlfn.IFNA(SQRT((VLOOKUP(BK$1,DATA!$A$3:$F$301,2,FALSE)-VLOOKUP($A78,DATA!$A$3:$F$301,2,FALSE))^2+(VLOOKUP(BK$1,DATA!$A$3:$F$301,3,FALSE)-VLOOKUP($A78,DATA!$A$3:$F$301,3,FALSE))^2),"")</f>
        <v/>
      </c>
      <c r="BL78" s="14" t="str">
        <f>_xlfn.IFNA(SQRT((VLOOKUP(BL$1,DATA!$A$3:$F$301,2,FALSE)-VLOOKUP($A78,DATA!$A$3:$F$301,2,FALSE))^2+(VLOOKUP(BL$1,DATA!$A$3:$F$301,3,FALSE)-VLOOKUP($A78,DATA!$A$3:$F$301,3,FALSE))^2),"")</f>
        <v/>
      </c>
      <c r="BM78" s="14" t="str">
        <f>_xlfn.IFNA(SQRT((VLOOKUP(BM$1,DATA!$A$3:$F$301,2,FALSE)-VLOOKUP($A78,DATA!$A$3:$F$301,2,FALSE))^2+(VLOOKUP(BM$1,DATA!$A$3:$F$301,3,FALSE)-VLOOKUP($A78,DATA!$A$3:$F$301,3,FALSE))^2),"")</f>
        <v/>
      </c>
      <c r="BN78" s="14" t="str">
        <f>_xlfn.IFNA(SQRT((VLOOKUP(BN$1,DATA!$A$3:$F$301,2,FALSE)-VLOOKUP($A78,DATA!$A$3:$F$301,2,FALSE))^2+(VLOOKUP(BN$1,DATA!$A$3:$F$301,3,FALSE)-VLOOKUP($A78,DATA!$A$3:$F$301,3,FALSE))^2),"")</f>
        <v/>
      </c>
      <c r="BO78" s="14" t="str">
        <f>_xlfn.IFNA(SQRT((VLOOKUP(BO$1,DATA!$A$3:$F$301,2,FALSE)-VLOOKUP($A78,DATA!$A$3:$F$301,2,FALSE))^2+(VLOOKUP(BO$1,DATA!$A$3:$F$301,3,FALSE)-VLOOKUP($A78,DATA!$A$3:$F$301,3,FALSE))^2),"")</f>
        <v/>
      </c>
      <c r="BP78" s="14" t="str">
        <f>_xlfn.IFNA(SQRT((VLOOKUP(BP$1,DATA!$A$3:$F$301,2,FALSE)-VLOOKUP($A78,DATA!$A$3:$F$301,2,FALSE))^2+(VLOOKUP(BP$1,DATA!$A$3:$F$301,3,FALSE)-VLOOKUP($A78,DATA!$A$3:$F$301,3,FALSE))^2),"")</f>
        <v/>
      </c>
      <c r="BQ78" s="14" t="str">
        <f>_xlfn.IFNA(SQRT((VLOOKUP(BQ$1,DATA!$A$3:$F$301,2,FALSE)-VLOOKUP($A78,DATA!$A$3:$F$301,2,FALSE))^2+(VLOOKUP(BQ$1,DATA!$A$3:$F$301,3,FALSE)-VLOOKUP($A78,DATA!$A$3:$F$301,3,FALSE))^2),"")</f>
        <v/>
      </c>
      <c r="BR78" s="14" t="str">
        <f>_xlfn.IFNA(SQRT((VLOOKUP(BR$1,DATA!$A$3:$F$301,2,FALSE)-VLOOKUP($A78,DATA!$A$3:$F$301,2,FALSE))^2+(VLOOKUP(BR$1,DATA!$A$3:$F$301,3,FALSE)-VLOOKUP($A78,DATA!$A$3:$F$301,3,FALSE))^2),"")</f>
        <v/>
      </c>
      <c r="BS78" s="14" t="str">
        <f>_xlfn.IFNA(SQRT((VLOOKUP(BS$1,DATA!$A$3:$F$301,2,FALSE)-VLOOKUP($A78,DATA!$A$3:$F$301,2,FALSE))^2+(VLOOKUP(BS$1,DATA!$A$3:$F$301,3,FALSE)-VLOOKUP($A78,DATA!$A$3:$F$301,3,FALSE))^2),"")</f>
        <v/>
      </c>
      <c r="BT78" s="14" t="str">
        <f>_xlfn.IFNA(SQRT((VLOOKUP(BT$1,DATA!$A$3:$F$301,2,FALSE)-VLOOKUP($A78,DATA!$A$3:$F$301,2,FALSE))^2+(VLOOKUP(BT$1,DATA!$A$3:$F$301,3,FALSE)-VLOOKUP($A78,DATA!$A$3:$F$301,3,FALSE))^2),"")</f>
        <v/>
      </c>
      <c r="BU78" s="14" t="str">
        <f>_xlfn.IFNA(SQRT((VLOOKUP(BU$1,DATA!$A$3:$F$301,2,FALSE)-VLOOKUP($A78,DATA!$A$3:$F$301,2,FALSE))^2+(VLOOKUP(BU$1,DATA!$A$3:$F$301,3,FALSE)-VLOOKUP($A78,DATA!$A$3:$F$301,3,FALSE))^2),"")</f>
        <v/>
      </c>
      <c r="BV78" s="14" t="str">
        <f>_xlfn.IFNA(SQRT((VLOOKUP(BV$1,DATA!$A$3:$F$301,2,FALSE)-VLOOKUP($A78,DATA!$A$3:$F$301,2,FALSE))^2+(VLOOKUP(BV$1,DATA!$A$3:$F$301,3,FALSE)-VLOOKUP($A78,DATA!$A$3:$F$301,3,FALSE))^2),"")</f>
        <v/>
      </c>
      <c r="BW78" s="14" t="str">
        <f>_xlfn.IFNA(SQRT((VLOOKUP(BW$1,DATA!$A$3:$F$301,2,FALSE)-VLOOKUP($A78,DATA!$A$3:$F$301,2,FALSE))^2+(VLOOKUP(BW$1,DATA!$A$3:$F$301,3,FALSE)-VLOOKUP($A78,DATA!$A$3:$F$301,3,FALSE))^2),"")</f>
        <v/>
      </c>
      <c r="BX78" s="14" t="str">
        <f>_xlfn.IFNA(SQRT((VLOOKUP(BX$1,DATA!$A$3:$F$301,2,FALSE)-VLOOKUP($A78,DATA!$A$3:$F$301,2,FALSE))^2+(VLOOKUP(BX$1,DATA!$A$3:$F$301,3,FALSE)-VLOOKUP($A78,DATA!$A$3:$F$301,3,FALSE))^2),"")</f>
        <v/>
      </c>
      <c r="BY78" s="14" t="str">
        <f>_xlfn.IFNA(SQRT((VLOOKUP(BY$1,DATA!$A$3:$F$301,2,FALSE)-VLOOKUP($A78,DATA!$A$3:$F$301,2,FALSE))^2+(VLOOKUP(BY$1,DATA!$A$3:$F$301,3,FALSE)-VLOOKUP($A78,DATA!$A$3:$F$301,3,FALSE))^2),"")</f>
        <v/>
      </c>
      <c r="BZ78" s="14" t="str">
        <f>_xlfn.IFNA(SQRT((VLOOKUP(BZ$1,DATA!$A$3:$F$301,2,FALSE)-VLOOKUP($A78,DATA!$A$3:$F$301,2,FALSE))^2+(VLOOKUP(BZ$1,DATA!$A$3:$F$301,3,FALSE)-VLOOKUP($A78,DATA!$A$3:$F$301,3,FALSE))^2),"")</f>
        <v/>
      </c>
      <c r="CA78" s="14" t="str">
        <f>_xlfn.IFNA(SQRT((VLOOKUP(CA$1,DATA!$A$3:$F$301,2,FALSE)-VLOOKUP($A78,DATA!$A$3:$F$301,2,FALSE))^2+(VLOOKUP(CA$1,DATA!$A$3:$F$301,3,FALSE)-VLOOKUP($A78,DATA!$A$3:$F$301,3,FALSE))^2),"")</f>
        <v/>
      </c>
      <c r="CB78" s="14" t="str">
        <f>_xlfn.IFNA(SQRT((VLOOKUP(CB$1,DATA!$A$3:$F$301,2,FALSE)-VLOOKUP($A78,DATA!$A$3:$F$301,2,FALSE))^2+(VLOOKUP(CB$1,DATA!$A$3:$F$301,3,FALSE)-VLOOKUP($A78,DATA!$A$3:$F$301,3,FALSE))^2),"")</f>
        <v/>
      </c>
      <c r="CC78" s="14" t="str">
        <f>_xlfn.IFNA(SQRT((VLOOKUP(CC$1,DATA!$A$3:$F$301,2,FALSE)-VLOOKUP($A78,DATA!$A$3:$F$301,2,FALSE))^2+(VLOOKUP(CC$1,DATA!$A$3:$F$301,3,FALSE)-VLOOKUP($A78,DATA!$A$3:$F$301,3,FALSE))^2),"")</f>
        <v/>
      </c>
      <c r="CD78" s="14" t="str">
        <f>_xlfn.IFNA(SQRT((VLOOKUP(CD$1,DATA!$A$3:$F$301,2,FALSE)-VLOOKUP($A78,DATA!$A$3:$F$301,2,FALSE))^2+(VLOOKUP(CD$1,DATA!$A$3:$F$301,3,FALSE)-VLOOKUP($A78,DATA!$A$3:$F$301,3,FALSE))^2),"")</f>
        <v/>
      </c>
      <c r="CE78" s="14" t="str">
        <f>_xlfn.IFNA(SQRT((VLOOKUP(CE$1,DATA!$A$3:$F$301,2,FALSE)-VLOOKUP($A78,DATA!$A$3:$F$301,2,FALSE))^2+(VLOOKUP(CE$1,DATA!$A$3:$F$301,3,FALSE)-VLOOKUP($A78,DATA!$A$3:$F$301,3,FALSE))^2),"")</f>
        <v/>
      </c>
      <c r="CF78" s="14" t="str">
        <f>_xlfn.IFNA(SQRT((VLOOKUP(CF$1,DATA!$A$3:$F$301,2,FALSE)-VLOOKUP($A78,DATA!$A$3:$F$301,2,FALSE))^2+(VLOOKUP(CF$1,DATA!$A$3:$F$301,3,FALSE)-VLOOKUP($A78,DATA!$A$3:$F$301,3,FALSE))^2),"")</f>
        <v/>
      </c>
      <c r="CG78" s="14" t="str">
        <f>_xlfn.IFNA(SQRT((VLOOKUP(CG$1,DATA!$A$3:$F$301,2,FALSE)-VLOOKUP($A78,DATA!$A$3:$F$301,2,FALSE))^2+(VLOOKUP(CG$1,DATA!$A$3:$F$301,3,FALSE)-VLOOKUP($A78,DATA!$A$3:$F$301,3,FALSE))^2),"")</f>
        <v/>
      </c>
      <c r="CH78" s="14" t="str">
        <f>_xlfn.IFNA(SQRT((VLOOKUP(CH$1,DATA!$A$3:$F$301,2,FALSE)-VLOOKUP($A78,DATA!$A$3:$F$301,2,FALSE))^2+(VLOOKUP(CH$1,DATA!$A$3:$F$301,3,FALSE)-VLOOKUP($A78,DATA!$A$3:$F$301,3,FALSE))^2),"")</f>
        <v/>
      </c>
      <c r="CI78" s="14" t="str">
        <f>_xlfn.IFNA(SQRT((VLOOKUP(CI$1,DATA!$A$3:$F$301,2,FALSE)-VLOOKUP($A78,DATA!$A$3:$F$301,2,FALSE))^2+(VLOOKUP(CI$1,DATA!$A$3:$F$301,3,FALSE)-VLOOKUP($A78,DATA!$A$3:$F$301,3,FALSE))^2),"")</f>
        <v/>
      </c>
      <c r="CJ78" s="14" t="str">
        <f>_xlfn.IFNA(SQRT((VLOOKUP(CJ$1,DATA!$A$3:$F$301,2,FALSE)-VLOOKUP($A78,DATA!$A$3:$F$301,2,FALSE))^2+(VLOOKUP(CJ$1,DATA!$A$3:$F$301,3,FALSE)-VLOOKUP($A78,DATA!$A$3:$F$301,3,FALSE))^2),"")</f>
        <v/>
      </c>
      <c r="CK78" s="14" t="str">
        <f>_xlfn.IFNA(SQRT((VLOOKUP(CK$1,DATA!$A$3:$F$301,2,FALSE)-VLOOKUP($A78,DATA!$A$3:$F$301,2,FALSE))^2+(VLOOKUP(CK$1,DATA!$A$3:$F$301,3,FALSE)-VLOOKUP($A78,DATA!$A$3:$F$301,3,FALSE))^2),"")</f>
        <v/>
      </c>
      <c r="CL78" s="14" t="str">
        <f>_xlfn.IFNA(SQRT((VLOOKUP(CL$1,DATA!$A$3:$F$301,2,FALSE)-VLOOKUP($A78,DATA!$A$3:$F$301,2,FALSE))^2+(VLOOKUP(CL$1,DATA!$A$3:$F$301,3,FALSE)-VLOOKUP($A78,DATA!$A$3:$F$301,3,FALSE))^2),"")</f>
        <v/>
      </c>
      <c r="CM78" s="14" t="str">
        <f>_xlfn.IFNA(SQRT((VLOOKUP(CM$1,DATA!$A$3:$F$301,2,FALSE)-VLOOKUP($A78,DATA!$A$3:$F$301,2,FALSE))^2+(VLOOKUP(CM$1,DATA!$A$3:$F$301,3,FALSE)-VLOOKUP($A78,DATA!$A$3:$F$301,3,FALSE))^2),"")</f>
        <v/>
      </c>
      <c r="CN78" s="14" t="str">
        <f>_xlfn.IFNA(SQRT((VLOOKUP(CN$1,DATA!$A$3:$F$301,2,FALSE)-VLOOKUP($A78,DATA!$A$3:$F$301,2,FALSE))^2+(VLOOKUP(CN$1,DATA!$A$3:$F$301,3,FALSE)-VLOOKUP($A78,DATA!$A$3:$F$301,3,FALSE))^2),"")</f>
        <v/>
      </c>
      <c r="CO78" s="14" t="str">
        <f>_xlfn.IFNA(SQRT((VLOOKUP(CO$1,DATA!$A$3:$F$301,2,FALSE)-VLOOKUP($A78,DATA!$A$3:$F$301,2,FALSE))^2+(VLOOKUP(CO$1,DATA!$A$3:$F$301,3,FALSE)-VLOOKUP($A78,DATA!$A$3:$F$301,3,FALSE))^2),"")</f>
        <v/>
      </c>
      <c r="CP78" s="14" t="str">
        <f>_xlfn.IFNA(SQRT((VLOOKUP(CP$1,DATA!$A$3:$F$301,2,FALSE)-VLOOKUP($A78,DATA!$A$3:$F$301,2,FALSE))^2+(VLOOKUP(CP$1,DATA!$A$3:$F$301,3,FALSE)-VLOOKUP($A78,DATA!$A$3:$F$301,3,FALSE))^2),"")</f>
        <v/>
      </c>
      <c r="CQ78" s="14" t="str">
        <f>_xlfn.IFNA(SQRT((VLOOKUP(CQ$1,DATA!$A$3:$F$301,2,FALSE)-VLOOKUP($A78,DATA!$A$3:$F$301,2,FALSE))^2+(VLOOKUP(CQ$1,DATA!$A$3:$F$301,3,FALSE)-VLOOKUP($A78,DATA!$A$3:$F$301,3,FALSE))^2),"")</f>
        <v/>
      </c>
      <c r="CR78" s="14" t="str">
        <f>_xlfn.IFNA(SQRT((VLOOKUP(CR$1,DATA!$A$3:$F$301,2,FALSE)-VLOOKUP($A78,DATA!$A$3:$F$301,2,FALSE))^2+(VLOOKUP(CR$1,DATA!$A$3:$F$301,3,FALSE)-VLOOKUP($A78,DATA!$A$3:$F$301,3,FALSE))^2),"")</f>
        <v/>
      </c>
      <c r="CS78" s="14" t="str">
        <f>_xlfn.IFNA(SQRT((VLOOKUP(CS$1,DATA!$A$3:$F$301,2,FALSE)-VLOOKUP($A78,DATA!$A$3:$F$301,2,FALSE))^2+(VLOOKUP(CS$1,DATA!$A$3:$F$301,3,FALSE)-VLOOKUP($A78,DATA!$A$3:$F$301,3,FALSE))^2),"")</f>
        <v/>
      </c>
      <c r="CT78" s="14" t="str">
        <f>_xlfn.IFNA(SQRT((VLOOKUP(CT$1,DATA!$A$3:$F$301,2,FALSE)-VLOOKUP($A78,DATA!$A$3:$F$301,2,FALSE))^2+(VLOOKUP(CT$1,DATA!$A$3:$F$301,3,FALSE)-VLOOKUP($A78,DATA!$A$3:$F$301,3,FALSE))^2),"")</f>
        <v/>
      </c>
      <c r="CU78" s="14" t="str">
        <f>_xlfn.IFNA(SQRT((VLOOKUP(CU$1,DATA!$A$3:$F$301,2,FALSE)-VLOOKUP($A78,DATA!$A$3:$F$301,2,FALSE))^2+(VLOOKUP(CU$1,DATA!$A$3:$F$301,3,FALSE)-VLOOKUP($A78,DATA!$A$3:$F$301,3,FALSE))^2),"")</f>
        <v/>
      </c>
      <c r="CV78" s="14" t="str">
        <f>_xlfn.IFNA(SQRT((VLOOKUP(CV$1,DATA!$A$3:$F$301,2,FALSE)-VLOOKUP($A78,DATA!$A$3:$F$301,2,FALSE))^2+(VLOOKUP(CV$1,DATA!$A$3:$F$301,3,FALSE)-VLOOKUP($A78,DATA!$A$3:$F$301,3,FALSE))^2),"")</f>
        <v/>
      </c>
      <c r="CW78" s="14" t="str">
        <f>_xlfn.IFNA(SQRT((VLOOKUP(CW$1,DATA!$A$3:$F$301,2,FALSE)-VLOOKUP($A78,DATA!$A$3:$F$301,2,FALSE))^2+(VLOOKUP(CW$1,DATA!$A$3:$F$301,3,FALSE)-VLOOKUP($A78,DATA!$A$3:$F$301,3,FALSE))^2),"")</f>
        <v/>
      </c>
      <c r="CX78" s="14" t="str">
        <f>_xlfn.IFNA(SQRT((VLOOKUP(CX$1,DATA!$A$3:$F$301,2,FALSE)-VLOOKUP($A78,DATA!$A$3:$F$301,2,FALSE))^2+(VLOOKUP(CX$1,DATA!$A$3:$F$301,3,FALSE)-VLOOKUP($A78,DATA!$A$3:$F$301,3,FALSE))^2),"")</f>
        <v/>
      </c>
    </row>
    <row r="79" spans="1:102">
      <c r="A79" s="13">
        <v>78</v>
      </c>
      <c r="B79" s="14" t="str">
        <f>_xlfn.IFNA(SQRT((VLOOKUP(B$1,DATA!$A$3:$F$301,2,FALSE)-VLOOKUP($A79,DATA!$A$3:$F$301,2,FALSE))^2+(VLOOKUP(B$1,DATA!$A$3:$F$301,3,FALSE)-VLOOKUP($A79,DATA!$A$3:$F$301,3,FALSE))^2),"")</f>
        <v/>
      </c>
      <c r="C79" s="14" t="str">
        <f>_xlfn.IFNA(SQRT((VLOOKUP(C$1,DATA!$A$3:$F$301,2,FALSE)-VLOOKUP($A79,DATA!$A$3:$F$301,2,FALSE))^2+(VLOOKUP(C$1,DATA!$A$3:$F$301,3,FALSE)-VLOOKUP($A79,DATA!$A$3:$F$301,3,FALSE))^2),"")</f>
        <v/>
      </c>
      <c r="D79" s="14" t="str">
        <f>_xlfn.IFNA(SQRT((VLOOKUP(D$1,DATA!$A$3:$F$301,2,FALSE)-VLOOKUP($A79,DATA!$A$3:$F$301,2,FALSE))^2+(VLOOKUP(D$1,DATA!$A$3:$F$301,3,FALSE)-VLOOKUP($A79,DATA!$A$3:$F$301,3,FALSE))^2),"")</f>
        <v/>
      </c>
      <c r="E79" s="14" t="str">
        <f>_xlfn.IFNA(SQRT((VLOOKUP(E$1,DATA!$A$3:$F$301,2,FALSE)-VLOOKUP($A79,DATA!$A$3:$F$301,2,FALSE))^2+(VLOOKUP(E$1,DATA!$A$3:$F$301,3,FALSE)-VLOOKUP($A79,DATA!$A$3:$F$301,3,FALSE))^2),"")</f>
        <v/>
      </c>
      <c r="F79" s="14" t="str">
        <f>_xlfn.IFNA(SQRT((VLOOKUP(F$1,DATA!$A$3:$F$301,2,FALSE)-VLOOKUP($A79,DATA!$A$3:$F$301,2,FALSE))^2+(VLOOKUP(F$1,DATA!$A$3:$F$301,3,FALSE)-VLOOKUP($A79,DATA!$A$3:$F$301,3,FALSE))^2),"")</f>
        <v/>
      </c>
      <c r="G79" s="14" t="str">
        <f>_xlfn.IFNA(SQRT((VLOOKUP(G$1,DATA!$A$3:$F$301,2,FALSE)-VLOOKUP($A79,DATA!$A$3:$F$301,2,FALSE))^2+(VLOOKUP(G$1,DATA!$A$3:$F$301,3,FALSE)-VLOOKUP($A79,DATA!$A$3:$F$301,3,FALSE))^2),"")</f>
        <v/>
      </c>
      <c r="H79" s="14" t="str">
        <f>_xlfn.IFNA(SQRT((VLOOKUP(H$1,DATA!$A$3:$F$301,2,FALSE)-VLOOKUP($A79,DATA!$A$3:$F$301,2,FALSE))^2+(VLOOKUP(H$1,DATA!$A$3:$F$301,3,FALSE)-VLOOKUP($A79,DATA!$A$3:$F$301,3,FALSE))^2),"")</f>
        <v/>
      </c>
      <c r="I79" s="14" t="str">
        <f>_xlfn.IFNA(SQRT((VLOOKUP(I$1,DATA!$A$3:$F$301,2,FALSE)-VLOOKUP($A79,DATA!$A$3:$F$301,2,FALSE))^2+(VLOOKUP(I$1,DATA!$A$3:$F$301,3,FALSE)-VLOOKUP($A79,DATA!$A$3:$F$301,3,FALSE))^2),"")</f>
        <v/>
      </c>
      <c r="J79" s="14" t="str">
        <f>_xlfn.IFNA(SQRT((VLOOKUP(J$1,DATA!$A$3:$F$301,2,FALSE)-VLOOKUP($A79,DATA!$A$3:$F$301,2,FALSE))^2+(VLOOKUP(J$1,DATA!$A$3:$F$301,3,FALSE)-VLOOKUP($A79,DATA!$A$3:$F$301,3,FALSE))^2),"")</f>
        <v/>
      </c>
      <c r="K79" s="14" t="str">
        <f>_xlfn.IFNA(SQRT((VLOOKUP(K$1,DATA!$A$3:$F$301,2,FALSE)-VLOOKUP($A79,DATA!$A$3:$F$301,2,FALSE))^2+(VLOOKUP(K$1,DATA!$A$3:$F$301,3,FALSE)-VLOOKUP($A79,DATA!$A$3:$F$301,3,FALSE))^2),"")</f>
        <v/>
      </c>
      <c r="L79" s="14" t="str">
        <f>_xlfn.IFNA(SQRT((VLOOKUP(L$1,DATA!$A$3:$F$301,2,FALSE)-VLOOKUP($A79,DATA!$A$3:$F$301,2,FALSE))^2+(VLOOKUP(L$1,DATA!$A$3:$F$301,3,FALSE)-VLOOKUP($A79,DATA!$A$3:$F$301,3,FALSE))^2),"")</f>
        <v/>
      </c>
      <c r="M79" s="14" t="str">
        <f>_xlfn.IFNA(SQRT((VLOOKUP(M$1,DATA!$A$3:$F$301,2,FALSE)-VLOOKUP($A79,DATA!$A$3:$F$301,2,FALSE))^2+(VLOOKUP(M$1,DATA!$A$3:$F$301,3,FALSE)-VLOOKUP($A79,DATA!$A$3:$F$301,3,FALSE))^2),"")</f>
        <v/>
      </c>
      <c r="N79" s="14" t="str">
        <f>_xlfn.IFNA(SQRT((VLOOKUP(N$1,DATA!$A$3:$F$301,2,FALSE)-VLOOKUP($A79,DATA!$A$3:$F$301,2,FALSE))^2+(VLOOKUP(N$1,DATA!$A$3:$F$301,3,FALSE)-VLOOKUP($A79,DATA!$A$3:$F$301,3,FALSE))^2),"")</f>
        <v/>
      </c>
      <c r="O79" s="14" t="str">
        <f>_xlfn.IFNA(SQRT((VLOOKUP(O$1,DATA!$A$3:$F$301,2,FALSE)-VLOOKUP($A79,DATA!$A$3:$F$301,2,FALSE))^2+(VLOOKUP(O$1,DATA!$A$3:$F$301,3,FALSE)-VLOOKUP($A79,DATA!$A$3:$F$301,3,FALSE))^2),"")</f>
        <v/>
      </c>
      <c r="P79" s="14" t="str">
        <f>_xlfn.IFNA(SQRT((VLOOKUP(P$1,DATA!$A$3:$F$301,2,FALSE)-VLOOKUP($A79,DATA!$A$3:$F$301,2,FALSE))^2+(VLOOKUP(P$1,DATA!$A$3:$F$301,3,FALSE)-VLOOKUP($A79,DATA!$A$3:$F$301,3,FALSE))^2),"")</f>
        <v/>
      </c>
      <c r="Q79" s="14" t="str">
        <f>_xlfn.IFNA(SQRT((VLOOKUP(Q$1,DATA!$A$3:$F$301,2,FALSE)-VLOOKUP($A79,DATA!$A$3:$F$301,2,FALSE))^2+(VLOOKUP(Q$1,DATA!$A$3:$F$301,3,FALSE)-VLOOKUP($A79,DATA!$A$3:$F$301,3,FALSE))^2),"")</f>
        <v/>
      </c>
      <c r="R79" s="14" t="str">
        <f>_xlfn.IFNA(SQRT((VLOOKUP(R$1,DATA!$A$3:$F$301,2,FALSE)-VLOOKUP($A79,DATA!$A$3:$F$301,2,FALSE))^2+(VLOOKUP(R$1,DATA!$A$3:$F$301,3,FALSE)-VLOOKUP($A79,DATA!$A$3:$F$301,3,FALSE))^2),"")</f>
        <v/>
      </c>
      <c r="S79" s="14" t="str">
        <f>_xlfn.IFNA(SQRT((VLOOKUP(S$1,DATA!$A$3:$F$301,2,FALSE)-VLOOKUP($A79,DATA!$A$3:$F$301,2,FALSE))^2+(VLOOKUP(S$1,DATA!$A$3:$F$301,3,FALSE)-VLOOKUP($A79,DATA!$A$3:$F$301,3,FALSE))^2),"")</f>
        <v/>
      </c>
      <c r="T79" s="14" t="str">
        <f>_xlfn.IFNA(SQRT((VLOOKUP(T$1,DATA!$A$3:$F$301,2,FALSE)-VLOOKUP($A79,DATA!$A$3:$F$301,2,FALSE))^2+(VLOOKUP(T$1,DATA!$A$3:$F$301,3,FALSE)-VLOOKUP($A79,DATA!$A$3:$F$301,3,FALSE))^2),"")</f>
        <v/>
      </c>
      <c r="U79" s="14" t="str">
        <f>_xlfn.IFNA(SQRT((VLOOKUP(U$1,DATA!$A$3:$F$301,2,FALSE)-VLOOKUP($A79,DATA!$A$3:$F$301,2,FALSE))^2+(VLOOKUP(U$1,DATA!$A$3:$F$301,3,FALSE)-VLOOKUP($A79,DATA!$A$3:$F$301,3,FALSE))^2),"")</f>
        <v/>
      </c>
      <c r="V79" s="14" t="str">
        <f>_xlfn.IFNA(SQRT((VLOOKUP(V$1,DATA!$A$3:$F$301,2,FALSE)-VLOOKUP($A79,DATA!$A$3:$F$301,2,FALSE))^2+(VLOOKUP(V$1,DATA!$A$3:$F$301,3,FALSE)-VLOOKUP($A79,DATA!$A$3:$F$301,3,FALSE))^2),"")</f>
        <v/>
      </c>
      <c r="W79" s="14" t="str">
        <f>_xlfn.IFNA(SQRT((VLOOKUP(W$1,DATA!$A$3:$F$301,2,FALSE)-VLOOKUP($A79,DATA!$A$3:$F$301,2,FALSE))^2+(VLOOKUP(W$1,DATA!$A$3:$F$301,3,FALSE)-VLOOKUP($A79,DATA!$A$3:$F$301,3,FALSE))^2),"")</f>
        <v/>
      </c>
      <c r="X79" s="14" t="str">
        <f>_xlfn.IFNA(SQRT((VLOOKUP(X$1,DATA!$A$3:$F$301,2,FALSE)-VLOOKUP($A79,DATA!$A$3:$F$301,2,FALSE))^2+(VLOOKUP(X$1,DATA!$A$3:$F$301,3,FALSE)-VLOOKUP($A79,DATA!$A$3:$F$301,3,FALSE))^2),"")</f>
        <v/>
      </c>
      <c r="Y79" s="14" t="str">
        <f>_xlfn.IFNA(SQRT((VLOOKUP(Y$1,DATA!$A$3:$F$301,2,FALSE)-VLOOKUP($A79,DATA!$A$3:$F$301,2,FALSE))^2+(VLOOKUP(Y$1,DATA!$A$3:$F$301,3,FALSE)-VLOOKUP($A79,DATA!$A$3:$F$301,3,FALSE))^2),"")</f>
        <v/>
      </c>
      <c r="Z79" s="14" t="str">
        <f>_xlfn.IFNA(SQRT((VLOOKUP(Z$1,DATA!$A$3:$F$301,2,FALSE)-VLOOKUP($A79,DATA!$A$3:$F$301,2,FALSE))^2+(VLOOKUP(Z$1,DATA!$A$3:$F$301,3,FALSE)-VLOOKUP($A79,DATA!$A$3:$F$301,3,FALSE))^2),"")</f>
        <v/>
      </c>
      <c r="AA79" s="14" t="str">
        <f>_xlfn.IFNA(SQRT((VLOOKUP(AA$1,DATA!$A$3:$F$301,2,FALSE)-VLOOKUP($A79,DATA!$A$3:$F$301,2,FALSE))^2+(VLOOKUP(AA$1,DATA!$A$3:$F$301,3,FALSE)-VLOOKUP($A79,DATA!$A$3:$F$301,3,FALSE))^2),"")</f>
        <v/>
      </c>
      <c r="AB79" s="14" t="str">
        <f>_xlfn.IFNA(SQRT((VLOOKUP(AB$1,DATA!$A$3:$F$301,2,FALSE)-VLOOKUP($A79,DATA!$A$3:$F$301,2,FALSE))^2+(VLOOKUP(AB$1,DATA!$A$3:$F$301,3,FALSE)-VLOOKUP($A79,DATA!$A$3:$F$301,3,FALSE))^2),"")</f>
        <v/>
      </c>
      <c r="AC79" s="14" t="str">
        <f>_xlfn.IFNA(SQRT((VLOOKUP(AC$1,DATA!$A$3:$F$301,2,FALSE)-VLOOKUP($A79,DATA!$A$3:$F$301,2,FALSE))^2+(VLOOKUP(AC$1,DATA!$A$3:$F$301,3,FALSE)-VLOOKUP($A79,DATA!$A$3:$F$301,3,FALSE))^2),"")</f>
        <v/>
      </c>
      <c r="AD79" s="14" t="str">
        <f>_xlfn.IFNA(SQRT((VLOOKUP(AD$1,DATA!$A$3:$F$301,2,FALSE)-VLOOKUP($A79,DATA!$A$3:$F$301,2,FALSE))^2+(VLOOKUP(AD$1,DATA!$A$3:$F$301,3,FALSE)-VLOOKUP($A79,DATA!$A$3:$F$301,3,FALSE))^2),"")</f>
        <v/>
      </c>
      <c r="AE79" s="14" t="str">
        <f>_xlfn.IFNA(SQRT((VLOOKUP(AE$1,DATA!$A$3:$F$301,2,FALSE)-VLOOKUP($A79,DATA!$A$3:$F$301,2,FALSE))^2+(VLOOKUP(AE$1,DATA!$A$3:$F$301,3,FALSE)-VLOOKUP($A79,DATA!$A$3:$F$301,3,FALSE))^2),"")</f>
        <v/>
      </c>
      <c r="AF79" s="14" t="str">
        <f>_xlfn.IFNA(SQRT((VLOOKUP(AF$1,DATA!$A$3:$F$301,2,FALSE)-VLOOKUP($A79,DATA!$A$3:$F$301,2,FALSE))^2+(VLOOKUP(AF$1,DATA!$A$3:$F$301,3,FALSE)-VLOOKUP($A79,DATA!$A$3:$F$301,3,FALSE))^2),"")</f>
        <v/>
      </c>
      <c r="AG79" s="14" t="str">
        <f>_xlfn.IFNA(SQRT((VLOOKUP(AG$1,DATA!$A$3:$F$301,2,FALSE)-VLOOKUP($A79,DATA!$A$3:$F$301,2,FALSE))^2+(VLOOKUP(AG$1,DATA!$A$3:$F$301,3,FALSE)-VLOOKUP($A79,DATA!$A$3:$F$301,3,FALSE))^2),"")</f>
        <v/>
      </c>
      <c r="AH79" s="14" t="str">
        <f>_xlfn.IFNA(SQRT((VLOOKUP(AH$1,DATA!$A$3:$F$301,2,FALSE)-VLOOKUP($A79,DATA!$A$3:$F$301,2,FALSE))^2+(VLOOKUP(AH$1,DATA!$A$3:$F$301,3,FALSE)-VLOOKUP($A79,DATA!$A$3:$F$301,3,FALSE))^2),"")</f>
        <v/>
      </c>
      <c r="AI79" s="14" t="str">
        <f>_xlfn.IFNA(SQRT((VLOOKUP(AI$1,DATA!$A$3:$F$301,2,FALSE)-VLOOKUP($A79,DATA!$A$3:$F$301,2,FALSE))^2+(VLOOKUP(AI$1,DATA!$A$3:$F$301,3,FALSE)-VLOOKUP($A79,DATA!$A$3:$F$301,3,FALSE))^2),"")</f>
        <v/>
      </c>
      <c r="AJ79" s="14" t="str">
        <f>_xlfn.IFNA(SQRT((VLOOKUP(AJ$1,DATA!$A$3:$F$301,2,FALSE)-VLOOKUP($A79,DATA!$A$3:$F$301,2,FALSE))^2+(VLOOKUP(AJ$1,DATA!$A$3:$F$301,3,FALSE)-VLOOKUP($A79,DATA!$A$3:$F$301,3,FALSE))^2),"")</f>
        <v/>
      </c>
      <c r="AK79" s="14" t="str">
        <f>_xlfn.IFNA(SQRT((VLOOKUP(AK$1,DATA!$A$3:$F$301,2,FALSE)-VLOOKUP($A79,DATA!$A$3:$F$301,2,FALSE))^2+(VLOOKUP(AK$1,DATA!$A$3:$F$301,3,FALSE)-VLOOKUP($A79,DATA!$A$3:$F$301,3,FALSE))^2),"")</f>
        <v/>
      </c>
      <c r="AL79" s="14" t="str">
        <f>_xlfn.IFNA(SQRT((VLOOKUP(AL$1,DATA!$A$3:$F$301,2,FALSE)-VLOOKUP($A79,DATA!$A$3:$F$301,2,FALSE))^2+(VLOOKUP(AL$1,DATA!$A$3:$F$301,3,FALSE)-VLOOKUP($A79,DATA!$A$3:$F$301,3,FALSE))^2),"")</f>
        <v/>
      </c>
      <c r="AM79" s="14" t="str">
        <f>_xlfn.IFNA(SQRT((VLOOKUP(AM$1,DATA!$A$3:$F$301,2,FALSE)-VLOOKUP($A79,DATA!$A$3:$F$301,2,FALSE))^2+(VLOOKUP(AM$1,DATA!$A$3:$F$301,3,FALSE)-VLOOKUP($A79,DATA!$A$3:$F$301,3,FALSE))^2),"")</f>
        <v/>
      </c>
      <c r="AN79" s="14" t="str">
        <f>_xlfn.IFNA(SQRT((VLOOKUP(AN$1,DATA!$A$3:$F$301,2,FALSE)-VLOOKUP($A79,DATA!$A$3:$F$301,2,FALSE))^2+(VLOOKUP(AN$1,DATA!$A$3:$F$301,3,FALSE)-VLOOKUP($A79,DATA!$A$3:$F$301,3,FALSE))^2),"")</f>
        <v/>
      </c>
      <c r="AO79" s="14" t="str">
        <f>_xlfn.IFNA(SQRT((VLOOKUP(AO$1,DATA!$A$3:$F$301,2,FALSE)-VLOOKUP($A79,DATA!$A$3:$F$301,2,FALSE))^2+(VLOOKUP(AO$1,DATA!$A$3:$F$301,3,FALSE)-VLOOKUP($A79,DATA!$A$3:$F$301,3,FALSE))^2),"")</f>
        <v/>
      </c>
      <c r="AP79" s="14" t="str">
        <f>_xlfn.IFNA(SQRT((VLOOKUP(AP$1,DATA!$A$3:$F$301,2,FALSE)-VLOOKUP($A79,DATA!$A$3:$F$301,2,FALSE))^2+(VLOOKUP(AP$1,DATA!$A$3:$F$301,3,FALSE)-VLOOKUP($A79,DATA!$A$3:$F$301,3,FALSE))^2),"")</f>
        <v/>
      </c>
      <c r="AQ79" s="14" t="str">
        <f>_xlfn.IFNA(SQRT((VLOOKUP(AQ$1,DATA!$A$3:$F$301,2,FALSE)-VLOOKUP($A79,DATA!$A$3:$F$301,2,FALSE))^2+(VLOOKUP(AQ$1,DATA!$A$3:$F$301,3,FALSE)-VLOOKUP($A79,DATA!$A$3:$F$301,3,FALSE))^2),"")</f>
        <v/>
      </c>
      <c r="AR79" s="14" t="str">
        <f>_xlfn.IFNA(SQRT((VLOOKUP(AR$1,DATA!$A$3:$F$301,2,FALSE)-VLOOKUP($A79,DATA!$A$3:$F$301,2,FALSE))^2+(VLOOKUP(AR$1,DATA!$A$3:$F$301,3,FALSE)-VLOOKUP($A79,DATA!$A$3:$F$301,3,FALSE))^2),"")</f>
        <v/>
      </c>
      <c r="AS79" s="14" t="str">
        <f>_xlfn.IFNA(SQRT((VLOOKUP(AS$1,DATA!$A$3:$F$301,2,FALSE)-VLOOKUP($A79,DATA!$A$3:$F$301,2,FALSE))^2+(VLOOKUP(AS$1,DATA!$A$3:$F$301,3,FALSE)-VLOOKUP($A79,DATA!$A$3:$F$301,3,FALSE))^2),"")</f>
        <v/>
      </c>
      <c r="AT79" s="14" t="str">
        <f>_xlfn.IFNA(SQRT((VLOOKUP(AT$1,DATA!$A$3:$F$301,2,FALSE)-VLOOKUP($A79,DATA!$A$3:$F$301,2,FALSE))^2+(VLOOKUP(AT$1,DATA!$A$3:$F$301,3,FALSE)-VLOOKUP($A79,DATA!$A$3:$F$301,3,FALSE))^2),"")</f>
        <v/>
      </c>
      <c r="AU79" s="14" t="str">
        <f>_xlfn.IFNA(SQRT((VLOOKUP(AU$1,DATA!$A$3:$F$301,2,FALSE)-VLOOKUP($A79,DATA!$A$3:$F$301,2,FALSE))^2+(VLOOKUP(AU$1,DATA!$A$3:$F$301,3,FALSE)-VLOOKUP($A79,DATA!$A$3:$F$301,3,FALSE))^2),"")</f>
        <v/>
      </c>
      <c r="AV79" s="14" t="str">
        <f>_xlfn.IFNA(SQRT((VLOOKUP(AV$1,DATA!$A$3:$F$301,2,FALSE)-VLOOKUP($A79,DATA!$A$3:$F$301,2,FALSE))^2+(VLOOKUP(AV$1,DATA!$A$3:$F$301,3,FALSE)-VLOOKUP($A79,DATA!$A$3:$F$301,3,FALSE))^2),"")</f>
        <v/>
      </c>
      <c r="AW79" s="14" t="str">
        <f>_xlfn.IFNA(SQRT((VLOOKUP(AW$1,DATA!$A$3:$F$301,2,FALSE)-VLOOKUP($A79,DATA!$A$3:$F$301,2,FALSE))^2+(VLOOKUP(AW$1,DATA!$A$3:$F$301,3,FALSE)-VLOOKUP($A79,DATA!$A$3:$F$301,3,FALSE))^2),"")</f>
        <v/>
      </c>
      <c r="AX79" s="14" t="str">
        <f>_xlfn.IFNA(SQRT((VLOOKUP(AX$1,DATA!$A$3:$F$301,2,FALSE)-VLOOKUP($A79,DATA!$A$3:$F$301,2,FALSE))^2+(VLOOKUP(AX$1,DATA!$A$3:$F$301,3,FALSE)-VLOOKUP($A79,DATA!$A$3:$F$301,3,FALSE))^2),"")</f>
        <v/>
      </c>
      <c r="AY79" s="14" t="str">
        <f>_xlfn.IFNA(SQRT((VLOOKUP(AY$1,DATA!$A$3:$F$301,2,FALSE)-VLOOKUP($A79,DATA!$A$3:$F$301,2,FALSE))^2+(VLOOKUP(AY$1,DATA!$A$3:$F$301,3,FALSE)-VLOOKUP($A79,DATA!$A$3:$F$301,3,FALSE))^2),"")</f>
        <v/>
      </c>
      <c r="AZ79" s="14" t="str">
        <f>_xlfn.IFNA(SQRT((VLOOKUP(AZ$1,DATA!$A$3:$F$301,2,FALSE)-VLOOKUP($A79,DATA!$A$3:$F$301,2,FALSE))^2+(VLOOKUP(AZ$1,DATA!$A$3:$F$301,3,FALSE)-VLOOKUP($A79,DATA!$A$3:$F$301,3,FALSE))^2),"")</f>
        <v/>
      </c>
      <c r="BA79" s="14" t="str">
        <f>_xlfn.IFNA(SQRT((VLOOKUP(BA$1,DATA!$A$3:$F$301,2,FALSE)-VLOOKUP($A79,DATA!$A$3:$F$301,2,FALSE))^2+(VLOOKUP(BA$1,DATA!$A$3:$F$301,3,FALSE)-VLOOKUP($A79,DATA!$A$3:$F$301,3,FALSE))^2),"")</f>
        <v/>
      </c>
      <c r="BB79" s="14" t="str">
        <f>_xlfn.IFNA(SQRT((VLOOKUP(BB$1,DATA!$A$3:$F$301,2,FALSE)-VLOOKUP($A79,DATA!$A$3:$F$301,2,FALSE))^2+(VLOOKUP(BB$1,DATA!$A$3:$F$301,3,FALSE)-VLOOKUP($A79,DATA!$A$3:$F$301,3,FALSE))^2),"")</f>
        <v/>
      </c>
      <c r="BC79" s="14" t="str">
        <f>_xlfn.IFNA(SQRT((VLOOKUP(BC$1,DATA!$A$3:$F$301,2,FALSE)-VLOOKUP($A79,DATA!$A$3:$F$301,2,FALSE))^2+(VLOOKUP(BC$1,DATA!$A$3:$F$301,3,FALSE)-VLOOKUP($A79,DATA!$A$3:$F$301,3,FALSE))^2),"")</f>
        <v/>
      </c>
      <c r="BD79" s="14" t="str">
        <f>_xlfn.IFNA(SQRT((VLOOKUP(BD$1,DATA!$A$3:$F$301,2,FALSE)-VLOOKUP($A79,DATA!$A$3:$F$301,2,FALSE))^2+(VLOOKUP(BD$1,DATA!$A$3:$F$301,3,FALSE)-VLOOKUP($A79,DATA!$A$3:$F$301,3,FALSE))^2),"")</f>
        <v/>
      </c>
      <c r="BE79" s="14" t="str">
        <f>_xlfn.IFNA(SQRT((VLOOKUP(BE$1,DATA!$A$3:$F$301,2,FALSE)-VLOOKUP($A79,DATA!$A$3:$F$301,2,FALSE))^2+(VLOOKUP(BE$1,DATA!$A$3:$F$301,3,FALSE)-VLOOKUP($A79,DATA!$A$3:$F$301,3,FALSE))^2),"")</f>
        <v/>
      </c>
      <c r="BF79" s="14" t="str">
        <f>_xlfn.IFNA(SQRT((VLOOKUP(BF$1,DATA!$A$3:$F$301,2,FALSE)-VLOOKUP($A79,DATA!$A$3:$F$301,2,FALSE))^2+(VLOOKUP(BF$1,DATA!$A$3:$F$301,3,FALSE)-VLOOKUP($A79,DATA!$A$3:$F$301,3,FALSE))^2),"")</f>
        <v/>
      </c>
      <c r="BG79" s="14" t="str">
        <f>_xlfn.IFNA(SQRT((VLOOKUP(BG$1,DATA!$A$3:$F$301,2,FALSE)-VLOOKUP($A79,DATA!$A$3:$F$301,2,FALSE))^2+(VLOOKUP(BG$1,DATA!$A$3:$F$301,3,FALSE)-VLOOKUP($A79,DATA!$A$3:$F$301,3,FALSE))^2),"")</f>
        <v/>
      </c>
      <c r="BH79" s="14" t="str">
        <f>_xlfn.IFNA(SQRT((VLOOKUP(BH$1,DATA!$A$3:$F$301,2,FALSE)-VLOOKUP($A79,DATA!$A$3:$F$301,2,FALSE))^2+(VLOOKUP(BH$1,DATA!$A$3:$F$301,3,FALSE)-VLOOKUP($A79,DATA!$A$3:$F$301,3,FALSE))^2),"")</f>
        <v/>
      </c>
      <c r="BI79" s="14" t="str">
        <f>_xlfn.IFNA(SQRT((VLOOKUP(BI$1,DATA!$A$3:$F$301,2,FALSE)-VLOOKUP($A79,DATA!$A$3:$F$301,2,FALSE))^2+(VLOOKUP(BI$1,DATA!$A$3:$F$301,3,FALSE)-VLOOKUP($A79,DATA!$A$3:$F$301,3,FALSE))^2),"")</f>
        <v/>
      </c>
      <c r="BJ79" s="14" t="str">
        <f>_xlfn.IFNA(SQRT((VLOOKUP(BJ$1,DATA!$A$3:$F$301,2,FALSE)-VLOOKUP($A79,DATA!$A$3:$F$301,2,FALSE))^2+(VLOOKUP(BJ$1,DATA!$A$3:$F$301,3,FALSE)-VLOOKUP($A79,DATA!$A$3:$F$301,3,FALSE))^2),"")</f>
        <v/>
      </c>
      <c r="BK79" s="14" t="str">
        <f>_xlfn.IFNA(SQRT((VLOOKUP(BK$1,DATA!$A$3:$F$301,2,FALSE)-VLOOKUP($A79,DATA!$A$3:$F$301,2,FALSE))^2+(VLOOKUP(BK$1,DATA!$A$3:$F$301,3,FALSE)-VLOOKUP($A79,DATA!$A$3:$F$301,3,FALSE))^2),"")</f>
        <v/>
      </c>
      <c r="BL79" s="14" t="str">
        <f>_xlfn.IFNA(SQRT((VLOOKUP(BL$1,DATA!$A$3:$F$301,2,FALSE)-VLOOKUP($A79,DATA!$A$3:$F$301,2,FALSE))^2+(VLOOKUP(BL$1,DATA!$A$3:$F$301,3,FALSE)-VLOOKUP($A79,DATA!$A$3:$F$301,3,FALSE))^2),"")</f>
        <v/>
      </c>
      <c r="BM79" s="14" t="str">
        <f>_xlfn.IFNA(SQRT((VLOOKUP(BM$1,DATA!$A$3:$F$301,2,FALSE)-VLOOKUP($A79,DATA!$A$3:$F$301,2,FALSE))^2+(VLOOKUP(BM$1,DATA!$A$3:$F$301,3,FALSE)-VLOOKUP($A79,DATA!$A$3:$F$301,3,FALSE))^2),"")</f>
        <v/>
      </c>
      <c r="BN79" s="14" t="str">
        <f>_xlfn.IFNA(SQRT((VLOOKUP(BN$1,DATA!$A$3:$F$301,2,FALSE)-VLOOKUP($A79,DATA!$A$3:$F$301,2,FALSE))^2+(VLOOKUP(BN$1,DATA!$A$3:$F$301,3,FALSE)-VLOOKUP($A79,DATA!$A$3:$F$301,3,FALSE))^2),"")</f>
        <v/>
      </c>
      <c r="BO79" s="14" t="str">
        <f>_xlfn.IFNA(SQRT((VLOOKUP(BO$1,DATA!$A$3:$F$301,2,FALSE)-VLOOKUP($A79,DATA!$A$3:$F$301,2,FALSE))^2+(VLOOKUP(BO$1,DATA!$A$3:$F$301,3,FALSE)-VLOOKUP($A79,DATA!$A$3:$F$301,3,FALSE))^2),"")</f>
        <v/>
      </c>
      <c r="BP79" s="14" t="str">
        <f>_xlfn.IFNA(SQRT((VLOOKUP(BP$1,DATA!$A$3:$F$301,2,FALSE)-VLOOKUP($A79,DATA!$A$3:$F$301,2,FALSE))^2+(VLOOKUP(BP$1,DATA!$A$3:$F$301,3,FALSE)-VLOOKUP($A79,DATA!$A$3:$F$301,3,FALSE))^2),"")</f>
        <v/>
      </c>
      <c r="BQ79" s="14" t="str">
        <f>_xlfn.IFNA(SQRT((VLOOKUP(BQ$1,DATA!$A$3:$F$301,2,FALSE)-VLOOKUP($A79,DATA!$A$3:$F$301,2,FALSE))^2+(VLOOKUP(BQ$1,DATA!$A$3:$F$301,3,FALSE)-VLOOKUP($A79,DATA!$A$3:$F$301,3,FALSE))^2),"")</f>
        <v/>
      </c>
      <c r="BR79" s="14" t="str">
        <f>_xlfn.IFNA(SQRT((VLOOKUP(BR$1,DATA!$A$3:$F$301,2,FALSE)-VLOOKUP($A79,DATA!$A$3:$F$301,2,FALSE))^2+(VLOOKUP(BR$1,DATA!$A$3:$F$301,3,FALSE)-VLOOKUP($A79,DATA!$A$3:$F$301,3,FALSE))^2),"")</f>
        <v/>
      </c>
      <c r="BS79" s="14" t="str">
        <f>_xlfn.IFNA(SQRT((VLOOKUP(BS$1,DATA!$A$3:$F$301,2,FALSE)-VLOOKUP($A79,DATA!$A$3:$F$301,2,FALSE))^2+(VLOOKUP(BS$1,DATA!$A$3:$F$301,3,FALSE)-VLOOKUP($A79,DATA!$A$3:$F$301,3,FALSE))^2),"")</f>
        <v/>
      </c>
      <c r="BT79" s="14" t="str">
        <f>_xlfn.IFNA(SQRT((VLOOKUP(BT$1,DATA!$A$3:$F$301,2,FALSE)-VLOOKUP($A79,DATA!$A$3:$F$301,2,FALSE))^2+(VLOOKUP(BT$1,DATA!$A$3:$F$301,3,FALSE)-VLOOKUP($A79,DATA!$A$3:$F$301,3,FALSE))^2),"")</f>
        <v/>
      </c>
      <c r="BU79" s="14" t="str">
        <f>_xlfn.IFNA(SQRT((VLOOKUP(BU$1,DATA!$A$3:$F$301,2,FALSE)-VLOOKUP($A79,DATA!$A$3:$F$301,2,FALSE))^2+(VLOOKUP(BU$1,DATA!$A$3:$F$301,3,FALSE)-VLOOKUP($A79,DATA!$A$3:$F$301,3,FALSE))^2),"")</f>
        <v/>
      </c>
      <c r="BV79" s="14" t="str">
        <f>_xlfn.IFNA(SQRT((VLOOKUP(BV$1,DATA!$A$3:$F$301,2,FALSE)-VLOOKUP($A79,DATA!$A$3:$F$301,2,FALSE))^2+(VLOOKUP(BV$1,DATA!$A$3:$F$301,3,FALSE)-VLOOKUP($A79,DATA!$A$3:$F$301,3,FALSE))^2),"")</f>
        <v/>
      </c>
      <c r="BW79" s="14" t="str">
        <f>_xlfn.IFNA(SQRT((VLOOKUP(BW$1,DATA!$A$3:$F$301,2,FALSE)-VLOOKUP($A79,DATA!$A$3:$F$301,2,FALSE))^2+(VLOOKUP(BW$1,DATA!$A$3:$F$301,3,FALSE)-VLOOKUP($A79,DATA!$A$3:$F$301,3,FALSE))^2),"")</f>
        <v/>
      </c>
      <c r="BX79" s="14" t="str">
        <f>_xlfn.IFNA(SQRT((VLOOKUP(BX$1,DATA!$A$3:$F$301,2,FALSE)-VLOOKUP($A79,DATA!$A$3:$F$301,2,FALSE))^2+(VLOOKUP(BX$1,DATA!$A$3:$F$301,3,FALSE)-VLOOKUP($A79,DATA!$A$3:$F$301,3,FALSE))^2),"")</f>
        <v/>
      </c>
      <c r="BY79" s="14" t="str">
        <f>_xlfn.IFNA(SQRT((VLOOKUP(BY$1,DATA!$A$3:$F$301,2,FALSE)-VLOOKUP($A79,DATA!$A$3:$F$301,2,FALSE))^2+(VLOOKUP(BY$1,DATA!$A$3:$F$301,3,FALSE)-VLOOKUP($A79,DATA!$A$3:$F$301,3,FALSE))^2),"")</f>
        <v/>
      </c>
      <c r="BZ79" s="14" t="str">
        <f>_xlfn.IFNA(SQRT((VLOOKUP(BZ$1,DATA!$A$3:$F$301,2,FALSE)-VLOOKUP($A79,DATA!$A$3:$F$301,2,FALSE))^2+(VLOOKUP(BZ$1,DATA!$A$3:$F$301,3,FALSE)-VLOOKUP($A79,DATA!$A$3:$F$301,3,FALSE))^2),"")</f>
        <v/>
      </c>
      <c r="CA79" s="14" t="str">
        <f>_xlfn.IFNA(SQRT((VLOOKUP(CA$1,DATA!$A$3:$F$301,2,FALSE)-VLOOKUP($A79,DATA!$A$3:$F$301,2,FALSE))^2+(VLOOKUP(CA$1,DATA!$A$3:$F$301,3,FALSE)-VLOOKUP($A79,DATA!$A$3:$F$301,3,FALSE))^2),"")</f>
        <v/>
      </c>
      <c r="CB79" s="14" t="str">
        <f>_xlfn.IFNA(SQRT((VLOOKUP(CB$1,DATA!$A$3:$F$301,2,FALSE)-VLOOKUP($A79,DATA!$A$3:$F$301,2,FALSE))^2+(VLOOKUP(CB$1,DATA!$A$3:$F$301,3,FALSE)-VLOOKUP($A79,DATA!$A$3:$F$301,3,FALSE))^2),"")</f>
        <v/>
      </c>
      <c r="CC79" s="14" t="str">
        <f>_xlfn.IFNA(SQRT((VLOOKUP(CC$1,DATA!$A$3:$F$301,2,FALSE)-VLOOKUP($A79,DATA!$A$3:$F$301,2,FALSE))^2+(VLOOKUP(CC$1,DATA!$A$3:$F$301,3,FALSE)-VLOOKUP($A79,DATA!$A$3:$F$301,3,FALSE))^2),"")</f>
        <v/>
      </c>
      <c r="CD79" s="14" t="str">
        <f>_xlfn.IFNA(SQRT((VLOOKUP(CD$1,DATA!$A$3:$F$301,2,FALSE)-VLOOKUP($A79,DATA!$A$3:$F$301,2,FALSE))^2+(VLOOKUP(CD$1,DATA!$A$3:$F$301,3,FALSE)-VLOOKUP($A79,DATA!$A$3:$F$301,3,FALSE))^2),"")</f>
        <v/>
      </c>
      <c r="CE79" s="14" t="str">
        <f>_xlfn.IFNA(SQRT((VLOOKUP(CE$1,DATA!$A$3:$F$301,2,FALSE)-VLOOKUP($A79,DATA!$A$3:$F$301,2,FALSE))^2+(VLOOKUP(CE$1,DATA!$A$3:$F$301,3,FALSE)-VLOOKUP($A79,DATA!$A$3:$F$301,3,FALSE))^2),"")</f>
        <v/>
      </c>
      <c r="CF79" s="14" t="str">
        <f>_xlfn.IFNA(SQRT((VLOOKUP(CF$1,DATA!$A$3:$F$301,2,FALSE)-VLOOKUP($A79,DATA!$A$3:$F$301,2,FALSE))^2+(VLOOKUP(CF$1,DATA!$A$3:$F$301,3,FALSE)-VLOOKUP($A79,DATA!$A$3:$F$301,3,FALSE))^2),"")</f>
        <v/>
      </c>
      <c r="CG79" s="14" t="str">
        <f>_xlfn.IFNA(SQRT((VLOOKUP(CG$1,DATA!$A$3:$F$301,2,FALSE)-VLOOKUP($A79,DATA!$A$3:$F$301,2,FALSE))^2+(VLOOKUP(CG$1,DATA!$A$3:$F$301,3,FALSE)-VLOOKUP($A79,DATA!$A$3:$F$301,3,FALSE))^2),"")</f>
        <v/>
      </c>
      <c r="CH79" s="14" t="str">
        <f>_xlfn.IFNA(SQRT((VLOOKUP(CH$1,DATA!$A$3:$F$301,2,FALSE)-VLOOKUP($A79,DATA!$A$3:$F$301,2,FALSE))^2+(VLOOKUP(CH$1,DATA!$A$3:$F$301,3,FALSE)-VLOOKUP($A79,DATA!$A$3:$F$301,3,FALSE))^2),"")</f>
        <v/>
      </c>
      <c r="CI79" s="14" t="str">
        <f>_xlfn.IFNA(SQRT((VLOOKUP(CI$1,DATA!$A$3:$F$301,2,FALSE)-VLOOKUP($A79,DATA!$A$3:$F$301,2,FALSE))^2+(VLOOKUP(CI$1,DATA!$A$3:$F$301,3,FALSE)-VLOOKUP($A79,DATA!$A$3:$F$301,3,FALSE))^2),"")</f>
        <v/>
      </c>
      <c r="CJ79" s="14" t="str">
        <f>_xlfn.IFNA(SQRT((VLOOKUP(CJ$1,DATA!$A$3:$F$301,2,FALSE)-VLOOKUP($A79,DATA!$A$3:$F$301,2,FALSE))^2+(VLOOKUP(CJ$1,DATA!$A$3:$F$301,3,FALSE)-VLOOKUP($A79,DATA!$A$3:$F$301,3,FALSE))^2),"")</f>
        <v/>
      </c>
      <c r="CK79" s="14" t="str">
        <f>_xlfn.IFNA(SQRT((VLOOKUP(CK$1,DATA!$A$3:$F$301,2,FALSE)-VLOOKUP($A79,DATA!$A$3:$F$301,2,FALSE))^2+(VLOOKUP(CK$1,DATA!$A$3:$F$301,3,FALSE)-VLOOKUP($A79,DATA!$A$3:$F$301,3,FALSE))^2),"")</f>
        <v/>
      </c>
      <c r="CL79" s="14" t="str">
        <f>_xlfn.IFNA(SQRT((VLOOKUP(CL$1,DATA!$A$3:$F$301,2,FALSE)-VLOOKUP($A79,DATA!$A$3:$F$301,2,FALSE))^2+(VLOOKUP(CL$1,DATA!$A$3:$F$301,3,FALSE)-VLOOKUP($A79,DATA!$A$3:$F$301,3,FALSE))^2),"")</f>
        <v/>
      </c>
      <c r="CM79" s="14" t="str">
        <f>_xlfn.IFNA(SQRT((VLOOKUP(CM$1,DATA!$A$3:$F$301,2,FALSE)-VLOOKUP($A79,DATA!$A$3:$F$301,2,FALSE))^2+(VLOOKUP(CM$1,DATA!$A$3:$F$301,3,FALSE)-VLOOKUP($A79,DATA!$A$3:$F$301,3,FALSE))^2),"")</f>
        <v/>
      </c>
      <c r="CN79" s="14" t="str">
        <f>_xlfn.IFNA(SQRT((VLOOKUP(CN$1,DATA!$A$3:$F$301,2,FALSE)-VLOOKUP($A79,DATA!$A$3:$F$301,2,FALSE))^2+(VLOOKUP(CN$1,DATA!$A$3:$F$301,3,FALSE)-VLOOKUP($A79,DATA!$A$3:$F$301,3,FALSE))^2),"")</f>
        <v/>
      </c>
      <c r="CO79" s="14" t="str">
        <f>_xlfn.IFNA(SQRT((VLOOKUP(CO$1,DATA!$A$3:$F$301,2,FALSE)-VLOOKUP($A79,DATA!$A$3:$F$301,2,FALSE))^2+(VLOOKUP(CO$1,DATA!$A$3:$F$301,3,FALSE)-VLOOKUP($A79,DATA!$A$3:$F$301,3,FALSE))^2),"")</f>
        <v/>
      </c>
      <c r="CP79" s="14" t="str">
        <f>_xlfn.IFNA(SQRT((VLOOKUP(CP$1,DATA!$A$3:$F$301,2,FALSE)-VLOOKUP($A79,DATA!$A$3:$F$301,2,FALSE))^2+(VLOOKUP(CP$1,DATA!$A$3:$F$301,3,FALSE)-VLOOKUP($A79,DATA!$A$3:$F$301,3,FALSE))^2),"")</f>
        <v/>
      </c>
      <c r="CQ79" s="14" t="str">
        <f>_xlfn.IFNA(SQRT((VLOOKUP(CQ$1,DATA!$A$3:$F$301,2,FALSE)-VLOOKUP($A79,DATA!$A$3:$F$301,2,FALSE))^2+(VLOOKUP(CQ$1,DATA!$A$3:$F$301,3,FALSE)-VLOOKUP($A79,DATA!$A$3:$F$301,3,FALSE))^2),"")</f>
        <v/>
      </c>
      <c r="CR79" s="14" t="str">
        <f>_xlfn.IFNA(SQRT((VLOOKUP(CR$1,DATA!$A$3:$F$301,2,FALSE)-VLOOKUP($A79,DATA!$A$3:$F$301,2,FALSE))^2+(VLOOKUP(CR$1,DATA!$A$3:$F$301,3,FALSE)-VLOOKUP($A79,DATA!$A$3:$F$301,3,FALSE))^2),"")</f>
        <v/>
      </c>
      <c r="CS79" s="14" t="str">
        <f>_xlfn.IFNA(SQRT((VLOOKUP(CS$1,DATA!$A$3:$F$301,2,FALSE)-VLOOKUP($A79,DATA!$A$3:$F$301,2,FALSE))^2+(VLOOKUP(CS$1,DATA!$A$3:$F$301,3,FALSE)-VLOOKUP($A79,DATA!$A$3:$F$301,3,FALSE))^2),"")</f>
        <v/>
      </c>
      <c r="CT79" s="14" t="str">
        <f>_xlfn.IFNA(SQRT((VLOOKUP(CT$1,DATA!$A$3:$F$301,2,FALSE)-VLOOKUP($A79,DATA!$A$3:$F$301,2,FALSE))^2+(VLOOKUP(CT$1,DATA!$A$3:$F$301,3,FALSE)-VLOOKUP($A79,DATA!$A$3:$F$301,3,FALSE))^2),"")</f>
        <v/>
      </c>
      <c r="CU79" s="14" t="str">
        <f>_xlfn.IFNA(SQRT((VLOOKUP(CU$1,DATA!$A$3:$F$301,2,FALSE)-VLOOKUP($A79,DATA!$A$3:$F$301,2,FALSE))^2+(VLOOKUP(CU$1,DATA!$A$3:$F$301,3,FALSE)-VLOOKUP($A79,DATA!$A$3:$F$301,3,FALSE))^2),"")</f>
        <v/>
      </c>
      <c r="CV79" s="14" t="str">
        <f>_xlfn.IFNA(SQRT((VLOOKUP(CV$1,DATA!$A$3:$F$301,2,FALSE)-VLOOKUP($A79,DATA!$A$3:$F$301,2,FALSE))^2+(VLOOKUP(CV$1,DATA!$A$3:$F$301,3,FALSE)-VLOOKUP($A79,DATA!$A$3:$F$301,3,FALSE))^2),"")</f>
        <v/>
      </c>
      <c r="CW79" s="14" t="str">
        <f>_xlfn.IFNA(SQRT((VLOOKUP(CW$1,DATA!$A$3:$F$301,2,FALSE)-VLOOKUP($A79,DATA!$A$3:$F$301,2,FALSE))^2+(VLOOKUP(CW$1,DATA!$A$3:$F$301,3,FALSE)-VLOOKUP($A79,DATA!$A$3:$F$301,3,FALSE))^2),"")</f>
        <v/>
      </c>
      <c r="CX79" s="14" t="str">
        <f>_xlfn.IFNA(SQRT((VLOOKUP(CX$1,DATA!$A$3:$F$301,2,FALSE)-VLOOKUP($A79,DATA!$A$3:$F$301,2,FALSE))^2+(VLOOKUP(CX$1,DATA!$A$3:$F$301,3,FALSE)-VLOOKUP($A79,DATA!$A$3:$F$301,3,FALSE))^2),"")</f>
        <v/>
      </c>
    </row>
    <row r="80" spans="1:102">
      <c r="A80" s="13">
        <v>79</v>
      </c>
      <c r="B80" s="14" t="str">
        <f>_xlfn.IFNA(SQRT((VLOOKUP(B$1,DATA!$A$3:$F$301,2,FALSE)-VLOOKUP($A80,DATA!$A$3:$F$301,2,FALSE))^2+(VLOOKUP(B$1,DATA!$A$3:$F$301,3,FALSE)-VLOOKUP($A80,DATA!$A$3:$F$301,3,FALSE))^2),"")</f>
        <v/>
      </c>
      <c r="C80" s="14" t="str">
        <f>_xlfn.IFNA(SQRT((VLOOKUP(C$1,DATA!$A$3:$F$301,2,FALSE)-VLOOKUP($A80,DATA!$A$3:$F$301,2,FALSE))^2+(VLOOKUP(C$1,DATA!$A$3:$F$301,3,FALSE)-VLOOKUP($A80,DATA!$A$3:$F$301,3,FALSE))^2),"")</f>
        <v/>
      </c>
      <c r="D80" s="14" t="str">
        <f>_xlfn.IFNA(SQRT((VLOOKUP(D$1,DATA!$A$3:$F$301,2,FALSE)-VLOOKUP($A80,DATA!$A$3:$F$301,2,FALSE))^2+(VLOOKUP(D$1,DATA!$A$3:$F$301,3,FALSE)-VLOOKUP($A80,DATA!$A$3:$F$301,3,FALSE))^2),"")</f>
        <v/>
      </c>
      <c r="E80" s="14" t="str">
        <f>_xlfn.IFNA(SQRT((VLOOKUP(E$1,DATA!$A$3:$F$301,2,FALSE)-VLOOKUP($A80,DATA!$A$3:$F$301,2,FALSE))^2+(VLOOKUP(E$1,DATA!$A$3:$F$301,3,FALSE)-VLOOKUP($A80,DATA!$A$3:$F$301,3,FALSE))^2),"")</f>
        <v/>
      </c>
      <c r="F80" s="14" t="str">
        <f>_xlfn.IFNA(SQRT((VLOOKUP(F$1,DATA!$A$3:$F$301,2,FALSE)-VLOOKUP($A80,DATA!$A$3:$F$301,2,FALSE))^2+(VLOOKUP(F$1,DATA!$A$3:$F$301,3,FALSE)-VLOOKUP($A80,DATA!$A$3:$F$301,3,FALSE))^2),"")</f>
        <v/>
      </c>
      <c r="G80" s="14" t="str">
        <f>_xlfn.IFNA(SQRT((VLOOKUP(G$1,DATA!$A$3:$F$301,2,FALSE)-VLOOKUP($A80,DATA!$A$3:$F$301,2,FALSE))^2+(VLOOKUP(G$1,DATA!$A$3:$F$301,3,FALSE)-VLOOKUP($A80,DATA!$A$3:$F$301,3,FALSE))^2),"")</f>
        <v/>
      </c>
      <c r="H80" s="14" t="str">
        <f>_xlfn.IFNA(SQRT((VLOOKUP(H$1,DATA!$A$3:$F$301,2,FALSE)-VLOOKUP($A80,DATA!$A$3:$F$301,2,FALSE))^2+(VLOOKUP(H$1,DATA!$A$3:$F$301,3,FALSE)-VLOOKUP($A80,DATA!$A$3:$F$301,3,FALSE))^2),"")</f>
        <v/>
      </c>
      <c r="I80" s="14" t="str">
        <f>_xlfn.IFNA(SQRT((VLOOKUP(I$1,DATA!$A$3:$F$301,2,FALSE)-VLOOKUP($A80,DATA!$A$3:$F$301,2,FALSE))^2+(VLOOKUP(I$1,DATA!$A$3:$F$301,3,FALSE)-VLOOKUP($A80,DATA!$A$3:$F$301,3,FALSE))^2),"")</f>
        <v/>
      </c>
      <c r="J80" s="14" t="str">
        <f>_xlfn.IFNA(SQRT((VLOOKUP(J$1,DATA!$A$3:$F$301,2,FALSE)-VLOOKUP($A80,DATA!$A$3:$F$301,2,FALSE))^2+(VLOOKUP(J$1,DATA!$A$3:$F$301,3,FALSE)-VLOOKUP($A80,DATA!$A$3:$F$301,3,FALSE))^2),"")</f>
        <v/>
      </c>
      <c r="K80" s="14" t="str">
        <f>_xlfn.IFNA(SQRT((VLOOKUP(K$1,DATA!$A$3:$F$301,2,FALSE)-VLOOKUP($A80,DATA!$A$3:$F$301,2,FALSE))^2+(VLOOKUP(K$1,DATA!$A$3:$F$301,3,FALSE)-VLOOKUP($A80,DATA!$A$3:$F$301,3,FALSE))^2),"")</f>
        <v/>
      </c>
      <c r="L80" s="14" t="str">
        <f>_xlfn.IFNA(SQRT((VLOOKUP(L$1,DATA!$A$3:$F$301,2,FALSE)-VLOOKUP($A80,DATA!$A$3:$F$301,2,FALSE))^2+(VLOOKUP(L$1,DATA!$A$3:$F$301,3,FALSE)-VLOOKUP($A80,DATA!$A$3:$F$301,3,FALSE))^2),"")</f>
        <v/>
      </c>
      <c r="M80" s="14" t="str">
        <f>_xlfn.IFNA(SQRT((VLOOKUP(M$1,DATA!$A$3:$F$301,2,FALSE)-VLOOKUP($A80,DATA!$A$3:$F$301,2,FALSE))^2+(VLOOKUP(M$1,DATA!$A$3:$F$301,3,FALSE)-VLOOKUP($A80,DATA!$A$3:$F$301,3,FALSE))^2),"")</f>
        <v/>
      </c>
      <c r="N80" s="14" t="str">
        <f>_xlfn.IFNA(SQRT((VLOOKUP(N$1,DATA!$A$3:$F$301,2,FALSE)-VLOOKUP($A80,DATA!$A$3:$F$301,2,FALSE))^2+(VLOOKUP(N$1,DATA!$A$3:$F$301,3,FALSE)-VLOOKUP($A80,DATA!$A$3:$F$301,3,FALSE))^2),"")</f>
        <v/>
      </c>
      <c r="O80" s="14" t="str">
        <f>_xlfn.IFNA(SQRT((VLOOKUP(O$1,DATA!$A$3:$F$301,2,FALSE)-VLOOKUP($A80,DATA!$A$3:$F$301,2,FALSE))^2+(VLOOKUP(O$1,DATA!$A$3:$F$301,3,FALSE)-VLOOKUP($A80,DATA!$A$3:$F$301,3,FALSE))^2),"")</f>
        <v/>
      </c>
      <c r="P80" s="14" t="str">
        <f>_xlfn.IFNA(SQRT((VLOOKUP(P$1,DATA!$A$3:$F$301,2,FALSE)-VLOOKUP($A80,DATA!$A$3:$F$301,2,FALSE))^2+(VLOOKUP(P$1,DATA!$A$3:$F$301,3,FALSE)-VLOOKUP($A80,DATA!$A$3:$F$301,3,FALSE))^2),"")</f>
        <v/>
      </c>
      <c r="Q80" s="14" t="str">
        <f>_xlfn.IFNA(SQRT((VLOOKUP(Q$1,DATA!$A$3:$F$301,2,FALSE)-VLOOKUP($A80,DATA!$A$3:$F$301,2,FALSE))^2+(VLOOKUP(Q$1,DATA!$A$3:$F$301,3,FALSE)-VLOOKUP($A80,DATA!$A$3:$F$301,3,FALSE))^2),"")</f>
        <v/>
      </c>
      <c r="R80" s="14" t="str">
        <f>_xlfn.IFNA(SQRT((VLOOKUP(R$1,DATA!$A$3:$F$301,2,FALSE)-VLOOKUP($A80,DATA!$A$3:$F$301,2,FALSE))^2+(VLOOKUP(R$1,DATA!$A$3:$F$301,3,FALSE)-VLOOKUP($A80,DATA!$A$3:$F$301,3,FALSE))^2),"")</f>
        <v/>
      </c>
      <c r="S80" s="14" t="str">
        <f>_xlfn.IFNA(SQRT((VLOOKUP(S$1,DATA!$A$3:$F$301,2,FALSE)-VLOOKUP($A80,DATA!$A$3:$F$301,2,FALSE))^2+(VLOOKUP(S$1,DATA!$A$3:$F$301,3,FALSE)-VLOOKUP($A80,DATA!$A$3:$F$301,3,FALSE))^2),"")</f>
        <v/>
      </c>
      <c r="T80" s="14" t="str">
        <f>_xlfn.IFNA(SQRT((VLOOKUP(T$1,DATA!$A$3:$F$301,2,FALSE)-VLOOKUP($A80,DATA!$A$3:$F$301,2,FALSE))^2+(VLOOKUP(T$1,DATA!$A$3:$F$301,3,FALSE)-VLOOKUP($A80,DATA!$A$3:$F$301,3,FALSE))^2),"")</f>
        <v/>
      </c>
      <c r="U80" s="14" t="str">
        <f>_xlfn.IFNA(SQRT((VLOOKUP(U$1,DATA!$A$3:$F$301,2,FALSE)-VLOOKUP($A80,DATA!$A$3:$F$301,2,FALSE))^2+(VLOOKUP(U$1,DATA!$A$3:$F$301,3,FALSE)-VLOOKUP($A80,DATA!$A$3:$F$301,3,FALSE))^2),"")</f>
        <v/>
      </c>
      <c r="V80" s="14" t="str">
        <f>_xlfn.IFNA(SQRT((VLOOKUP(V$1,DATA!$A$3:$F$301,2,FALSE)-VLOOKUP($A80,DATA!$A$3:$F$301,2,FALSE))^2+(VLOOKUP(V$1,DATA!$A$3:$F$301,3,FALSE)-VLOOKUP($A80,DATA!$A$3:$F$301,3,FALSE))^2),"")</f>
        <v/>
      </c>
      <c r="W80" s="14" t="str">
        <f>_xlfn.IFNA(SQRT((VLOOKUP(W$1,DATA!$A$3:$F$301,2,FALSE)-VLOOKUP($A80,DATA!$A$3:$F$301,2,FALSE))^2+(VLOOKUP(W$1,DATA!$A$3:$F$301,3,FALSE)-VLOOKUP($A80,DATA!$A$3:$F$301,3,FALSE))^2),"")</f>
        <v/>
      </c>
      <c r="X80" s="14" t="str">
        <f>_xlfn.IFNA(SQRT((VLOOKUP(X$1,DATA!$A$3:$F$301,2,FALSE)-VLOOKUP($A80,DATA!$A$3:$F$301,2,FALSE))^2+(VLOOKUP(X$1,DATA!$A$3:$F$301,3,FALSE)-VLOOKUP($A80,DATA!$A$3:$F$301,3,FALSE))^2),"")</f>
        <v/>
      </c>
      <c r="Y80" s="14" t="str">
        <f>_xlfn.IFNA(SQRT((VLOOKUP(Y$1,DATA!$A$3:$F$301,2,FALSE)-VLOOKUP($A80,DATA!$A$3:$F$301,2,FALSE))^2+(VLOOKUP(Y$1,DATA!$A$3:$F$301,3,FALSE)-VLOOKUP($A80,DATA!$A$3:$F$301,3,FALSE))^2),"")</f>
        <v/>
      </c>
      <c r="Z80" s="14" t="str">
        <f>_xlfn.IFNA(SQRT((VLOOKUP(Z$1,DATA!$A$3:$F$301,2,FALSE)-VLOOKUP($A80,DATA!$A$3:$F$301,2,FALSE))^2+(VLOOKUP(Z$1,DATA!$A$3:$F$301,3,FALSE)-VLOOKUP($A80,DATA!$A$3:$F$301,3,FALSE))^2),"")</f>
        <v/>
      </c>
      <c r="AA80" s="14" t="str">
        <f>_xlfn.IFNA(SQRT((VLOOKUP(AA$1,DATA!$A$3:$F$301,2,FALSE)-VLOOKUP($A80,DATA!$A$3:$F$301,2,FALSE))^2+(VLOOKUP(AA$1,DATA!$A$3:$F$301,3,FALSE)-VLOOKUP($A80,DATA!$A$3:$F$301,3,FALSE))^2),"")</f>
        <v/>
      </c>
      <c r="AB80" s="14" t="str">
        <f>_xlfn.IFNA(SQRT((VLOOKUP(AB$1,DATA!$A$3:$F$301,2,FALSE)-VLOOKUP($A80,DATA!$A$3:$F$301,2,FALSE))^2+(VLOOKUP(AB$1,DATA!$A$3:$F$301,3,FALSE)-VLOOKUP($A80,DATA!$A$3:$F$301,3,FALSE))^2),"")</f>
        <v/>
      </c>
      <c r="AC80" s="14" t="str">
        <f>_xlfn.IFNA(SQRT((VLOOKUP(AC$1,DATA!$A$3:$F$301,2,FALSE)-VLOOKUP($A80,DATA!$A$3:$F$301,2,FALSE))^2+(VLOOKUP(AC$1,DATA!$A$3:$F$301,3,FALSE)-VLOOKUP($A80,DATA!$A$3:$F$301,3,FALSE))^2),"")</f>
        <v/>
      </c>
      <c r="AD80" s="14" t="str">
        <f>_xlfn.IFNA(SQRT((VLOOKUP(AD$1,DATA!$A$3:$F$301,2,FALSE)-VLOOKUP($A80,DATA!$A$3:$F$301,2,FALSE))^2+(VLOOKUP(AD$1,DATA!$A$3:$F$301,3,FALSE)-VLOOKUP($A80,DATA!$A$3:$F$301,3,FALSE))^2),"")</f>
        <v/>
      </c>
      <c r="AE80" s="14" t="str">
        <f>_xlfn.IFNA(SQRT((VLOOKUP(AE$1,DATA!$A$3:$F$301,2,FALSE)-VLOOKUP($A80,DATA!$A$3:$F$301,2,FALSE))^2+(VLOOKUP(AE$1,DATA!$A$3:$F$301,3,FALSE)-VLOOKUP($A80,DATA!$A$3:$F$301,3,FALSE))^2),"")</f>
        <v/>
      </c>
      <c r="AF80" s="14" t="str">
        <f>_xlfn.IFNA(SQRT((VLOOKUP(AF$1,DATA!$A$3:$F$301,2,FALSE)-VLOOKUP($A80,DATA!$A$3:$F$301,2,FALSE))^2+(VLOOKUP(AF$1,DATA!$A$3:$F$301,3,FALSE)-VLOOKUP($A80,DATA!$A$3:$F$301,3,FALSE))^2),"")</f>
        <v/>
      </c>
      <c r="AG80" s="14" t="str">
        <f>_xlfn.IFNA(SQRT((VLOOKUP(AG$1,DATA!$A$3:$F$301,2,FALSE)-VLOOKUP($A80,DATA!$A$3:$F$301,2,FALSE))^2+(VLOOKUP(AG$1,DATA!$A$3:$F$301,3,FALSE)-VLOOKUP($A80,DATA!$A$3:$F$301,3,FALSE))^2),"")</f>
        <v/>
      </c>
      <c r="AH80" s="14" t="str">
        <f>_xlfn.IFNA(SQRT((VLOOKUP(AH$1,DATA!$A$3:$F$301,2,FALSE)-VLOOKUP($A80,DATA!$A$3:$F$301,2,FALSE))^2+(VLOOKUP(AH$1,DATA!$A$3:$F$301,3,FALSE)-VLOOKUP($A80,DATA!$A$3:$F$301,3,FALSE))^2),"")</f>
        <v/>
      </c>
      <c r="AI80" s="14" t="str">
        <f>_xlfn.IFNA(SQRT((VLOOKUP(AI$1,DATA!$A$3:$F$301,2,FALSE)-VLOOKUP($A80,DATA!$A$3:$F$301,2,FALSE))^2+(VLOOKUP(AI$1,DATA!$A$3:$F$301,3,FALSE)-VLOOKUP($A80,DATA!$A$3:$F$301,3,FALSE))^2),"")</f>
        <v/>
      </c>
      <c r="AJ80" s="14" t="str">
        <f>_xlfn.IFNA(SQRT((VLOOKUP(AJ$1,DATA!$A$3:$F$301,2,FALSE)-VLOOKUP($A80,DATA!$A$3:$F$301,2,FALSE))^2+(VLOOKUP(AJ$1,DATA!$A$3:$F$301,3,FALSE)-VLOOKUP($A80,DATA!$A$3:$F$301,3,FALSE))^2),"")</f>
        <v/>
      </c>
      <c r="AK80" s="14" t="str">
        <f>_xlfn.IFNA(SQRT((VLOOKUP(AK$1,DATA!$A$3:$F$301,2,FALSE)-VLOOKUP($A80,DATA!$A$3:$F$301,2,FALSE))^2+(VLOOKUP(AK$1,DATA!$A$3:$F$301,3,FALSE)-VLOOKUP($A80,DATA!$A$3:$F$301,3,FALSE))^2),"")</f>
        <v/>
      </c>
      <c r="AL80" s="14" t="str">
        <f>_xlfn.IFNA(SQRT((VLOOKUP(AL$1,DATA!$A$3:$F$301,2,FALSE)-VLOOKUP($A80,DATA!$A$3:$F$301,2,FALSE))^2+(VLOOKUP(AL$1,DATA!$A$3:$F$301,3,FALSE)-VLOOKUP($A80,DATA!$A$3:$F$301,3,FALSE))^2),"")</f>
        <v/>
      </c>
      <c r="AM80" s="14" t="str">
        <f>_xlfn.IFNA(SQRT((VLOOKUP(AM$1,DATA!$A$3:$F$301,2,FALSE)-VLOOKUP($A80,DATA!$A$3:$F$301,2,FALSE))^2+(VLOOKUP(AM$1,DATA!$A$3:$F$301,3,FALSE)-VLOOKUP($A80,DATA!$A$3:$F$301,3,FALSE))^2),"")</f>
        <v/>
      </c>
      <c r="AN80" s="14" t="str">
        <f>_xlfn.IFNA(SQRT((VLOOKUP(AN$1,DATA!$A$3:$F$301,2,FALSE)-VLOOKUP($A80,DATA!$A$3:$F$301,2,FALSE))^2+(VLOOKUP(AN$1,DATA!$A$3:$F$301,3,FALSE)-VLOOKUP($A80,DATA!$A$3:$F$301,3,FALSE))^2),"")</f>
        <v/>
      </c>
      <c r="AO80" s="14" t="str">
        <f>_xlfn.IFNA(SQRT((VLOOKUP(AO$1,DATA!$A$3:$F$301,2,FALSE)-VLOOKUP($A80,DATA!$A$3:$F$301,2,FALSE))^2+(VLOOKUP(AO$1,DATA!$A$3:$F$301,3,FALSE)-VLOOKUP($A80,DATA!$A$3:$F$301,3,FALSE))^2),"")</f>
        <v/>
      </c>
      <c r="AP80" s="14" t="str">
        <f>_xlfn.IFNA(SQRT((VLOOKUP(AP$1,DATA!$A$3:$F$301,2,FALSE)-VLOOKUP($A80,DATA!$A$3:$F$301,2,FALSE))^2+(VLOOKUP(AP$1,DATA!$A$3:$F$301,3,FALSE)-VLOOKUP($A80,DATA!$A$3:$F$301,3,FALSE))^2),"")</f>
        <v/>
      </c>
      <c r="AQ80" s="14" t="str">
        <f>_xlfn.IFNA(SQRT((VLOOKUP(AQ$1,DATA!$A$3:$F$301,2,FALSE)-VLOOKUP($A80,DATA!$A$3:$F$301,2,FALSE))^2+(VLOOKUP(AQ$1,DATA!$A$3:$F$301,3,FALSE)-VLOOKUP($A80,DATA!$A$3:$F$301,3,FALSE))^2),"")</f>
        <v/>
      </c>
      <c r="AR80" s="14" t="str">
        <f>_xlfn.IFNA(SQRT((VLOOKUP(AR$1,DATA!$A$3:$F$301,2,FALSE)-VLOOKUP($A80,DATA!$A$3:$F$301,2,FALSE))^2+(VLOOKUP(AR$1,DATA!$A$3:$F$301,3,FALSE)-VLOOKUP($A80,DATA!$A$3:$F$301,3,FALSE))^2),"")</f>
        <v/>
      </c>
      <c r="AS80" s="14" t="str">
        <f>_xlfn.IFNA(SQRT((VLOOKUP(AS$1,DATA!$A$3:$F$301,2,FALSE)-VLOOKUP($A80,DATA!$A$3:$F$301,2,FALSE))^2+(VLOOKUP(AS$1,DATA!$A$3:$F$301,3,FALSE)-VLOOKUP($A80,DATA!$A$3:$F$301,3,FALSE))^2),"")</f>
        <v/>
      </c>
      <c r="AT80" s="14" t="str">
        <f>_xlfn.IFNA(SQRT((VLOOKUP(AT$1,DATA!$A$3:$F$301,2,FALSE)-VLOOKUP($A80,DATA!$A$3:$F$301,2,FALSE))^2+(VLOOKUP(AT$1,DATA!$A$3:$F$301,3,FALSE)-VLOOKUP($A80,DATA!$A$3:$F$301,3,FALSE))^2),"")</f>
        <v/>
      </c>
      <c r="AU80" s="14" t="str">
        <f>_xlfn.IFNA(SQRT((VLOOKUP(AU$1,DATA!$A$3:$F$301,2,FALSE)-VLOOKUP($A80,DATA!$A$3:$F$301,2,FALSE))^2+(VLOOKUP(AU$1,DATA!$A$3:$F$301,3,FALSE)-VLOOKUP($A80,DATA!$A$3:$F$301,3,FALSE))^2),"")</f>
        <v/>
      </c>
      <c r="AV80" s="14" t="str">
        <f>_xlfn.IFNA(SQRT((VLOOKUP(AV$1,DATA!$A$3:$F$301,2,FALSE)-VLOOKUP($A80,DATA!$A$3:$F$301,2,FALSE))^2+(VLOOKUP(AV$1,DATA!$A$3:$F$301,3,FALSE)-VLOOKUP($A80,DATA!$A$3:$F$301,3,FALSE))^2),"")</f>
        <v/>
      </c>
      <c r="AW80" s="14" t="str">
        <f>_xlfn.IFNA(SQRT((VLOOKUP(AW$1,DATA!$A$3:$F$301,2,FALSE)-VLOOKUP($A80,DATA!$A$3:$F$301,2,FALSE))^2+(VLOOKUP(AW$1,DATA!$A$3:$F$301,3,FALSE)-VLOOKUP($A80,DATA!$A$3:$F$301,3,FALSE))^2),"")</f>
        <v/>
      </c>
      <c r="AX80" s="14" t="str">
        <f>_xlfn.IFNA(SQRT((VLOOKUP(AX$1,DATA!$A$3:$F$301,2,FALSE)-VLOOKUP($A80,DATA!$A$3:$F$301,2,FALSE))^2+(VLOOKUP(AX$1,DATA!$A$3:$F$301,3,FALSE)-VLOOKUP($A80,DATA!$A$3:$F$301,3,FALSE))^2),"")</f>
        <v/>
      </c>
      <c r="AY80" s="14" t="str">
        <f>_xlfn.IFNA(SQRT((VLOOKUP(AY$1,DATA!$A$3:$F$301,2,FALSE)-VLOOKUP($A80,DATA!$A$3:$F$301,2,FALSE))^2+(VLOOKUP(AY$1,DATA!$A$3:$F$301,3,FALSE)-VLOOKUP($A80,DATA!$A$3:$F$301,3,FALSE))^2),"")</f>
        <v/>
      </c>
      <c r="AZ80" s="14" t="str">
        <f>_xlfn.IFNA(SQRT((VLOOKUP(AZ$1,DATA!$A$3:$F$301,2,FALSE)-VLOOKUP($A80,DATA!$A$3:$F$301,2,FALSE))^2+(VLOOKUP(AZ$1,DATA!$A$3:$F$301,3,FALSE)-VLOOKUP($A80,DATA!$A$3:$F$301,3,FALSE))^2),"")</f>
        <v/>
      </c>
      <c r="BA80" s="14" t="str">
        <f>_xlfn.IFNA(SQRT((VLOOKUP(BA$1,DATA!$A$3:$F$301,2,FALSE)-VLOOKUP($A80,DATA!$A$3:$F$301,2,FALSE))^2+(VLOOKUP(BA$1,DATA!$A$3:$F$301,3,FALSE)-VLOOKUP($A80,DATA!$A$3:$F$301,3,FALSE))^2),"")</f>
        <v/>
      </c>
      <c r="BB80" s="14" t="str">
        <f>_xlfn.IFNA(SQRT((VLOOKUP(BB$1,DATA!$A$3:$F$301,2,FALSE)-VLOOKUP($A80,DATA!$A$3:$F$301,2,FALSE))^2+(VLOOKUP(BB$1,DATA!$A$3:$F$301,3,FALSE)-VLOOKUP($A80,DATA!$A$3:$F$301,3,FALSE))^2),"")</f>
        <v/>
      </c>
      <c r="BC80" s="14" t="str">
        <f>_xlfn.IFNA(SQRT((VLOOKUP(BC$1,DATA!$A$3:$F$301,2,FALSE)-VLOOKUP($A80,DATA!$A$3:$F$301,2,FALSE))^2+(VLOOKUP(BC$1,DATA!$A$3:$F$301,3,FALSE)-VLOOKUP($A80,DATA!$A$3:$F$301,3,FALSE))^2),"")</f>
        <v/>
      </c>
      <c r="BD80" s="14" t="str">
        <f>_xlfn.IFNA(SQRT((VLOOKUP(BD$1,DATA!$A$3:$F$301,2,FALSE)-VLOOKUP($A80,DATA!$A$3:$F$301,2,FALSE))^2+(VLOOKUP(BD$1,DATA!$A$3:$F$301,3,FALSE)-VLOOKUP($A80,DATA!$A$3:$F$301,3,FALSE))^2),"")</f>
        <v/>
      </c>
      <c r="BE80" s="14" t="str">
        <f>_xlfn.IFNA(SQRT((VLOOKUP(BE$1,DATA!$A$3:$F$301,2,FALSE)-VLOOKUP($A80,DATA!$A$3:$F$301,2,FALSE))^2+(VLOOKUP(BE$1,DATA!$A$3:$F$301,3,FALSE)-VLOOKUP($A80,DATA!$A$3:$F$301,3,FALSE))^2),"")</f>
        <v/>
      </c>
      <c r="BF80" s="14" t="str">
        <f>_xlfn.IFNA(SQRT((VLOOKUP(BF$1,DATA!$A$3:$F$301,2,FALSE)-VLOOKUP($A80,DATA!$A$3:$F$301,2,FALSE))^2+(VLOOKUP(BF$1,DATA!$A$3:$F$301,3,FALSE)-VLOOKUP($A80,DATA!$A$3:$F$301,3,FALSE))^2),"")</f>
        <v/>
      </c>
      <c r="BG80" s="14" t="str">
        <f>_xlfn.IFNA(SQRT((VLOOKUP(BG$1,DATA!$A$3:$F$301,2,FALSE)-VLOOKUP($A80,DATA!$A$3:$F$301,2,FALSE))^2+(VLOOKUP(BG$1,DATA!$A$3:$F$301,3,FALSE)-VLOOKUP($A80,DATA!$A$3:$F$301,3,FALSE))^2),"")</f>
        <v/>
      </c>
      <c r="BH80" s="14" t="str">
        <f>_xlfn.IFNA(SQRT((VLOOKUP(BH$1,DATA!$A$3:$F$301,2,FALSE)-VLOOKUP($A80,DATA!$A$3:$F$301,2,FALSE))^2+(VLOOKUP(BH$1,DATA!$A$3:$F$301,3,FALSE)-VLOOKUP($A80,DATA!$A$3:$F$301,3,FALSE))^2),"")</f>
        <v/>
      </c>
      <c r="BI80" s="14" t="str">
        <f>_xlfn.IFNA(SQRT((VLOOKUP(BI$1,DATA!$A$3:$F$301,2,FALSE)-VLOOKUP($A80,DATA!$A$3:$F$301,2,FALSE))^2+(VLOOKUP(BI$1,DATA!$A$3:$F$301,3,FALSE)-VLOOKUP($A80,DATA!$A$3:$F$301,3,FALSE))^2),"")</f>
        <v/>
      </c>
      <c r="BJ80" s="14" t="str">
        <f>_xlfn.IFNA(SQRT((VLOOKUP(BJ$1,DATA!$A$3:$F$301,2,FALSE)-VLOOKUP($A80,DATA!$A$3:$F$301,2,FALSE))^2+(VLOOKUP(BJ$1,DATA!$A$3:$F$301,3,FALSE)-VLOOKUP($A80,DATA!$A$3:$F$301,3,FALSE))^2),"")</f>
        <v/>
      </c>
      <c r="BK80" s="14" t="str">
        <f>_xlfn.IFNA(SQRT((VLOOKUP(BK$1,DATA!$A$3:$F$301,2,FALSE)-VLOOKUP($A80,DATA!$A$3:$F$301,2,FALSE))^2+(VLOOKUP(BK$1,DATA!$A$3:$F$301,3,FALSE)-VLOOKUP($A80,DATA!$A$3:$F$301,3,FALSE))^2),"")</f>
        <v/>
      </c>
      <c r="BL80" s="14" t="str">
        <f>_xlfn.IFNA(SQRT((VLOOKUP(BL$1,DATA!$A$3:$F$301,2,FALSE)-VLOOKUP($A80,DATA!$A$3:$F$301,2,FALSE))^2+(VLOOKUP(BL$1,DATA!$A$3:$F$301,3,FALSE)-VLOOKUP($A80,DATA!$A$3:$F$301,3,FALSE))^2),"")</f>
        <v/>
      </c>
      <c r="BM80" s="14" t="str">
        <f>_xlfn.IFNA(SQRT((VLOOKUP(BM$1,DATA!$A$3:$F$301,2,FALSE)-VLOOKUP($A80,DATA!$A$3:$F$301,2,FALSE))^2+(VLOOKUP(BM$1,DATA!$A$3:$F$301,3,FALSE)-VLOOKUP($A80,DATA!$A$3:$F$301,3,FALSE))^2),"")</f>
        <v/>
      </c>
      <c r="BN80" s="14" t="str">
        <f>_xlfn.IFNA(SQRT((VLOOKUP(BN$1,DATA!$A$3:$F$301,2,FALSE)-VLOOKUP($A80,DATA!$A$3:$F$301,2,FALSE))^2+(VLOOKUP(BN$1,DATA!$A$3:$F$301,3,FALSE)-VLOOKUP($A80,DATA!$A$3:$F$301,3,FALSE))^2),"")</f>
        <v/>
      </c>
      <c r="BO80" s="14" t="str">
        <f>_xlfn.IFNA(SQRT((VLOOKUP(BO$1,DATA!$A$3:$F$301,2,FALSE)-VLOOKUP($A80,DATA!$A$3:$F$301,2,FALSE))^2+(VLOOKUP(BO$1,DATA!$A$3:$F$301,3,FALSE)-VLOOKUP($A80,DATA!$A$3:$F$301,3,FALSE))^2),"")</f>
        <v/>
      </c>
      <c r="BP80" s="14" t="str">
        <f>_xlfn.IFNA(SQRT((VLOOKUP(BP$1,DATA!$A$3:$F$301,2,FALSE)-VLOOKUP($A80,DATA!$A$3:$F$301,2,FALSE))^2+(VLOOKUP(BP$1,DATA!$A$3:$F$301,3,FALSE)-VLOOKUP($A80,DATA!$A$3:$F$301,3,FALSE))^2),"")</f>
        <v/>
      </c>
      <c r="BQ80" s="14" t="str">
        <f>_xlfn.IFNA(SQRT((VLOOKUP(BQ$1,DATA!$A$3:$F$301,2,FALSE)-VLOOKUP($A80,DATA!$A$3:$F$301,2,FALSE))^2+(VLOOKUP(BQ$1,DATA!$A$3:$F$301,3,FALSE)-VLOOKUP($A80,DATA!$A$3:$F$301,3,FALSE))^2),"")</f>
        <v/>
      </c>
      <c r="BR80" s="14" t="str">
        <f>_xlfn.IFNA(SQRT((VLOOKUP(BR$1,DATA!$A$3:$F$301,2,FALSE)-VLOOKUP($A80,DATA!$A$3:$F$301,2,FALSE))^2+(VLOOKUP(BR$1,DATA!$A$3:$F$301,3,FALSE)-VLOOKUP($A80,DATA!$A$3:$F$301,3,FALSE))^2),"")</f>
        <v/>
      </c>
      <c r="BS80" s="14" t="str">
        <f>_xlfn.IFNA(SQRT((VLOOKUP(BS$1,DATA!$A$3:$F$301,2,FALSE)-VLOOKUP($A80,DATA!$A$3:$F$301,2,FALSE))^2+(VLOOKUP(BS$1,DATA!$A$3:$F$301,3,FALSE)-VLOOKUP($A80,DATA!$A$3:$F$301,3,FALSE))^2),"")</f>
        <v/>
      </c>
      <c r="BT80" s="14" t="str">
        <f>_xlfn.IFNA(SQRT((VLOOKUP(BT$1,DATA!$A$3:$F$301,2,FALSE)-VLOOKUP($A80,DATA!$A$3:$F$301,2,FALSE))^2+(VLOOKUP(BT$1,DATA!$A$3:$F$301,3,FALSE)-VLOOKUP($A80,DATA!$A$3:$F$301,3,FALSE))^2),"")</f>
        <v/>
      </c>
      <c r="BU80" s="14" t="str">
        <f>_xlfn.IFNA(SQRT((VLOOKUP(BU$1,DATA!$A$3:$F$301,2,FALSE)-VLOOKUP($A80,DATA!$A$3:$F$301,2,FALSE))^2+(VLOOKUP(BU$1,DATA!$A$3:$F$301,3,FALSE)-VLOOKUP($A80,DATA!$A$3:$F$301,3,FALSE))^2),"")</f>
        <v/>
      </c>
      <c r="BV80" s="14" t="str">
        <f>_xlfn.IFNA(SQRT((VLOOKUP(BV$1,DATA!$A$3:$F$301,2,FALSE)-VLOOKUP($A80,DATA!$A$3:$F$301,2,FALSE))^2+(VLOOKUP(BV$1,DATA!$A$3:$F$301,3,FALSE)-VLOOKUP($A80,DATA!$A$3:$F$301,3,FALSE))^2),"")</f>
        <v/>
      </c>
      <c r="BW80" s="14" t="str">
        <f>_xlfn.IFNA(SQRT((VLOOKUP(BW$1,DATA!$A$3:$F$301,2,FALSE)-VLOOKUP($A80,DATA!$A$3:$F$301,2,FALSE))^2+(VLOOKUP(BW$1,DATA!$A$3:$F$301,3,FALSE)-VLOOKUP($A80,DATA!$A$3:$F$301,3,FALSE))^2),"")</f>
        <v/>
      </c>
      <c r="BX80" s="14" t="str">
        <f>_xlfn.IFNA(SQRT((VLOOKUP(BX$1,DATA!$A$3:$F$301,2,FALSE)-VLOOKUP($A80,DATA!$A$3:$F$301,2,FALSE))^2+(VLOOKUP(BX$1,DATA!$A$3:$F$301,3,FALSE)-VLOOKUP($A80,DATA!$A$3:$F$301,3,FALSE))^2),"")</f>
        <v/>
      </c>
      <c r="BY80" s="14" t="str">
        <f>_xlfn.IFNA(SQRT((VLOOKUP(BY$1,DATA!$A$3:$F$301,2,FALSE)-VLOOKUP($A80,DATA!$A$3:$F$301,2,FALSE))^2+(VLOOKUP(BY$1,DATA!$A$3:$F$301,3,FALSE)-VLOOKUP($A80,DATA!$A$3:$F$301,3,FALSE))^2),"")</f>
        <v/>
      </c>
      <c r="BZ80" s="14" t="str">
        <f>_xlfn.IFNA(SQRT((VLOOKUP(BZ$1,DATA!$A$3:$F$301,2,FALSE)-VLOOKUP($A80,DATA!$A$3:$F$301,2,FALSE))^2+(VLOOKUP(BZ$1,DATA!$A$3:$F$301,3,FALSE)-VLOOKUP($A80,DATA!$A$3:$F$301,3,FALSE))^2),"")</f>
        <v/>
      </c>
      <c r="CA80" s="14" t="str">
        <f>_xlfn.IFNA(SQRT((VLOOKUP(CA$1,DATA!$A$3:$F$301,2,FALSE)-VLOOKUP($A80,DATA!$A$3:$F$301,2,FALSE))^2+(VLOOKUP(CA$1,DATA!$A$3:$F$301,3,FALSE)-VLOOKUP($A80,DATA!$A$3:$F$301,3,FALSE))^2),"")</f>
        <v/>
      </c>
      <c r="CB80" s="14" t="str">
        <f>_xlfn.IFNA(SQRT((VLOOKUP(CB$1,DATA!$A$3:$F$301,2,FALSE)-VLOOKUP($A80,DATA!$A$3:$F$301,2,FALSE))^2+(VLOOKUP(CB$1,DATA!$A$3:$F$301,3,FALSE)-VLOOKUP($A80,DATA!$A$3:$F$301,3,FALSE))^2),"")</f>
        <v/>
      </c>
      <c r="CC80" s="14" t="str">
        <f>_xlfn.IFNA(SQRT((VLOOKUP(CC$1,DATA!$A$3:$F$301,2,FALSE)-VLOOKUP($A80,DATA!$A$3:$F$301,2,FALSE))^2+(VLOOKUP(CC$1,DATA!$A$3:$F$301,3,FALSE)-VLOOKUP($A80,DATA!$A$3:$F$301,3,FALSE))^2),"")</f>
        <v/>
      </c>
      <c r="CD80" s="14" t="str">
        <f>_xlfn.IFNA(SQRT((VLOOKUP(CD$1,DATA!$A$3:$F$301,2,FALSE)-VLOOKUP($A80,DATA!$A$3:$F$301,2,FALSE))^2+(VLOOKUP(CD$1,DATA!$A$3:$F$301,3,FALSE)-VLOOKUP($A80,DATA!$A$3:$F$301,3,FALSE))^2),"")</f>
        <v/>
      </c>
      <c r="CE80" s="14" t="str">
        <f>_xlfn.IFNA(SQRT((VLOOKUP(CE$1,DATA!$A$3:$F$301,2,FALSE)-VLOOKUP($A80,DATA!$A$3:$F$301,2,FALSE))^2+(VLOOKUP(CE$1,DATA!$A$3:$F$301,3,FALSE)-VLOOKUP($A80,DATA!$A$3:$F$301,3,FALSE))^2),"")</f>
        <v/>
      </c>
      <c r="CF80" s="14" t="str">
        <f>_xlfn.IFNA(SQRT((VLOOKUP(CF$1,DATA!$A$3:$F$301,2,FALSE)-VLOOKUP($A80,DATA!$A$3:$F$301,2,FALSE))^2+(VLOOKUP(CF$1,DATA!$A$3:$F$301,3,FALSE)-VLOOKUP($A80,DATA!$A$3:$F$301,3,FALSE))^2),"")</f>
        <v/>
      </c>
      <c r="CG80" s="14" t="str">
        <f>_xlfn.IFNA(SQRT((VLOOKUP(CG$1,DATA!$A$3:$F$301,2,FALSE)-VLOOKUP($A80,DATA!$A$3:$F$301,2,FALSE))^2+(VLOOKUP(CG$1,DATA!$A$3:$F$301,3,FALSE)-VLOOKUP($A80,DATA!$A$3:$F$301,3,FALSE))^2),"")</f>
        <v/>
      </c>
      <c r="CH80" s="14" t="str">
        <f>_xlfn.IFNA(SQRT((VLOOKUP(CH$1,DATA!$A$3:$F$301,2,FALSE)-VLOOKUP($A80,DATA!$A$3:$F$301,2,FALSE))^2+(VLOOKUP(CH$1,DATA!$A$3:$F$301,3,FALSE)-VLOOKUP($A80,DATA!$A$3:$F$301,3,FALSE))^2),"")</f>
        <v/>
      </c>
      <c r="CI80" s="14" t="str">
        <f>_xlfn.IFNA(SQRT((VLOOKUP(CI$1,DATA!$A$3:$F$301,2,FALSE)-VLOOKUP($A80,DATA!$A$3:$F$301,2,FALSE))^2+(VLOOKUP(CI$1,DATA!$A$3:$F$301,3,FALSE)-VLOOKUP($A80,DATA!$A$3:$F$301,3,FALSE))^2),"")</f>
        <v/>
      </c>
      <c r="CJ80" s="14" t="str">
        <f>_xlfn.IFNA(SQRT((VLOOKUP(CJ$1,DATA!$A$3:$F$301,2,FALSE)-VLOOKUP($A80,DATA!$A$3:$F$301,2,FALSE))^2+(VLOOKUP(CJ$1,DATA!$A$3:$F$301,3,FALSE)-VLOOKUP($A80,DATA!$A$3:$F$301,3,FALSE))^2),"")</f>
        <v/>
      </c>
      <c r="CK80" s="14" t="str">
        <f>_xlfn.IFNA(SQRT((VLOOKUP(CK$1,DATA!$A$3:$F$301,2,FALSE)-VLOOKUP($A80,DATA!$A$3:$F$301,2,FALSE))^2+(VLOOKUP(CK$1,DATA!$A$3:$F$301,3,FALSE)-VLOOKUP($A80,DATA!$A$3:$F$301,3,FALSE))^2),"")</f>
        <v/>
      </c>
      <c r="CL80" s="14" t="str">
        <f>_xlfn.IFNA(SQRT((VLOOKUP(CL$1,DATA!$A$3:$F$301,2,FALSE)-VLOOKUP($A80,DATA!$A$3:$F$301,2,FALSE))^2+(VLOOKUP(CL$1,DATA!$A$3:$F$301,3,FALSE)-VLOOKUP($A80,DATA!$A$3:$F$301,3,FALSE))^2),"")</f>
        <v/>
      </c>
      <c r="CM80" s="14" t="str">
        <f>_xlfn.IFNA(SQRT((VLOOKUP(CM$1,DATA!$A$3:$F$301,2,FALSE)-VLOOKUP($A80,DATA!$A$3:$F$301,2,FALSE))^2+(VLOOKUP(CM$1,DATA!$A$3:$F$301,3,FALSE)-VLOOKUP($A80,DATA!$A$3:$F$301,3,FALSE))^2),"")</f>
        <v/>
      </c>
      <c r="CN80" s="14" t="str">
        <f>_xlfn.IFNA(SQRT((VLOOKUP(CN$1,DATA!$A$3:$F$301,2,FALSE)-VLOOKUP($A80,DATA!$A$3:$F$301,2,FALSE))^2+(VLOOKUP(CN$1,DATA!$A$3:$F$301,3,FALSE)-VLOOKUP($A80,DATA!$A$3:$F$301,3,FALSE))^2),"")</f>
        <v/>
      </c>
      <c r="CO80" s="14" t="str">
        <f>_xlfn.IFNA(SQRT((VLOOKUP(CO$1,DATA!$A$3:$F$301,2,FALSE)-VLOOKUP($A80,DATA!$A$3:$F$301,2,FALSE))^2+(VLOOKUP(CO$1,DATA!$A$3:$F$301,3,FALSE)-VLOOKUP($A80,DATA!$A$3:$F$301,3,FALSE))^2),"")</f>
        <v/>
      </c>
      <c r="CP80" s="14" t="str">
        <f>_xlfn.IFNA(SQRT((VLOOKUP(CP$1,DATA!$A$3:$F$301,2,FALSE)-VLOOKUP($A80,DATA!$A$3:$F$301,2,FALSE))^2+(VLOOKUP(CP$1,DATA!$A$3:$F$301,3,FALSE)-VLOOKUP($A80,DATA!$A$3:$F$301,3,FALSE))^2),"")</f>
        <v/>
      </c>
      <c r="CQ80" s="14" t="str">
        <f>_xlfn.IFNA(SQRT((VLOOKUP(CQ$1,DATA!$A$3:$F$301,2,FALSE)-VLOOKUP($A80,DATA!$A$3:$F$301,2,FALSE))^2+(VLOOKUP(CQ$1,DATA!$A$3:$F$301,3,FALSE)-VLOOKUP($A80,DATA!$A$3:$F$301,3,FALSE))^2),"")</f>
        <v/>
      </c>
      <c r="CR80" s="14" t="str">
        <f>_xlfn.IFNA(SQRT((VLOOKUP(CR$1,DATA!$A$3:$F$301,2,FALSE)-VLOOKUP($A80,DATA!$A$3:$F$301,2,FALSE))^2+(VLOOKUP(CR$1,DATA!$A$3:$F$301,3,FALSE)-VLOOKUP($A80,DATA!$A$3:$F$301,3,FALSE))^2),"")</f>
        <v/>
      </c>
      <c r="CS80" s="14" t="str">
        <f>_xlfn.IFNA(SQRT((VLOOKUP(CS$1,DATA!$A$3:$F$301,2,FALSE)-VLOOKUP($A80,DATA!$A$3:$F$301,2,FALSE))^2+(VLOOKUP(CS$1,DATA!$A$3:$F$301,3,FALSE)-VLOOKUP($A80,DATA!$A$3:$F$301,3,FALSE))^2),"")</f>
        <v/>
      </c>
      <c r="CT80" s="14" t="str">
        <f>_xlfn.IFNA(SQRT((VLOOKUP(CT$1,DATA!$A$3:$F$301,2,FALSE)-VLOOKUP($A80,DATA!$A$3:$F$301,2,FALSE))^2+(VLOOKUP(CT$1,DATA!$A$3:$F$301,3,FALSE)-VLOOKUP($A80,DATA!$A$3:$F$301,3,FALSE))^2),"")</f>
        <v/>
      </c>
      <c r="CU80" s="14" t="str">
        <f>_xlfn.IFNA(SQRT((VLOOKUP(CU$1,DATA!$A$3:$F$301,2,FALSE)-VLOOKUP($A80,DATA!$A$3:$F$301,2,FALSE))^2+(VLOOKUP(CU$1,DATA!$A$3:$F$301,3,FALSE)-VLOOKUP($A80,DATA!$A$3:$F$301,3,FALSE))^2),"")</f>
        <v/>
      </c>
      <c r="CV80" s="14" t="str">
        <f>_xlfn.IFNA(SQRT((VLOOKUP(CV$1,DATA!$A$3:$F$301,2,FALSE)-VLOOKUP($A80,DATA!$A$3:$F$301,2,FALSE))^2+(VLOOKUP(CV$1,DATA!$A$3:$F$301,3,FALSE)-VLOOKUP($A80,DATA!$A$3:$F$301,3,FALSE))^2),"")</f>
        <v/>
      </c>
      <c r="CW80" s="14" t="str">
        <f>_xlfn.IFNA(SQRT((VLOOKUP(CW$1,DATA!$A$3:$F$301,2,FALSE)-VLOOKUP($A80,DATA!$A$3:$F$301,2,FALSE))^2+(VLOOKUP(CW$1,DATA!$A$3:$F$301,3,FALSE)-VLOOKUP($A80,DATA!$A$3:$F$301,3,FALSE))^2),"")</f>
        <v/>
      </c>
      <c r="CX80" s="14" t="str">
        <f>_xlfn.IFNA(SQRT((VLOOKUP(CX$1,DATA!$A$3:$F$301,2,FALSE)-VLOOKUP($A80,DATA!$A$3:$F$301,2,FALSE))^2+(VLOOKUP(CX$1,DATA!$A$3:$F$301,3,FALSE)-VLOOKUP($A80,DATA!$A$3:$F$301,3,FALSE))^2),"")</f>
        <v/>
      </c>
    </row>
    <row r="81" spans="1:102">
      <c r="A81" s="13">
        <v>80</v>
      </c>
      <c r="B81" s="14" t="str">
        <f>_xlfn.IFNA(SQRT((VLOOKUP(B$1,DATA!$A$3:$F$301,2,FALSE)-VLOOKUP($A81,DATA!$A$3:$F$301,2,FALSE))^2+(VLOOKUP(B$1,DATA!$A$3:$F$301,3,FALSE)-VLOOKUP($A81,DATA!$A$3:$F$301,3,FALSE))^2),"")</f>
        <v/>
      </c>
      <c r="C81" s="14" t="str">
        <f>_xlfn.IFNA(SQRT((VLOOKUP(C$1,DATA!$A$3:$F$301,2,FALSE)-VLOOKUP($A81,DATA!$A$3:$F$301,2,FALSE))^2+(VLOOKUP(C$1,DATA!$A$3:$F$301,3,FALSE)-VLOOKUP($A81,DATA!$A$3:$F$301,3,FALSE))^2),"")</f>
        <v/>
      </c>
      <c r="D81" s="14" t="str">
        <f>_xlfn.IFNA(SQRT((VLOOKUP(D$1,DATA!$A$3:$F$301,2,FALSE)-VLOOKUP($A81,DATA!$A$3:$F$301,2,FALSE))^2+(VLOOKUP(D$1,DATA!$A$3:$F$301,3,FALSE)-VLOOKUP($A81,DATA!$A$3:$F$301,3,FALSE))^2),"")</f>
        <v/>
      </c>
      <c r="E81" s="14" t="str">
        <f>_xlfn.IFNA(SQRT((VLOOKUP(E$1,DATA!$A$3:$F$301,2,FALSE)-VLOOKUP($A81,DATA!$A$3:$F$301,2,FALSE))^2+(VLOOKUP(E$1,DATA!$A$3:$F$301,3,FALSE)-VLOOKUP($A81,DATA!$A$3:$F$301,3,FALSE))^2),"")</f>
        <v/>
      </c>
      <c r="F81" s="14" t="str">
        <f>_xlfn.IFNA(SQRT((VLOOKUP(F$1,DATA!$A$3:$F$301,2,FALSE)-VLOOKUP($A81,DATA!$A$3:$F$301,2,FALSE))^2+(VLOOKUP(F$1,DATA!$A$3:$F$301,3,FALSE)-VLOOKUP($A81,DATA!$A$3:$F$301,3,FALSE))^2),"")</f>
        <v/>
      </c>
      <c r="G81" s="14" t="str">
        <f>_xlfn.IFNA(SQRT((VLOOKUP(G$1,DATA!$A$3:$F$301,2,FALSE)-VLOOKUP($A81,DATA!$A$3:$F$301,2,FALSE))^2+(VLOOKUP(G$1,DATA!$A$3:$F$301,3,FALSE)-VLOOKUP($A81,DATA!$A$3:$F$301,3,FALSE))^2),"")</f>
        <v/>
      </c>
      <c r="H81" s="14" t="str">
        <f>_xlfn.IFNA(SQRT((VLOOKUP(H$1,DATA!$A$3:$F$301,2,FALSE)-VLOOKUP($A81,DATA!$A$3:$F$301,2,FALSE))^2+(VLOOKUP(H$1,DATA!$A$3:$F$301,3,FALSE)-VLOOKUP($A81,DATA!$A$3:$F$301,3,FALSE))^2),"")</f>
        <v/>
      </c>
      <c r="I81" s="14" t="str">
        <f>_xlfn.IFNA(SQRT((VLOOKUP(I$1,DATA!$A$3:$F$301,2,FALSE)-VLOOKUP($A81,DATA!$A$3:$F$301,2,FALSE))^2+(VLOOKUP(I$1,DATA!$A$3:$F$301,3,FALSE)-VLOOKUP($A81,DATA!$A$3:$F$301,3,FALSE))^2),"")</f>
        <v/>
      </c>
      <c r="J81" s="14" t="str">
        <f>_xlfn.IFNA(SQRT((VLOOKUP(J$1,DATA!$A$3:$F$301,2,FALSE)-VLOOKUP($A81,DATA!$A$3:$F$301,2,FALSE))^2+(VLOOKUP(J$1,DATA!$A$3:$F$301,3,FALSE)-VLOOKUP($A81,DATA!$A$3:$F$301,3,FALSE))^2),"")</f>
        <v/>
      </c>
      <c r="K81" s="14" t="str">
        <f>_xlfn.IFNA(SQRT((VLOOKUP(K$1,DATA!$A$3:$F$301,2,FALSE)-VLOOKUP($A81,DATA!$A$3:$F$301,2,FALSE))^2+(VLOOKUP(K$1,DATA!$A$3:$F$301,3,FALSE)-VLOOKUP($A81,DATA!$A$3:$F$301,3,FALSE))^2),"")</f>
        <v/>
      </c>
      <c r="L81" s="14" t="str">
        <f>_xlfn.IFNA(SQRT((VLOOKUP(L$1,DATA!$A$3:$F$301,2,FALSE)-VLOOKUP($A81,DATA!$A$3:$F$301,2,FALSE))^2+(VLOOKUP(L$1,DATA!$A$3:$F$301,3,FALSE)-VLOOKUP($A81,DATA!$A$3:$F$301,3,FALSE))^2),"")</f>
        <v/>
      </c>
      <c r="M81" s="14" t="str">
        <f>_xlfn.IFNA(SQRT((VLOOKUP(M$1,DATA!$A$3:$F$301,2,FALSE)-VLOOKUP($A81,DATA!$A$3:$F$301,2,FALSE))^2+(VLOOKUP(M$1,DATA!$A$3:$F$301,3,FALSE)-VLOOKUP($A81,DATA!$A$3:$F$301,3,FALSE))^2),"")</f>
        <v/>
      </c>
      <c r="N81" s="14" t="str">
        <f>_xlfn.IFNA(SQRT((VLOOKUP(N$1,DATA!$A$3:$F$301,2,FALSE)-VLOOKUP($A81,DATA!$A$3:$F$301,2,FALSE))^2+(VLOOKUP(N$1,DATA!$A$3:$F$301,3,FALSE)-VLOOKUP($A81,DATA!$A$3:$F$301,3,FALSE))^2),"")</f>
        <v/>
      </c>
      <c r="O81" s="14" t="str">
        <f>_xlfn.IFNA(SQRT((VLOOKUP(O$1,DATA!$A$3:$F$301,2,FALSE)-VLOOKUP($A81,DATA!$A$3:$F$301,2,FALSE))^2+(VLOOKUP(O$1,DATA!$A$3:$F$301,3,FALSE)-VLOOKUP($A81,DATA!$A$3:$F$301,3,FALSE))^2),"")</f>
        <v/>
      </c>
      <c r="P81" s="14" t="str">
        <f>_xlfn.IFNA(SQRT((VLOOKUP(P$1,DATA!$A$3:$F$301,2,FALSE)-VLOOKUP($A81,DATA!$A$3:$F$301,2,FALSE))^2+(VLOOKUP(P$1,DATA!$A$3:$F$301,3,FALSE)-VLOOKUP($A81,DATA!$A$3:$F$301,3,FALSE))^2),"")</f>
        <v/>
      </c>
      <c r="Q81" s="14" t="str">
        <f>_xlfn.IFNA(SQRT((VLOOKUP(Q$1,DATA!$A$3:$F$301,2,FALSE)-VLOOKUP($A81,DATA!$A$3:$F$301,2,FALSE))^2+(VLOOKUP(Q$1,DATA!$A$3:$F$301,3,FALSE)-VLOOKUP($A81,DATA!$A$3:$F$301,3,FALSE))^2),"")</f>
        <v/>
      </c>
      <c r="R81" s="14" t="str">
        <f>_xlfn.IFNA(SQRT((VLOOKUP(R$1,DATA!$A$3:$F$301,2,FALSE)-VLOOKUP($A81,DATA!$A$3:$F$301,2,FALSE))^2+(VLOOKUP(R$1,DATA!$A$3:$F$301,3,FALSE)-VLOOKUP($A81,DATA!$A$3:$F$301,3,FALSE))^2),"")</f>
        <v/>
      </c>
      <c r="S81" s="14" t="str">
        <f>_xlfn.IFNA(SQRT((VLOOKUP(S$1,DATA!$A$3:$F$301,2,FALSE)-VLOOKUP($A81,DATA!$A$3:$F$301,2,FALSE))^2+(VLOOKUP(S$1,DATA!$A$3:$F$301,3,FALSE)-VLOOKUP($A81,DATA!$A$3:$F$301,3,FALSE))^2),"")</f>
        <v/>
      </c>
      <c r="T81" s="14" t="str">
        <f>_xlfn.IFNA(SQRT((VLOOKUP(T$1,DATA!$A$3:$F$301,2,FALSE)-VLOOKUP($A81,DATA!$A$3:$F$301,2,FALSE))^2+(VLOOKUP(T$1,DATA!$A$3:$F$301,3,FALSE)-VLOOKUP($A81,DATA!$A$3:$F$301,3,FALSE))^2),"")</f>
        <v/>
      </c>
      <c r="U81" s="14" t="str">
        <f>_xlfn.IFNA(SQRT((VLOOKUP(U$1,DATA!$A$3:$F$301,2,FALSE)-VLOOKUP($A81,DATA!$A$3:$F$301,2,FALSE))^2+(VLOOKUP(U$1,DATA!$A$3:$F$301,3,FALSE)-VLOOKUP($A81,DATA!$A$3:$F$301,3,FALSE))^2),"")</f>
        <v/>
      </c>
      <c r="V81" s="14" t="str">
        <f>_xlfn.IFNA(SQRT((VLOOKUP(V$1,DATA!$A$3:$F$301,2,FALSE)-VLOOKUP($A81,DATA!$A$3:$F$301,2,FALSE))^2+(VLOOKUP(V$1,DATA!$A$3:$F$301,3,FALSE)-VLOOKUP($A81,DATA!$A$3:$F$301,3,FALSE))^2),"")</f>
        <v/>
      </c>
      <c r="W81" s="14" t="str">
        <f>_xlfn.IFNA(SQRT((VLOOKUP(W$1,DATA!$A$3:$F$301,2,FALSE)-VLOOKUP($A81,DATA!$A$3:$F$301,2,FALSE))^2+(VLOOKUP(W$1,DATA!$A$3:$F$301,3,FALSE)-VLOOKUP($A81,DATA!$A$3:$F$301,3,FALSE))^2),"")</f>
        <v/>
      </c>
      <c r="X81" s="14" t="str">
        <f>_xlfn.IFNA(SQRT((VLOOKUP(X$1,DATA!$A$3:$F$301,2,FALSE)-VLOOKUP($A81,DATA!$A$3:$F$301,2,FALSE))^2+(VLOOKUP(X$1,DATA!$A$3:$F$301,3,FALSE)-VLOOKUP($A81,DATA!$A$3:$F$301,3,FALSE))^2),"")</f>
        <v/>
      </c>
      <c r="Y81" s="14" t="str">
        <f>_xlfn.IFNA(SQRT((VLOOKUP(Y$1,DATA!$A$3:$F$301,2,FALSE)-VLOOKUP($A81,DATA!$A$3:$F$301,2,FALSE))^2+(VLOOKUP(Y$1,DATA!$A$3:$F$301,3,FALSE)-VLOOKUP($A81,DATA!$A$3:$F$301,3,FALSE))^2),"")</f>
        <v/>
      </c>
      <c r="Z81" s="14" t="str">
        <f>_xlfn.IFNA(SQRT((VLOOKUP(Z$1,DATA!$A$3:$F$301,2,FALSE)-VLOOKUP($A81,DATA!$A$3:$F$301,2,FALSE))^2+(VLOOKUP(Z$1,DATA!$A$3:$F$301,3,FALSE)-VLOOKUP($A81,DATA!$A$3:$F$301,3,FALSE))^2),"")</f>
        <v/>
      </c>
      <c r="AA81" s="14" t="str">
        <f>_xlfn.IFNA(SQRT((VLOOKUP(AA$1,DATA!$A$3:$F$301,2,FALSE)-VLOOKUP($A81,DATA!$A$3:$F$301,2,FALSE))^2+(VLOOKUP(AA$1,DATA!$A$3:$F$301,3,FALSE)-VLOOKUP($A81,DATA!$A$3:$F$301,3,FALSE))^2),"")</f>
        <v/>
      </c>
      <c r="AB81" s="14" t="str">
        <f>_xlfn.IFNA(SQRT((VLOOKUP(AB$1,DATA!$A$3:$F$301,2,FALSE)-VLOOKUP($A81,DATA!$A$3:$F$301,2,FALSE))^2+(VLOOKUP(AB$1,DATA!$A$3:$F$301,3,FALSE)-VLOOKUP($A81,DATA!$A$3:$F$301,3,FALSE))^2),"")</f>
        <v/>
      </c>
      <c r="AC81" s="14" t="str">
        <f>_xlfn.IFNA(SQRT((VLOOKUP(AC$1,DATA!$A$3:$F$301,2,FALSE)-VLOOKUP($A81,DATA!$A$3:$F$301,2,FALSE))^2+(VLOOKUP(AC$1,DATA!$A$3:$F$301,3,FALSE)-VLOOKUP($A81,DATA!$A$3:$F$301,3,FALSE))^2),"")</f>
        <v/>
      </c>
      <c r="AD81" s="14" t="str">
        <f>_xlfn.IFNA(SQRT((VLOOKUP(AD$1,DATA!$A$3:$F$301,2,FALSE)-VLOOKUP($A81,DATA!$A$3:$F$301,2,FALSE))^2+(VLOOKUP(AD$1,DATA!$A$3:$F$301,3,FALSE)-VLOOKUP($A81,DATA!$A$3:$F$301,3,FALSE))^2),"")</f>
        <v/>
      </c>
      <c r="AE81" s="14" t="str">
        <f>_xlfn.IFNA(SQRT((VLOOKUP(AE$1,DATA!$A$3:$F$301,2,FALSE)-VLOOKUP($A81,DATA!$A$3:$F$301,2,FALSE))^2+(VLOOKUP(AE$1,DATA!$A$3:$F$301,3,FALSE)-VLOOKUP($A81,DATA!$A$3:$F$301,3,FALSE))^2),"")</f>
        <v/>
      </c>
      <c r="AF81" s="14" t="str">
        <f>_xlfn.IFNA(SQRT((VLOOKUP(AF$1,DATA!$A$3:$F$301,2,FALSE)-VLOOKUP($A81,DATA!$A$3:$F$301,2,FALSE))^2+(VLOOKUP(AF$1,DATA!$A$3:$F$301,3,FALSE)-VLOOKUP($A81,DATA!$A$3:$F$301,3,FALSE))^2),"")</f>
        <v/>
      </c>
      <c r="AG81" s="14" t="str">
        <f>_xlfn.IFNA(SQRT((VLOOKUP(AG$1,DATA!$A$3:$F$301,2,FALSE)-VLOOKUP($A81,DATA!$A$3:$F$301,2,FALSE))^2+(VLOOKUP(AG$1,DATA!$A$3:$F$301,3,FALSE)-VLOOKUP($A81,DATA!$A$3:$F$301,3,FALSE))^2),"")</f>
        <v/>
      </c>
      <c r="AH81" s="14" t="str">
        <f>_xlfn.IFNA(SQRT((VLOOKUP(AH$1,DATA!$A$3:$F$301,2,FALSE)-VLOOKUP($A81,DATA!$A$3:$F$301,2,FALSE))^2+(VLOOKUP(AH$1,DATA!$A$3:$F$301,3,FALSE)-VLOOKUP($A81,DATA!$A$3:$F$301,3,FALSE))^2),"")</f>
        <v/>
      </c>
      <c r="AI81" s="14" t="str">
        <f>_xlfn.IFNA(SQRT((VLOOKUP(AI$1,DATA!$A$3:$F$301,2,FALSE)-VLOOKUP($A81,DATA!$A$3:$F$301,2,FALSE))^2+(VLOOKUP(AI$1,DATA!$A$3:$F$301,3,FALSE)-VLOOKUP($A81,DATA!$A$3:$F$301,3,FALSE))^2),"")</f>
        <v/>
      </c>
      <c r="AJ81" s="14" t="str">
        <f>_xlfn.IFNA(SQRT((VLOOKUP(AJ$1,DATA!$A$3:$F$301,2,FALSE)-VLOOKUP($A81,DATA!$A$3:$F$301,2,FALSE))^2+(VLOOKUP(AJ$1,DATA!$A$3:$F$301,3,FALSE)-VLOOKUP($A81,DATA!$A$3:$F$301,3,FALSE))^2),"")</f>
        <v/>
      </c>
      <c r="AK81" s="14" t="str">
        <f>_xlfn.IFNA(SQRT((VLOOKUP(AK$1,DATA!$A$3:$F$301,2,FALSE)-VLOOKUP($A81,DATA!$A$3:$F$301,2,FALSE))^2+(VLOOKUP(AK$1,DATA!$A$3:$F$301,3,FALSE)-VLOOKUP($A81,DATA!$A$3:$F$301,3,FALSE))^2),"")</f>
        <v/>
      </c>
      <c r="AL81" s="14" t="str">
        <f>_xlfn.IFNA(SQRT((VLOOKUP(AL$1,DATA!$A$3:$F$301,2,FALSE)-VLOOKUP($A81,DATA!$A$3:$F$301,2,FALSE))^2+(VLOOKUP(AL$1,DATA!$A$3:$F$301,3,FALSE)-VLOOKUP($A81,DATA!$A$3:$F$301,3,FALSE))^2),"")</f>
        <v/>
      </c>
      <c r="AM81" s="14" t="str">
        <f>_xlfn.IFNA(SQRT((VLOOKUP(AM$1,DATA!$A$3:$F$301,2,FALSE)-VLOOKUP($A81,DATA!$A$3:$F$301,2,FALSE))^2+(VLOOKUP(AM$1,DATA!$A$3:$F$301,3,FALSE)-VLOOKUP($A81,DATA!$A$3:$F$301,3,FALSE))^2),"")</f>
        <v/>
      </c>
      <c r="AN81" s="14" t="str">
        <f>_xlfn.IFNA(SQRT((VLOOKUP(AN$1,DATA!$A$3:$F$301,2,FALSE)-VLOOKUP($A81,DATA!$A$3:$F$301,2,FALSE))^2+(VLOOKUP(AN$1,DATA!$A$3:$F$301,3,FALSE)-VLOOKUP($A81,DATA!$A$3:$F$301,3,FALSE))^2),"")</f>
        <v/>
      </c>
      <c r="AO81" s="14" t="str">
        <f>_xlfn.IFNA(SQRT((VLOOKUP(AO$1,DATA!$A$3:$F$301,2,FALSE)-VLOOKUP($A81,DATA!$A$3:$F$301,2,FALSE))^2+(VLOOKUP(AO$1,DATA!$A$3:$F$301,3,FALSE)-VLOOKUP($A81,DATA!$A$3:$F$301,3,FALSE))^2),"")</f>
        <v/>
      </c>
      <c r="AP81" s="14" t="str">
        <f>_xlfn.IFNA(SQRT((VLOOKUP(AP$1,DATA!$A$3:$F$301,2,FALSE)-VLOOKUP($A81,DATA!$A$3:$F$301,2,FALSE))^2+(VLOOKUP(AP$1,DATA!$A$3:$F$301,3,FALSE)-VLOOKUP($A81,DATA!$A$3:$F$301,3,FALSE))^2),"")</f>
        <v/>
      </c>
      <c r="AQ81" s="14" t="str">
        <f>_xlfn.IFNA(SQRT((VLOOKUP(AQ$1,DATA!$A$3:$F$301,2,FALSE)-VLOOKUP($A81,DATA!$A$3:$F$301,2,FALSE))^2+(VLOOKUP(AQ$1,DATA!$A$3:$F$301,3,FALSE)-VLOOKUP($A81,DATA!$A$3:$F$301,3,FALSE))^2),"")</f>
        <v/>
      </c>
      <c r="AR81" s="14" t="str">
        <f>_xlfn.IFNA(SQRT((VLOOKUP(AR$1,DATA!$A$3:$F$301,2,FALSE)-VLOOKUP($A81,DATA!$A$3:$F$301,2,FALSE))^2+(VLOOKUP(AR$1,DATA!$A$3:$F$301,3,FALSE)-VLOOKUP($A81,DATA!$A$3:$F$301,3,FALSE))^2),"")</f>
        <v/>
      </c>
      <c r="AS81" s="14" t="str">
        <f>_xlfn.IFNA(SQRT((VLOOKUP(AS$1,DATA!$A$3:$F$301,2,FALSE)-VLOOKUP($A81,DATA!$A$3:$F$301,2,FALSE))^2+(VLOOKUP(AS$1,DATA!$A$3:$F$301,3,FALSE)-VLOOKUP($A81,DATA!$A$3:$F$301,3,FALSE))^2),"")</f>
        <v/>
      </c>
      <c r="AT81" s="14" t="str">
        <f>_xlfn.IFNA(SQRT((VLOOKUP(AT$1,DATA!$A$3:$F$301,2,FALSE)-VLOOKUP($A81,DATA!$A$3:$F$301,2,FALSE))^2+(VLOOKUP(AT$1,DATA!$A$3:$F$301,3,FALSE)-VLOOKUP($A81,DATA!$A$3:$F$301,3,FALSE))^2),"")</f>
        <v/>
      </c>
      <c r="AU81" s="14" t="str">
        <f>_xlfn.IFNA(SQRT((VLOOKUP(AU$1,DATA!$A$3:$F$301,2,FALSE)-VLOOKUP($A81,DATA!$A$3:$F$301,2,FALSE))^2+(VLOOKUP(AU$1,DATA!$A$3:$F$301,3,FALSE)-VLOOKUP($A81,DATA!$A$3:$F$301,3,FALSE))^2),"")</f>
        <v/>
      </c>
      <c r="AV81" s="14" t="str">
        <f>_xlfn.IFNA(SQRT((VLOOKUP(AV$1,DATA!$A$3:$F$301,2,FALSE)-VLOOKUP($A81,DATA!$A$3:$F$301,2,FALSE))^2+(VLOOKUP(AV$1,DATA!$A$3:$F$301,3,FALSE)-VLOOKUP($A81,DATA!$A$3:$F$301,3,FALSE))^2),"")</f>
        <v/>
      </c>
      <c r="AW81" s="14" t="str">
        <f>_xlfn.IFNA(SQRT((VLOOKUP(AW$1,DATA!$A$3:$F$301,2,FALSE)-VLOOKUP($A81,DATA!$A$3:$F$301,2,FALSE))^2+(VLOOKUP(AW$1,DATA!$A$3:$F$301,3,FALSE)-VLOOKUP($A81,DATA!$A$3:$F$301,3,FALSE))^2),"")</f>
        <v/>
      </c>
      <c r="AX81" s="14" t="str">
        <f>_xlfn.IFNA(SQRT((VLOOKUP(AX$1,DATA!$A$3:$F$301,2,FALSE)-VLOOKUP($A81,DATA!$A$3:$F$301,2,FALSE))^2+(VLOOKUP(AX$1,DATA!$A$3:$F$301,3,FALSE)-VLOOKUP($A81,DATA!$A$3:$F$301,3,FALSE))^2),"")</f>
        <v/>
      </c>
      <c r="AY81" s="14" t="str">
        <f>_xlfn.IFNA(SQRT((VLOOKUP(AY$1,DATA!$A$3:$F$301,2,FALSE)-VLOOKUP($A81,DATA!$A$3:$F$301,2,FALSE))^2+(VLOOKUP(AY$1,DATA!$A$3:$F$301,3,FALSE)-VLOOKUP($A81,DATA!$A$3:$F$301,3,FALSE))^2),"")</f>
        <v/>
      </c>
      <c r="AZ81" s="14" t="str">
        <f>_xlfn.IFNA(SQRT((VLOOKUP(AZ$1,DATA!$A$3:$F$301,2,FALSE)-VLOOKUP($A81,DATA!$A$3:$F$301,2,FALSE))^2+(VLOOKUP(AZ$1,DATA!$A$3:$F$301,3,FALSE)-VLOOKUP($A81,DATA!$A$3:$F$301,3,FALSE))^2),"")</f>
        <v/>
      </c>
      <c r="BA81" s="14" t="str">
        <f>_xlfn.IFNA(SQRT((VLOOKUP(BA$1,DATA!$A$3:$F$301,2,FALSE)-VLOOKUP($A81,DATA!$A$3:$F$301,2,FALSE))^2+(VLOOKUP(BA$1,DATA!$A$3:$F$301,3,FALSE)-VLOOKUP($A81,DATA!$A$3:$F$301,3,FALSE))^2),"")</f>
        <v/>
      </c>
      <c r="BB81" s="14" t="str">
        <f>_xlfn.IFNA(SQRT((VLOOKUP(BB$1,DATA!$A$3:$F$301,2,FALSE)-VLOOKUP($A81,DATA!$A$3:$F$301,2,FALSE))^2+(VLOOKUP(BB$1,DATA!$A$3:$F$301,3,FALSE)-VLOOKUP($A81,DATA!$A$3:$F$301,3,FALSE))^2),"")</f>
        <v/>
      </c>
      <c r="BC81" s="14" t="str">
        <f>_xlfn.IFNA(SQRT((VLOOKUP(BC$1,DATA!$A$3:$F$301,2,FALSE)-VLOOKUP($A81,DATA!$A$3:$F$301,2,FALSE))^2+(VLOOKUP(BC$1,DATA!$A$3:$F$301,3,FALSE)-VLOOKUP($A81,DATA!$A$3:$F$301,3,FALSE))^2),"")</f>
        <v/>
      </c>
      <c r="BD81" s="14" t="str">
        <f>_xlfn.IFNA(SQRT((VLOOKUP(BD$1,DATA!$A$3:$F$301,2,FALSE)-VLOOKUP($A81,DATA!$A$3:$F$301,2,FALSE))^2+(VLOOKUP(BD$1,DATA!$A$3:$F$301,3,FALSE)-VLOOKUP($A81,DATA!$A$3:$F$301,3,FALSE))^2),"")</f>
        <v/>
      </c>
      <c r="BE81" s="14" t="str">
        <f>_xlfn.IFNA(SQRT((VLOOKUP(BE$1,DATA!$A$3:$F$301,2,FALSE)-VLOOKUP($A81,DATA!$A$3:$F$301,2,FALSE))^2+(VLOOKUP(BE$1,DATA!$A$3:$F$301,3,FALSE)-VLOOKUP($A81,DATA!$A$3:$F$301,3,FALSE))^2),"")</f>
        <v/>
      </c>
      <c r="BF81" s="14" t="str">
        <f>_xlfn.IFNA(SQRT((VLOOKUP(BF$1,DATA!$A$3:$F$301,2,FALSE)-VLOOKUP($A81,DATA!$A$3:$F$301,2,FALSE))^2+(VLOOKUP(BF$1,DATA!$A$3:$F$301,3,FALSE)-VLOOKUP($A81,DATA!$A$3:$F$301,3,FALSE))^2),"")</f>
        <v/>
      </c>
      <c r="BG81" s="14" t="str">
        <f>_xlfn.IFNA(SQRT((VLOOKUP(BG$1,DATA!$A$3:$F$301,2,FALSE)-VLOOKUP($A81,DATA!$A$3:$F$301,2,FALSE))^2+(VLOOKUP(BG$1,DATA!$A$3:$F$301,3,FALSE)-VLOOKUP($A81,DATA!$A$3:$F$301,3,FALSE))^2),"")</f>
        <v/>
      </c>
      <c r="BH81" s="14" t="str">
        <f>_xlfn.IFNA(SQRT((VLOOKUP(BH$1,DATA!$A$3:$F$301,2,FALSE)-VLOOKUP($A81,DATA!$A$3:$F$301,2,FALSE))^2+(VLOOKUP(BH$1,DATA!$A$3:$F$301,3,FALSE)-VLOOKUP($A81,DATA!$A$3:$F$301,3,FALSE))^2),"")</f>
        <v/>
      </c>
      <c r="BI81" s="14" t="str">
        <f>_xlfn.IFNA(SQRT((VLOOKUP(BI$1,DATA!$A$3:$F$301,2,FALSE)-VLOOKUP($A81,DATA!$A$3:$F$301,2,FALSE))^2+(VLOOKUP(BI$1,DATA!$A$3:$F$301,3,FALSE)-VLOOKUP($A81,DATA!$A$3:$F$301,3,FALSE))^2),"")</f>
        <v/>
      </c>
      <c r="BJ81" s="14" t="str">
        <f>_xlfn.IFNA(SQRT((VLOOKUP(BJ$1,DATA!$A$3:$F$301,2,FALSE)-VLOOKUP($A81,DATA!$A$3:$F$301,2,FALSE))^2+(VLOOKUP(BJ$1,DATA!$A$3:$F$301,3,FALSE)-VLOOKUP($A81,DATA!$A$3:$F$301,3,FALSE))^2),"")</f>
        <v/>
      </c>
      <c r="BK81" s="14" t="str">
        <f>_xlfn.IFNA(SQRT((VLOOKUP(BK$1,DATA!$A$3:$F$301,2,FALSE)-VLOOKUP($A81,DATA!$A$3:$F$301,2,FALSE))^2+(VLOOKUP(BK$1,DATA!$A$3:$F$301,3,FALSE)-VLOOKUP($A81,DATA!$A$3:$F$301,3,FALSE))^2),"")</f>
        <v/>
      </c>
      <c r="BL81" s="14" t="str">
        <f>_xlfn.IFNA(SQRT((VLOOKUP(BL$1,DATA!$A$3:$F$301,2,FALSE)-VLOOKUP($A81,DATA!$A$3:$F$301,2,FALSE))^2+(VLOOKUP(BL$1,DATA!$A$3:$F$301,3,FALSE)-VLOOKUP($A81,DATA!$A$3:$F$301,3,FALSE))^2),"")</f>
        <v/>
      </c>
      <c r="BM81" s="14" t="str">
        <f>_xlfn.IFNA(SQRT((VLOOKUP(BM$1,DATA!$A$3:$F$301,2,FALSE)-VLOOKUP($A81,DATA!$A$3:$F$301,2,FALSE))^2+(VLOOKUP(BM$1,DATA!$A$3:$F$301,3,FALSE)-VLOOKUP($A81,DATA!$A$3:$F$301,3,FALSE))^2),"")</f>
        <v/>
      </c>
      <c r="BN81" s="14" t="str">
        <f>_xlfn.IFNA(SQRT((VLOOKUP(BN$1,DATA!$A$3:$F$301,2,FALSE)-VLOOKUP($A81,DATA!$A$3:$F$301,2,FALSE))^2+(VLOOKUP(BN$1,DATA!$A$3:$F$301,3,FALSE)-VLOOKUP($A81,DATA!$A$3:$F$301,3,FALSE))^2),"")</f>
        <v/>
      </c>
      <c r="BO81" s="14" t="str">
        <f>_xlfn.IFNA(SQRT((VLOOKUP(BO$1,DATA!$A$3:$F$301,2,FALSE)-VLOOKUP($A81,DATA!$A$3:$F$301,2,FALSE))^2+(VLOOKUP(BO$1,DATA!$A$3:$F$301,3,FALSE)-VLOOKUP($A81,DATA!$A$3:$F$301,3,FALSE))^2),"")</f>
        <v/>
      </c>
      <c r="BP81" s="14" t="str">
        <f>_xlfn.IFNA(SQRT((VLOOKUP(BP$1,DATA!$A$3:$F$301,2,FALSE)-VLOOKUP($A81,DATA!$A$3:$F$301,2,FALSE))^2+(VLOOKUP(BP$1,DATA!$A$3:$F$301,3,FALSE)-VLOOKUP($A81,DATA!$A$3:$F$301,3,FALSE))^2),"")</f>
        <v/>
      </c>
      <c r="BQ81" s="14" t="str">
        <f>_xlfn.IFNA(SQRT((VLOOKUP(BQ$1,DATA!$A$3:$F$301,2,FALSE)-VLOOKUP($A81,DATA!$A$3:$F$301,2,FALSE))^2+(VLOOKUP(BQ$1,DATA!$A$3:$F$301,3,FALSE)-VLOOKUP($A81,DATA!$A$3:$F$301,3,FALSE))^2),"")</f>
        <v/>
      </c>
      <c r="BR81" s="14" t="str">
        <f>_xlfn.IFNA(SQRT((VLOOKUP(BR$1,DATA!$A$3:$F$301,2,FALSE)-VLOOKUP($A81,DATA!$A$3:$F$301,2,FALSE))^2+(VLOOKUP(BR$1,DATA!$A$3:$F$301,3,FALSE)-VLOOKUP($A81,DATA!$A$3:$F$301,3,FALSE))^2),"")</f>
        <v/>
      </c>
      <c r="BS81" s="14" t="str">
        <f>_xlfn.IFNA(SQRT((VLOOKUP(BS$1,DATA!$A$3:$F$301,2,FALSE)-VLOOKUP($A81,DATA!$A$3:$F$301,2,FALSE))^2+(VLOOKUP(BS$1,DATA!$A$3:$F$301,3,FALSE)-VLOOKUP($A81,DATA!$A$3:$F$301,3,FALSE))^2),"")</f>
        <v/>
      </c>
      <c r="BT81" s="14" t="str">
        <f>_xlfn.IFNA(SQRT((VLOOKUP(BT$1,DATA!$A$3:$F$301,2,FALSE)-VLOOKUP($A81,DATA!$A$3:$F$301,2,FALSE))^2+(VLOOKUP(BT$1,DATA!$A$3:$F$301,3,FALSE)-VLOOKUP($A81,DATA!$A$3:$F$301,3,FALSE))^2),"")</f>
        <v/>
      </c>
      <c r="BU81" s="14" t="str">
        <f>_xlfn.IFNA(SQRT((VLOOKUP(BU$1,DATA!$A$3:$F$301,2,FALSE)-VLOOKUP($A81,DATA!$A$3:$F$301,2,FALSE))^2+(VLOOKUP(BU$1,DATA!$A$3:$F$301,3,FALSE)-VLOOKUP($A81,DATA!$A$3:$F$301,3,FALSE))^2),"")</f>
        <v/>
      </c>
      <c r="BV81" s="14" t="str">
        <f>_xlfn.IFNA(SQRT((VLOOKUP(BV$1,DATA!$A$3:$F$301,2,FALSE)-VLOOKUP($A81,DATA!$A$3:$F$301,2,FALSE))^2+(VLOOKUP(BV$1,DATA!$A$3:$F$301,3,FALSE)-VLOOKUP($A81,DATA!$A$3:$F$301,3,FALSE))^2),"")</f>
        <v/>
      </c>
      <c r="BW81" s="14" t="str">
        <f>_xlfn.IFNA(SQRT((VLOOKUP(BW$1,DATA!$A$3:$F$301,2,FALSE)-VLOOKUP($A81,DATA!$A$3:$F$301,2,FALSE))^2+(VLOOKUP(BW$1,DATA!$A$3:$F$301,3,FALSE)-VLOOKUP($A81,DATA!$A$3:$F$301,3,FALSE))^2),"")</f>
        <v/>
      </c>
      <c r="BX81" s="14" t="str">
        <f>_xlfn.IFNA(SQRT((VLOOKUP(BX$1,DATA!$A$3:$F$301,2,FALSE)-VLOOKUP($A81,DATA!$A$3:$F$301,2,FALSE))^2+(VLOOKUP(BX$1,DATA!$A$3:$F$301,3,FALSE)-VLOOKUP($A81,DATA!$A$3:$F$301,3,FALSE))^2),"")</f>
        <v/>
      </c>
      <c r="BY81" s="14" t="str">
        <f>_xlfn.IFNA(SQRT((VLOOKUP(BY$1,DATA!$A$3:$F$301,2,FALSE)-VLOOKUP($A81,DATA!$A$3:$F$301,2,FALSE))^2+(VLOOKUP(BY$1,DATA!$A$3:$F$301,3,FALSE)-VLOOKUP($A81,DATA!$A$3:$F$301,3,FALSE))^2),"")</f>
        <v/>
      </c>
      <c r="BZ81" s="14" t="str">
        <f>_xlfn.IFNA(SQRT((VLOOKUP(BZ$1,DATA!$A$3:$F$301,2,FALSE)-VLOOKUP($A81,DATA!$A$3:$F$301,2,FALSE))^2+(VLOOKUP(BZ$1,DATA!$A$3:$F$301,3,FALSE)-VLOOKUP($A81,DATA!$A$3:$F$301,3,FALSE))^2),"")</f>
        <v/>
      </c>
      <c r="CA81" s="14" t="str">
        <f>_xlfn.IFNA(SQRT((VLOOKUP(CA$1,DATA!$A$3:$F$301,2,FALSE)-VLOOKUP($A81,DATA!$A$3:$F$301,2,FALSE))^2+(VLOOKUP(CA$1,DATA!$A$3:$F$301,3,FALSE)-VLOOKUP($A81,DATA!$A$3:$F$301,3,FALSE))^2),"")</f>
        <v/>
      </c>
      <c r="CB81" s="14" t="str">
        <f>_xlfn.IFNA(SQRT((VLOOKUP(CB$1,DATA!$A$3:$F$301,2,FALSE)-VLOOKUP($A81,DATA!$A$3:$F$301,2,FALSE))^2+(VLOOKUP(CB$1,DATA!$A$3:$F$301,3,FALSE)-VLOOKUP($A81,DATA!$A$3:$F$301,3,FALSE))^2),"")</f>
        <v/>
      </c>
      <c r="CC81" s="14" t="str">
        <f>_xlfn.IFNA(SQRT((VLOOKUP(CC$1,DATA!$A$3:$F$301,2,FALSE)-VLOOKUP($A81,DATA!$A$3:$F$301,2,FALSE))^2+(VLOOKUP(CC$1,DATA!$A$3:$F$301,3,FALSE)-VLOOKUP($A81,DATA!$A$3:$F$301,3,FALSE))^2),"")</f>
        <v/>
      </c>
      <c r="CD81" s="14" t="str">
        <f>_xlfn.IFNA(SQRT((VLOOKUP(CD$1,DATA!$A$3:$F$301,2,FALSE)-VLOOKUP($A81,DATA!$A$3:$F$301,2,FALSE))^2+(VLOOKUP(CD$1,DATA!$A$3:$F$301,3,FALSE)-VLOOKUP($A81,DATA!$A$3:$F$301,3,FALSE))^2),"")</f>
        <v/>
      </c>
      <c r="CE81" s="14" t="str">
        <f>_xlfn.IFNA(SQRT((VLOOKUP(CE$1,DATA!$A$3:$F$301,2,FALSE)-VLOOKUP($A81,DATA!$A$3:$F$301,2,FALSE))^2+(VLOOKUP(CE$1,DATA!$A$3:$F$301,3,FALSE)-VLOOKUP($A81,DATA!$A$3:$F$301,3,FALSE))^2),"")</f>
        <v/>
      </c>
      <c r="CF81" s="14" t="str">
        <f>_xlfn.IFNA(SQRT((VLOOKUP(CF$1,DATA!$A$3:$F$301,2,FALSE)-VLOOKUP($A81,DATA!$A$3:$F$301,2,FALSE))^2+(VLOOKUP(CF$1,DATA!$A$3:$F$301,3,FALSE)-VLOOKUP($A81,DATA!$A$3:$F$301,3,FALSE))^2),"")</f>
        <v/>
      </c>
      <c r="CG81" s="14" t="str">
        <f>_xlfn.IFNA(SQRT((VLOOKUP(CG$1,DATA!$A$3:$F$301,2,FALSE)-VLOOKUP($A81,DATA!$A$3:$F$301,2,FALSE))^2+(VLOOKUP(CG$1,DATA!$A$3:$F$301,3,FALSE)-VLOOKUP($A81,DATA!$A$3:$F$301,3,FALSE))^2),"")</f>
        <v/>
      </c>
      <c r="CH81" s="14" t="str">
        <f>_xlfn.IFNA(SQRT((VLOOKUP(CH$1,DATA!$A$3:$F$301,2,FALSE)-VLOOKUP($A81,DATA!$A$3:$F$301,2,FALSE))^2+(VLOOKUP(CH$1,DATA!$A$3:$F$301,3,FALSE)-VLOOKUP($A81,DATA!$A$3:$F$301,3,FALSE))^2),"")</f>
        <v/>
      </c>
      <c r="CI81" s="14" t="str">
        <f>_xlfn.IFNA(SQRT((VLOOKUP(CI$1,DATA!$A$3:$F$301,2,FALSE)-VLOOKUP($A81,DATA!$A$3:$F$301,2,FALSE))^2+(VLOOKUP(CI$1,DATA!$A$3:$F$301,3,FALSE)-VLOOKUP($A81,DATA!$A$3:$F$301,3,FALSE))^2),"")</f>
        <v/>
      </c>
      <c r="CJ81" s="14" t="str">
        <f>_xlfn.IFNA(SQRT((VLOOKUP(CJ$1,DATA!$A$3:$F$301,2,FALSE)-VLOOKUP($A81,DATA!$A$3:$F$301,2,FALSE))^2+(VLOOKUP(CJ$1,DATA!$A$3:$F$301,3,FALSE)-VLOOKUP($A81,DATA!$A$3:$F$301,3,FALSE))^2),"")</f>
        <v/>
      </c>
      <c r="CK81" s="14" t="str">
        <f>_xlfn.IFNA(SQRT((VLOOKUP(CK$1,DATA!$A$3:$F$301,2,FALSE)-VLOOKUP($A81,DATA!$A$3:$F$301,2,FALSE))^2+(VLOOKUP(CK$1,DATA!$A$3:$F$301,3,FALSE)-VLOOKUP($A81,DATA!$A$3:$F$301,3,FALSE))^2),"")</f>
        <v/>
      </c>
      <c r="CL81" s="14" t="str">
        <f>_xlfn.IFNA(SQRT((VLOOKUP(CL$1,DATA!$A$3:$F$301,2,FALSE)-VLOOKUP($A81,DATA!$A$3:$F$301,2,FALSE))^2+(VLOOKUP(CL$1,DATA!$A$3:$F$301,3,FALSE)-VLOOKUP($A81,DATA!$A$3:$F$301,3,FALSE))^2),"")</f>
        <v/>
      </c>
      <c r="CM81" s="14" t="str">
        <f>_xlfn.IFNA(SQRT((VLOOKUP(CM$1,DATA!$A$3:$F$301,2,FALSE)-VLOOKUP($A81,DATA!$A$3:$F$301,2,FALSE))^2+(VLOOKUP(CM$1,DATA!$A$3:$F$301,3,FALSE)-VLOOKUP($A81,DATA!$A$3:$F$301,3,FALSE))^2),"")</f>
        <v/>
      </c>
      <c r="CN81" s="14" t="str">
        <f>_xlfn.IFNA(SQRT((VLOOKUP(CN$1,DATA!$A$3:$F$301,2,FALSE)-VLOOKUP($A81,DATA!$A$3:$F$301,2,FALSE))^2+(VLOOKUP(CN$1,DATA!$A$3:$F$301,3,FALSE)-VLOOKUP($A81,DATA!$A$3:$F$301,3,FALSE))^2),"")</f>
        <v/>
      </c>
      <c r="CO81" s="14" t="str">
        <f>_xlfn.IFNA(SQRT((VLOOKUP(CO$1,DATA!$A$3:$F$301,2,FALSE)-VLOOKUP($A81,DATA!$A$3:$F$301,2,FALSE))^2+(VLOOKUP(CO$1,DATA!$A$3:$F$301,3,FALSE)-VLOOKUP($A81,DATA!$A$3:$F$301,3,FALSE))^2),"")</f>
        <v/>
      </c>
      <c r="CP81" s="14" t="str">
        <f>_xlfn.IFNA(SQRT((VLOOKUP(CP$1,DATA!$A$3:$F$301,2,FALSE)-VLOOKUP($A81,DATA!$A$3:$F$301,2,FALSE))^2+(VLOOKUP(CP$1,DATA!$A$3:$F$301,3,FALSE)-VLOOKUP($A81,DATA!$A$3:$F$301,3,FALSE))^2),"")</f>
        <v/>
      </c>
      <c r="CQ81" s="14" t="str">
        <f>_xlfn.IFNA(SQRT((VLOOKUP(CQ$1,DATA!$A$3:$F$301,2,FALSE)-VLOOKUP($A81,DATA!$A$3:$F$301,2,FALSE))^2+(VLOOKUP(CQ$1,DATA!$A$3:$F$301,3,FALSE)-VLOOKUP($A81,DATA!$A$3:$F$301,3,FALSE))^2),"")</f>
        <v/>
      </c>
      <c r="CR81" s="14" t="str">
        <f>_xlfn.IFNA(SQRT((VLOOKUP(CR$1,DATA!$A$3:$F$301,2,FALSE)-VLOOKUP($A81,DATA!$A$3:$F$301,2,FALSE))^2+(VLOOKUP(CR$1,DATA!$A$3:$F$301,3,FALSE)-VLOOKUP($A81,DATA!$A$3:$F$301,3,FALSE))^2),"")</f>
        <v/>
      </c>
      <c r="CS81" s="14" t="str">
        <f>_xlfn.IFNA(SQRT((VLOOKUP(CS$1,DATA!$A$3:$F$301,2,FALSE)-VLOOKUP($A81,DATA!$A$3:$F$301,2,FALSE))^2+(VLOOKUP(CS$1,DATA!$A$3:$F$301,3,FALSE)-VLOOKUP($A81,DATA!$A$3:$F$301,3,FALSE))^2),"")</f>
        <v/>
      </c>
      <c r="CT81" s="14" t="str">
        <f>_xlfn.IFNA(SQRT((VLOOKUP(CT$1,DATA!$A$3:$F$301,2,FALSE)-VLOOKUP($A81,DATA!$A$3:$F$301,2,FALSE))^2+(VLOOKUP(CT$1,DATA!$A$3:$F$301,3,FALSE)-VLOOKUP($A81,DATA!$A$3:$F$301,3,FALSE))^2),"")</f>
        <v/>
      </c>
      <c r="CU81" s="14" t="str">
        <f>_xlfn.IFNA(SQRT((VLOOKUP(CU$1,DATA!$A$3:$F$301,2,FALSE)-VLOOKUP($A81,DATA!$A$3:$F$301,2,FALSE))^2+(VLOOKUP(CU$1,DATA!$A$3:$F$301,3,FALSE)-VLOOKUP($A81,DATA!$A$3:$F$301,3,FALSE))^2),"")</f>
        <v/>
      </c>
      <c r="CV81" s="14" t="str">
        <f>_xlfn.IFNA(SQRT((VLOOKUP(CV$1,DATA!$A$3:$F$301,2,FALSE)-VLOOKUP($A81,DATA!$A$3:$F$301,2,FALSE))^2+(VLOOKUP(CV$1,DATA!$A$3:$F$301,3,FALSE)-VLOOKUP($A81,DATA!$A$3:$F$301,3,FALSE))^2),"")</f>
        <v/>
      </c>
      <c r="CW81" s="14" t="str">
        <f>_xlfn.IFNA(SQRT((VLOOKUP(CW$1,DATA!$A$3:$F$301,2,FALSE)-VLOOKUP($A81,DATA!$A$3:$F$301,2,FALSE))^2+(VLOOKUP(CW$1,DATA!$A$3:$F$301,3,FALSE)-VLOOKUP($A81,DATA!$A$3:$F$301,3,FALSE))^2),"")</f>
        <v/>
      </c>
      <c r="CX81" s="14" t="str">
        <f>_xlfn.IFNA(SQRT((VLOOKUP(CX$1,DATA!$A$3:$F$301,2,FALSE)-VLOOKUP($A81,DATA!$A$3:$F$301,2,FALSE))^2+(VLOOKUP(CX$1,DATA!$A$3:$F$301,3,FALSE)-VLOOKUP($A81,DATA!$A$3:$F$301,3,FALSE))^2),"")</f>
        <v/>
      </c>
    </row>
    <row r="82" spans="1:102">
      <c r="A82" s="13">
        <v>81</v>
      </c>
      <c r="B82" s="14" t="str">
        <f>_xlfn.IFNA(SQRT((VLOOKUP(B$1,DATA!$A$3:$F$301,2,FALSE)-VLOOKUP($A82,DATA!$A$3:$F$301,2,FALSE))^2+(VLOOKUP(B$1,DATA!$A$3:$F$301,3,FALSE)-VLOOKUP($A82,DATA!$A$3:$F$301,3,FALSE))^2),"")</f>
        <v/>
      </c>
      <c r="C82" s="14" t="str">
        <f>_xlfn.IFNA(SQRT((VLOOKUP(C$1,DATA!$A$3:$F$301,2,FALSE)-VLOOKUP($A82,DATA!$A$3:$F$301,2,FALSE))^2+(VLOOKUP(C$1,DATA!$A$3:$F$301,3,FALSE)-VLOOKUP($A82,DATA!$A$3:$F$301,3,FALSE))^2),"")</f>
        <v/>
      </c>
      <c r="D82" s="14" t="str">
        <f>_xlfn.IFNA(SQRT((VLOOKUP(D$1,DATA!$A$3:$F$301,2,FALSE)-VLOOKUP($A82,DATA!$A$3:$F$301,2,FALSE))^2+(VLOOKUP(D$1,DATA!$A$3:$F$301,3,FALSE)-VLOOKUP($A82,DATA!$A$3:$F$301,3,FALSE))^2),"")</f>
        <v/>
      </c>
      <c r="E82" s="14" t="str">
        <f>_xlfn.IFNA(SQRT((VLOOKUP(E$1,DATA!$A$3:$F$301,2,FALSE)-VLOOKUP($A82,DATA!$A$3:$F$301,2,FALSE))^2+(VLOOKUP(E$1,DATA!$A$3:$F$301,3,FALSE)-VLOOKUP($A82,DATA!$A$3:$F$301,3,FALSE))^2),"")</f>
        <v/>
      </c>
      <c r="F82" s="14" t="str">
        <f>_xlfn.IFNA(SQRT((VLOOKUP(F$1,DATA!$A$3:$F$301,2,FALSE)-VLOOKUP($A82,DATA!$A$3:$F$301,2,FALSE))^2+(VLOOKUP(F$1,DATA!$A$3:$F$301,3,FALSE)-VLOOKUP($A82,DATA!$A$3:$F$301,3,FALSE))^2),"")</f>
        <v/>
      </c>
      <c r="G82" s="14" t="str">
        <f>_xlfn.IFNA(SQRT((VLOOKUP(G$1,DATA!$A$3:$F$301,2,FALSE)-VLOOKUP($A82,DATA!$A$3:$F$301,2,FALSE))^2+(VLOOKUP(G$1,DATA!$A$3:$F$301,3,FALSE)-VLOOKUP($A82,DATA!$A$3:$F$301,3,FALSE))^2),"")</f>
        <v/>
      </c>
      <c r="H82" s="14" t="str">
        <f>_xlfn.IFNA(SQRT((VLOOKUP(H$1,DATA!$A$3:$F$301,2,FALSE)-VLOOKUP($A82,DATA!$A$3:$F$301,2,FALSE))^2+(VLOOKUP(H$1,DATA!$A$3:$F$301,3,FALSE)-VLOOKUP($A82,DATA!$A$3:$F$301,3,FALSE))^2),"")</f>
        <v/>
      </c>
      <c r="I82" s="14" t="str">
        <f>_xlfn.IFNA(SQRT((VLOOKUP(I$1,DATA!$A$3:$F$301,2,FALSE)-VLOOKUP($A82,DATA!$A$3:$F$301,2,FALSE))^2+(VLOOKUP(I$1,DATA!$A$3:$F$301,3,FALSE)-VLOOKUP($A82,DATA!$A$3:$F$301,3,FALSE))^2),"")</f>
        <v/>
      </c>
      <c r="J82" s="14" t="str">
        <f>_xlfn.IFNA(SQRT((VLOOKUP(J$1,DATA!$A$3:$F$301,2,FALSE)-VLOOKUP($A82,DATA!$A$3:$F$301,2,FALSE))^2+(VLOOKUP(J$1,DATA!$A$3:$F$301,3,FALSE)-VLOOKUP($A82,DATA!$A$3:$F$301,3,FALSE))^2),"")</f>
        <v/>
      </c>
      <c r="K82" s="14" t="str">
        <f>_xlfn.IFNA(SQRT((VLOOKUP(K$1,DATA!$A$3:$F$301,2,FALSE)-VLOOKUP($A82,DATA!$A$3:$F$301,2,FALSE))^2+(VLOOKUP(K$1,DATA!$A$3:$F$301,3,FALSE)-VLOOKUP($A82,DATA!$A$3:$F$301,3,FALSE))^2),"")</f>
        <v/>
      </c>
      <c r="L82" s="14" t="str">
        <f>_xlfn.IFNA(SQRT((VLOOKUP(L$1,DATA!$A$3:$F$301,2,FALSE)-VLOOKUP($A82,DATA!$A$3:$F$301,2,FALSE))^2+(VLOOKUP(L$1,DATA!$A$3:$F$301,3,FALSE)-VLOOKUP($A82,DATA!$A$3:$F$301,3,FALSE))^2),"")</f>
        <v/>
      </c>
      <c r="M82" s="14" t="str">
        <f>_xlfn.IFNA(SQRT((VLOOKUP(M$1,DATA!$A$3:$F$301,2,FALSE)-VLOOKUP($A82,DATA!$A$3:$F$301,2,FALSE))^2+(VLOOKUP(M$1,DATA!$A$3:$F$301,3,FALSE)-VLOOKUP($A82,DATA!$A$3:$F$301,3,FALSE))^2),"")</f>
        <v/>
      </c>
      <c r="N82" s="14" t="str">
        <f>_xlfn.IFNA(SQRT((VLOOKUP(N$1,DATA!$A$3:$F$301,2,FALSE)-VLOOKUP($A82,DATA!$A$3:$F$301,2,FALSE))^2+(VLOOKUP(N$1,DATA!$A$3:$F$301,3,FALSE)-VLOOKUP($A82,DATA!$A$3:$F$301,3,FALSE))^2),"")</f>
        <v/>
      </c>
      <c r="O82" s="14" t="str">
        <f>_xlfn.IFNA(SQRT((VLOOKUP(O$1,DATA!$A$3:$F$301,2,FALSE)-VLOOKUP($A82,DATA!$A$3:$F$301,2,FALSE))^2+(VLOOKUP(O$1,DATA!$A$3:$F$301,3,FALSE)-VLOOKUP($A82,DATA!$A$3:$F$301,3,FALSE))^2),"")</f>
        <v/>
      </c>
      <c r="P82" s="14" t="str">
        <f>_xlfn.IFNA(SQRT((VLOOKUP(P$1,DATA!$A$3:$F$301,2,FALSE)-VLOOKUP($A82,DATA!$A$3:$F$301,2,FALSE))^2+(VLOOKUP(P$1,DATA!$A$3:$F$301,3,FALSE)-VLOOKUP($A82,DATA!$A$3:$F$301,3,FALSE))^2),"")</f>
        <v/>
      </c>
      <c r="Q82" s="14" t="str">
        <f>_xlfn.IFNA(SQRT((VLOOKUP(Q$1,DATA!$A$3:$F$301,2,FALSE)-VLOOKUP($A82,DATA!$A$3:$F$301,2,FALSE))^2+(VLOOKUP(Q$1,DATA!$A$3:$F$301,3,FALSE)-VLOOKUP($A82,DATA!$A$3:$F$301,3,FALSE))^2),"")</f>
        <v/>
      </c>
      <c r="R82" s="14" t="str">
        <f>_xlfn.IFNA(SQRT((VLOOKUP(R$1,DATA!$A$3:$F$301,2,FALSE)-VLOOKUP($A82,DATA!$A$3:$F$301,2,FALSE))^2+(VLOOKUP(R$1,DATA!$A$3:$F$301,3,FALSE)-VLOOKUP($A82,DATA!$A$3:$F$301,3,FALSE))^2),"")</f>
        <v/>
      </c>
      <c r="S82" s="14" t="str">
        <f>_xlfn.IFNA(SQRT((VLOOKUP(S$1,DATA!$A$3:$F$301,2,FALSE)-VLOOKUP($A82,DATA!$A$3:$F$301,2,FALSE))^2+(VLOOKUP(S$1,DATA!$A$3:$F$301,3,FALSE)-VLOOKUP($A82,DATA!$A$3:$F$301,3,FALSE))^2),"")</f>
        <v/>
      </c>
      <c r="T82" s="14" t="str">
        <f>_xlfn.IFNA(SQRT((VLOOKUP(T$1,DATA!$A$3:$F$301,2,FALSE)-VLOOKUP($A82,DATA!$A$3:$F$301,2,FALSE))^2+(VLOOKUP(T$1,DATA!$A$3:$F$301,3,FALSE)-VLOOKUP($A82,DATA!$A$3:$F$301,3,FALSE))^2),"")</f>
        <v/>
      </c>
      <c r="U82" s="14" t="str">
        <f>_xlfn.IFNA(SQRT((VLOOKUP(U$1,DATA!$A$3:$F$301,2,FALSE)-VLOOKUP($A82,DATA!$A$3:$F$301,2,FALSE))^2+(VLOOKUP(U$1,DATA!$A$3:$F$301,3,FALSE)-VLOOKUP($A82,DATA!$A$3:$F$301,3,FALSE))^2),"")</f>
        <v/>
      </c>
      <c r="V82" s="14" t="str">
        <f>_xlfn.IFNA(SQRT((VLOOKUP(V$1,DATA!$A$3:$F$301,2,FALSE)-VLOOKUP($A82,DATA!$A$3:$F$301,2,FALSE))^2+(VLOOKUP(V$1,DATA!$A$3:$F$301,3,FALSE)-VLOOKUP($A82,DATA!$A$3:$F$301,3,FALSE))^2),"")</f>
        <v/>
      </c>
      <c r="W82" s="14" t="str">
        <f>_xlfn.IFNA(SQRT((VLOOKUP(W$1,DATA!$A$3:$F$301,2,FALSE)-VLOOKUP($A82,DATA!$A$3:$F$301,2,FALSE))^2+(VLOOKUP(W$1,DATA!$A$3:$F$301,3,FALSE)-VLOOKUP($A82,DATA!$A$3:$F$301,3,FALSE))^2),"")</f>
        <v/>
      </c>
      <c r="X82" s="14" t="str">
        <f>_xlfn.IFNA(SQRT((VLOOKUP(X$1,DATA!$A$3:$F$301,2,FALSE)-VLOOKUP($A82,DATA!$A$3:$F$301,2,FALSE))^2+(VLOOKUP(X$1,DATA!$A$3:$F$301,3,FALSE)-VLOOKUP($A82,DATA!$A$3:$F$301,3,FALSE))^2),"")</f>
        <v/>
      </c>
      <c r="Y82" s="14" t="str">
        <f>_xlfn.IFNA(SQRT((VLOOKUP(Y$1,DATA!$A$3:$F$301,2,FALSE)-VLOOKUP($A82,DATA!$A$3:$F$301,2,FALSE))^2+(VLOOKUP(Y$1,DATA!$A$3:$F$301,3,FALSE)-VLOOKUP($A82,DATA!$A$3:$F$301,3,FALSE))^2),"")</f>
        <v/>
      </c>
      <c r="Z82" s="14" t="str">
        <f>_xlfn.IFNA(SQRT((VLOOKUP(Z$1,DATA!$A$3:$F$301,2,FALSE)-VLOOKUP($A82,DATA!$A$3:$F$301,2,FALSE))^2+(VLOOKUP(Z$1,DATA!$A$3:$F$301,3,FALSE)-VLOOKUP($A82,DATA!$A$3:$F$301,3,FALSE))^2),"")</f>
        <v/>
      </c>
      <c r="AA82" s="14" t="str">
        <f>_xlfn.IFNA(SQRT((VLOOKUP(AA$1,DATA!$A$3:$F$301,2,FALSE)-VLOOKUP($A82,DATA!$A$3:$F$301,2,FALSE))^2+(VLOOKUP(AA$1,DATA!$A$3:$F$301,3,FALSE)-VLOOKUP($A82,DATA!$A$3:$F$301,3,FALSE))^2),"")</f>
        <v/>
      </c>
      <c r="AB82" s="14" t="str">
        <f>_xlfn.IFNA(SQRT((VLOOKUP(AB$1,DATA!$A$3:$F$301,2,FALSE)-VLOOKUP($A82,DATA!$A$3:$F$301,2,FALSE))^2+(VLOOKUP(AB$1,DATA!$A$3:$F$301,3,FALSE)-VLOOKUP($A82,DATA!$A$3:$F$301,3,FALSE))^2),"")</f>
        <v/>
      </c>
      <c r="AC82" s="14" t="str">
        <f>_xlfn.IFNA(SQRT((VLOOKUP(AC$1,DATA!$A$3:$F$301,2,FALSE)-VLOOKUP($A82,DATA!$A$3:$F$301,2,FALSE))^2+(VLOOKUP(AC$1,DATA!$A$3:$F$301,3,FALSE)-VLOOKUP($A82,DATA!$A$3:$F$301,3,FALSE))^2),"")</f>
        <v/>
      </c>
      <c r="AD82" s="14" t="str">
        <f>_xlfn.IFNA(SQRT((VLOOKUP(AD$1,DATA!$A$3:$F$301,2,FALSE)-VLOOKUP($A82,DATA!$A$3:$F$301,2,FALSE))^2+(VLOOKUP(AD$1,DATA!$A$3:$F$301,3,FALSE)-VLOOKUP($A82,DATA!$A$3:$F$301,3,FALSE))^2),"")</f>
        <v/>
      </c>
      <c r="AE82" s="14" t="str">
        <f>_xlfn.IFNA(SQRT((VLOOKUP(AE$1,DATA!$A$3:$F$301,2,FALSE)-VLOOKUP($A82,DATA!$A$3:$F$301,2,FALSE))^2+(VLOOKUP(AE$1,DATA!$A$3:$F$301,3,FALSE)-VLOOKUP($A82,DATA!$A$3:$F$301,3,FALSE))^2),"")</f>
        <v/>
      </c>
      <c r="AF82" s="14" t="str">
        <f>_xlfn.IFNA(SQRT((VLOOKUP(AF$1,DATA!$A$3:$F$301,2,FALSE)-VLOOKUP($A82,DATA!$A$3:$F$301,2,FALSE))^2+(VLOOKUP(AF$1,DATA!$A$3:$F$301,3,FALSE)-VLOOKUP($A82,DATA!$A$3:$F$301,3,FALSE))^2),"")</f>
        <v/>
      </c>
      <c r="AG82" s="14" t="str">
        <f>_xlfn.IFNA(SQRT((VLOOKUP(AG$1,DATA!$A$3:$F$301,2,FALSE)-VLOOKUP($A82,DATA!$A$3:$F$301,2,FALSE))^2+(VLOOKUP(AG$1,DATA!$A$3:$F$301,3,FALSE)-VLOOKUP($A82,DATA!$A$3:$F$301,3,FALSE))^2),"")</f>
        <v/>
      </c>
      <c r="AH82" s="14" t="str">
        <f>_xlfn.IFNA(SQRT((VLOOKUP(AH$1,DATA!$A$3:$F$301,2,FALSE)-VLOOKUP($A82,DATA!$A$3:$F$301,2,FALSE))^2+(VLOOKUP(AH$1,DATA!$A$3:$F$301,3,FALSE)-VLOOKUP($A82,DATA!$A$3:$F$301,3,FALSE))^2),"")</f>
        <v/>
      </c>
      <c r="AI82" s="14" t="str">
        <f>_xlfn.IFNA(SQRT((VLOOKUP(AI$1,DATA!$A$3:$F$301,2,FALSE)-VLOOKUP($A82,DATA!$A$3:$F$301,2,FALSE))^2+(VLOOKUP(AI$1,DATA!$A$3:$F$301,3,FALSE)-VLOOKUP($A82,DATA!$A$3:$F$301,3,FALSE))^2),"")</f>
        <v/>
      </c>
      <c r="AJ82" s="14" t="str">
        <f>_xlfn.IFNA(SQRT((VLOOKUP(AJ$1,DATA!$A$3:$F$301,2,FALSE)-VLOOKUP($A82,DATA!$A$3:$F$301,2,FALSE))^2+(VLOOKUP(AJ$1,DATA!$A$3:$F$301,3,FALSE)-VLOOKUP($A82,DATA!$A$3:$F$301,3,FALSE))^2),"")</f>
        <v/>
      </c>
      <c r="AK82" s="14" t="str">
        <f>_xlfn.IFNA(SQRT((VLOOKUP(AK$1,DATA!$A$3:$F$301,2,FALSE)-VLOOKUP($A82,DATA!$A$3:$F$301,2,FALSE))^2+(VLOOKUP(AK$1,DATA!$A$3:$F$301,3,FALSE)-VLOOKUP($A82,DATA!$A$3:$F$301,3,FALSE))^2),"")</f>
        <v/>
      </c>
      <c r="AL82" s="14" t="str">
        <f>_xlfn.IFNA(SQRT((VLOOKUP(AL$1,DATA!$A$3:$F$301,2,FALSE)-VLOOKUP($A82,DATA!$A$3:$F$301,2,FALSE))^2+(VLOOKUP(AL$1,DATA!$A$3:$F$301,3,FALSE)-VLOOKUP($A82,DATA!$A$3:$F$301,3,FALSE))^2),"")</f>
        <v/>
      </c>
      <c r="AM82" s="14" t="str">
        <f>_xlfn.IFNA(SQRT((VLOOKUP(AM$1,DATA!$A$3:$F$301,2,FALSE)-VLOOKUP($A82,DATA!$A$3:$F$301,2,FALSE))^2+(VLOOKUP(AM$1,DATA!$A$3:$F$301,3,FALSE)-VLOOKUP($A82,DATA!$A$3:$F$301,3,FALSE))^2),"")</f>
        <v/>
      </c>
      <c r="AN82" s="14" t="str">
        <f>_xlfn.IFNA(SQRT((VLOOKUP(AN$1,DATA!$A$3:$F$301,2,FALSE)-VLOOKUP($A82,DATA!$A$3:$F$301,2,FALSE))^2+(VLOOKUP(AN$1,DATA!$A$3:$F$301,3,FALSE)-VLOOKUP($A82,DATA!$A$3:$F$301,3,FALSE))^2),"")</f>
        <v/>
      </c>
      <c r="AO82" s="14" t="str">
        <f>_xlfn.IFNA(SQRT((VLOOKUP(AO$1,DATA!$A$3:$F$301,2,FALSE)-VLOOKUP($A82,DATA!$A$3:$F$301,2,FALSE))^2+(VLOOKUP(AO$1,DATA!$A$3:$F$301,3,FALSE)-VLOOKUP($A82,DATA!$A$3:$F$301,3,FALSE))^2),"")</f>
        <v/>
      </c>
      <c r="AP82" s="14" t="str">
        <f>_xlfn.IFNA(SQRT((VLOOKUP(AP$1,DATA!$A$3:$F$301,2,FALSE)-VLOOKUP($A82,DATA!$A$3:$F$301,2,FALSE))^2+(VLOOKUP(AP$1,DATA!$A$3:$F$301,3,FALSE)-VLOOKUP($A82,DATA!$A$3:$F$301,3,FALSE))^2),"")</f>
        <v/>
      </c>
      <c r="AQ82" s="14" t="str">
        <f>_xlfn.IFNA(SQRT((VLOOKUP(AQ$1,DATA!$A$3:$F$301,2,FALSE)-VLOOKUP($A82,DATA!$A$3:$F$301,2,FALSE))^2+(VLOOKUP(AQ$1,DATA!$A$3:$F$301,3,FALSE)-VLOOKUP($A82,DATA!$A$3:$F$301,3,FALSE))^2),"")</f>
        <v/>
      </c>
      <c r="AR82" s="14" t="str">
        <f>_xlfn.IFNA(SQRT((VLOOKUP(AR$1,DATA!$A$3:$F$301,2,FALSE)-VLOOKUP($A82,DATA!$A$3:$F$301,2,FALSE))^2+(VLOOKUP(AR$1,DATA!$A$3:$F$301,3,FALSE)-VLOOKUP($A82,DATA!$A$3:$F$301,3,FALSE))^2),"")</f>
        <v/>
      </c>
      <c r="AS82" s="14" t="str">
        <f>_xlfn.IFNA(SQRT((VLOOKUP(AS$1,DATA!$A$3:$F$301,2,FALSE)-VLOOKUP($A82,DATA!$A$3:$F$301,2,FALSE))^2+(VLOOKUP(AS$1,DATA!$A$3:$F$301,3,FALSE)-VLOOKUP($A82,DATA!$A$3:$F$301,3,FALSE))^2),"")</f>
        <v/>
      </c>
      <c r="AT82" s="14" t="str">
        <f>_xlfn.IFNA(SQRT((VLOOKUP(AT$1,DATA!$A$3:$F$301,2,FALSE)-VLOOKUP($A82,DATA!$A$3:$F$301,2,FALSE))^2+(VLOOKUP(AT$1,DATA!$A$3:$F$301,3,FALSE)-VLOOKUP($A82,DATA!$A$3:$F$301,3,FALSE))^2),"")</f>
        <v/>
      </c>
      <c r="AU82" s="14" t="str">
        <f>_xlfn.IFNA(SQRT((VLOOKUP(AU$1,DATA!$A$3:$F$301,2,FALSE)-VLOOKUP($A82,DATA!$A$3:$F$301,2,FALSE))^2+(VLOOKUP(AU$1,DATA!$A$3:$F$301,3,FALSE)-VLOOKUP($A82,DATA!$A$3:$F$301,3,FALSE))^2),"")</f>
        <v/>
      </c>
      <c r="AV82" s="14" t="str">
        <f>_xlfn.IFNA(SQRT((VLOOKUP(AV$1,DATA!$A$3:$F$301,2,FALSE)-VLOOKUP($A82,DATA!$A$3:$F$301,2,FALSE))^2+(VLOOKUP(AV$1,DATA!$A$3:$F$301,3,FALSE)-VLOOKUP($A82,DATA!$A$3:$F$301,3,FALSE))^2),"")</f>
        <v/>
      </c>
      <c r="AW82" s="14" t="str">
        <f>_xlfn.IFNA(SQRT((VLOOKUP(AW$1,DATA!$A$3:$F$301,2,FALSE)-VLOOKUP($A82,DATA!$A$3:$F$301,2,FALSE))^2+(VLOOKUP(AW$1,DATA!$A$3:$F$301,3,FALSE)-VLOOKUP($A82,DATA!$A$3:$F$301,3,FALSE))^2),"")</f>
        <v/>
      </c>
      <c r="AX82" s="14" t="str">
        <f>_xlfn.IFNA(SQRT((VLOOKUP(AX$1,DATA!$A$3:$F$301,2,FALSE)-VLOOKUP($A82,DATA!$A$3:$F$301,2,FALSE))^2+(VLOOKUP(AX$1,DATA!$A$3:$F$301,3,FALSE)-VLOOKUP($A82,DATA!$A$3:$F$301,3,FALSE))^2),"")</f>
        <v/>
      </c>
      <c r="AY82" s="14" t="str">
        <f>_xlfn.IFNA(SQRT((VLOOKUP(AY$1,DATA!$A$3:$F$301,2,FALSE)-VLOOKUP($A82,DATA!$A$3:$F$301,2,FALSE))^2+(VLOOKUP(AY$1,DATA!$A$3:$F$301,3,FALSE)-VLOOKUP($A82,DATA!$A$3:$F$301,3,FALSE))^2),"")</f>
        <v/>
      </c>
      <c r="AZ82" s="14" t="str">
        <f>_xlfn.IFNA(SQRT((VLOOKUP(AZ$1,DATA!$A$3:$F$301,2,FALSE)-VLOOKUP($A82,DATA!$A$3:$F$301,2,FALSE))^2+(VLOOKUP(AZ$1,DATA!$A$3:$F$301,3,FALSE)-VLOOKUP($A82,DATA!$A$3:$F$301,3,FALSE))^2),"")</f>
        <v/>
      </c>
      <c r="BA82" s="14" t="str">
        <f>_xlfn.IFNA(SQRT((VLOOKUP(BA$1,DATA!$A$3:$F$301,2,FALSE)-VLOOKUP($A82,DATA!$A$3:$F$301,2,FALSE))^2+(VLOOKUP(BA$1,DATA!$A$3:$F$301,3,FALSE)-VLOOKUP($A82,DATA!$A$3:$F$301,3,FALSE))^2),"")</f>
        <v/>
      </c>
      <c r="BB82" s="14" t="str">
        <f>_xlfn.IFNA(SQRT((VLOOKUP(BB$1,DATA!$A$3:$F$301,2,FALSE)-VLOOKUP($A82,DATA!$A$3:$F$301,2,FALSE))^2+(VLOOKUP(BB$1,DATA!$A$3:$F$301,3,FALSE)-VLOOKUP($A82,DATA!$A$3:$F$301,3,FALSE))^2),"")</f>
        <v/>
      </c>
      <c r="BC82" s="14" t="str">
        <f>_xlfn.IFNA(SQRT((VLOOKUP(BC$1,DATA!$A$3:$F$301,2,FALSE)-VLOOKUP($A82,DATA!$A$3:$F$301,2,FALSE))^2+(VLOOKUP(BC$1,DATA!$A$3:$F$301,3,FALSE)-VLOOKUP($A82,DATA!$A$3:$F$301,3,FALSE))^2),"")</f>
        <v/>
      </c>
      <c r="BD82" s="14" t="str">
        <f>_xlfn.IFNA(SQRT((VLOOKUP(BD$1,DATA!$A$3:$F$301,2,FALSE)-VLOOKUP($A82,DATA!$A$3:$F$301,2,FALSE))^2+(VLOOKUP(BD$1,DATA!$A$3:$F$301,3,FALSE)-VLOOKUP($A82,DATA!$A$3:$F$301,3,FALSE))^2),"")</f>
        <v/>
      </c>
      <c r="BE82" s="14" t="str">
        <f>_xlfn.IFNA(SQRT((VLOOKUP(BE$1,DATA!$A$3:$F$301,2,FALSE)-VLOOKUP($A82,DATA!$A$3:$F$301,2,FALSE))^2+(VLOOKUP(BE$1,DATA!$A$3:$F$301,3,FALSE)-VLOOKUP($A82,DATA!$A$3:$F$301,3,FALSE))^2),"")</f>
        <v/>
      </c>
      <c r="BF82" s="14" t="str">
        <f>_xlfn.IFNA(SQRT((VLOOKUP(BF$1,DATA!$A$3:$F$301,2,FALSE)-VLOOKUP($A82,DATA!$A$3:$F$301,2,FALSE))^2+(VLOOKUP(BF$1,DATA!$A$3:$F$301,3,FALSE)-VLOOKUP($A82,DATA!$A$3:$F$301,3,FALSE))^2),"")</f>
        <v/>
      </c>
      <c r="BG82" s="14" t="str">
        <f>_xlfn.IFNA(SQRT((VLOOKUP(BG$1,DATA!$A$3:$F$301,2,FALSE)-VLOOKUP($A82,DATA!$A$3:$F$301,2,FALSE))^2+(VLOOKUP(BG$1,DATA!$A$3:$F$301,3,FALSE)-VLOOKUP($A82,DATA!$A$3:$F$301,3,FALSE))^2),"")</f>
        <v/>
      </c>
      <c r="BH82" s="14" t="str">
        <f>_xlfn.IFNA(SQRT((VLOOKUP(BH$1,DATA!$A$3:$F$301,2,FALSE)-VLOOKUP($A82,DATA!$A$3:$F$301,2,FALSE))^2+(VLOOKUP(BH$1,DATA!$A$3:$F$301,3,FALSE)-VLOOKUP($A82,DATA!$A$3:$F$301,3,FALSE))^2),"")</f>
        <v/>
      </c>
      <c r="BI82" s="14" t="str">
        <f>_xlfn.IFNA(SQRT((VLOOKUP(BI$1,DATA!$A$3:$F$301,2,FALSE)-VLOOKUP($A82,DATA!$A$3:$F$301,2,FALSE))^2+(VLOOKUP(BI$1,DATA!$A$3:$F$301,3,FALSE)-VLOOKUP($A82,DATA!$A$3:$F$301,3,FALSE))^2),"")</f>
        <v/>
      </c>
      <c r="BJ82" s="14" t="str">
        <f>_xlfn.IFNA(SQRT((VLOOKUP(BJ$1,DATA!$A$3:$F$301,2,FALSE)-VLOOKUP($A82,DATA!$A$3:$F$301,2,FALSE))^2+(VLOOKUP(BJ$1,DATA!$A$3:$F$301,3,FALSE)-VLOOKUP($A82,DATA!$A$3:$F$301,3,FALSE))^2),"")</f>
        <v/>
      </c>
      <c r="BK82" s="14" t="str">
        <f>_xlfn.IFNA(SQRT((VLOOKUP(BK$1,DATA!$A$3:$F$301,2,FALSE)-VLOOKUP($A82,DATA!$A$3:$F$301,2,FALSE))^2+(VLOOKUP(BK$1,DATA!$A$3:$F$301,3,FALSE)-VLOOKUP($A82,DATA!$A$3:$F$301,3,FALSE))^2),"")</f>
        <v/>
      </c>
      <c r="BL82" s="14" t="str">
        <f>_xlfn.IFNA(SQRT((VLOOKUP(BL$1,DATA!$A$3:$F$301,2,FALSE)-VLOOKUP($A82,DATA!$A$3:$F$301,2,FALSE))^2+(VLOOKUP(BL$1,DATA!$A$3:$F$301,3,FALSE)-VLOOKUP($A82,DATA!$A$3:$F$301,3,FALSE))^2),"")</f>
        <v/>
      </c>
      <c r="BM82" s="14" t="str">
        <f>_xlfn.IFNA(SQRT((VLOOKUP(BM$1,DATA!$A$3:$F$301,2,FALSE)-VLOOKUP($A82,DATA!$A$3:$F$301,2,FALSE))^2+(VLOOKUP(BM$1,DATA!$A$3:$F$301,3,FALSE)-VLOOKUP($A82,DATA!$A$3:$F$301,3,FALSE))^2),"")</f>
        <v/>
      </c>
      <c r="BN82" s="14" t="str">
        <f>_xlfn.IFNA(SQRT((VLOOKUP(BN$1,DATA!$A$3:$F$301,2,FALSE)-VLOOKUP($A82,DATA!$A$3:$F$301,2,FALSE))^2+(VLOOKUP(BN$1,DATA!$A$3:$F$301,3,FALSE)-VLOOKUP($A82,DATA!$A$3:$F$301,3,FALSE))^2),"")</f>
        <v/>
      </c>
      <c r="BO82" s="14" t="str">
        <f>_xlfn.IFNA(SQRT((VLOOKUP(BO$1,DATA!$A$3:$F$301,2,FALSE)-VLOOKUP($A82,DATA!$A$3:$F$301,2,FALSE))^2+(VLOOKUP(BO$1,DATA!$A$3:$F$301,3,FALSE)-VLOOKUP($A82,DATA!$A$3:$F$301,3,FALSE))^2),"")</f>
        <v/>
      </c>
      <c r="BP82" s="14" t="str">
        <f>_xlfn.IFNA(SQRT((VLOOKUP(BP$1,DATA!$A$3:$F$301,2,FALSE)-VLOOKUP($A82,DATA!$A$3:$F$301,2,FALSE))^2+(VLOOKUP(BP$1,DATA!$A$3:$F$301,3,FALSE)-VLOOKUP($A82,DATA!$A$3:$F$301,3,FALSE))^2),"")</f>
        <v/>
      </c>
      <c r="BQ82" s="14" t="str">
        <f>_xlfn.IFNA(SQRT((VLOOKUP(BQ$1,DATA!$A$3:$F$301,2,FALSE)-VLOOKUP($A82,DATA!$A$3:$F$301,2,FALSE))^2+(VLOOKUP(BQ$1,DATA!$A$3:$F$301,3,FALSE)-VLOOKUP($A82,DATA!$A$3:$F$301,3,FALSE))^2),"")</f>
        <v/>
      </c>
      <c r="BR82" s="14" t="str">
        <f>_xlfn.IFNA(SQRT((VLOOKUP(BR$1,DATA!$A$3:$F$301,2,FALSE)-VLOOKUP($A82,DATA!$A$3:$F$301,2,FALSE))^2+(VLOOKUP(BR$1,DATA!$A$3:$F$301,3,FALSE)-VLOOKUP($A82,DATA!$A$3:$F$301,3,FALSE))^2),"")</f>
        <v/>
      </c>
      <c r="BS82" s="14" t="str">
        <f>_xlfn.IFNA(SQRT((VLOOKUP(BS$1,DATA!$A$3:$F$301,2,FALSE)-VLOOKUP($A82,DATA!$A$3:$F$301,2,FALSE))^2+(VLOOKUP(BS$1,DATA!$A$3:$F$301,3,FALSE)-VLOOKUP($A82,DATA!$A$3:$F$301,3,FALSE))^2),"")</f>
        <v/>
      </c>
      <c r="BT82" s="14" t="str">
        <f>_xlfn.IFNA(SQRT((VLOOKUP(BT$1,DATA!$A$3:$F$301,2,FALSE)-VLOOKUP($A82,DATA!$A$3:$F$301,2,FALSE))^2+(VLOOKUP(BT$1,DATA!$A$3:$F$301,3,FALSE)-VLOOKUP($A82,DATA!$A$3:$F$301,3,FALSE))^2),"")</f>
        <v/>
      </c>
      <c r="BU82" s="14" t="str">
        <f>_xlfn.IFNA(SQRT((VLOOKUP(BU$1,DATA!$A$3:$F$301,2,FALSE)-VLOOKUP($A82,DATA!$A$3:$F$301,2,FALSE))^2+(VLOOKUP(BU$1,DATA!$A$3:$F$301,3,FALSE)-VLOOKUP($A82,DATA!$A$3:$F$301,3,FALSE))^2),"")</f>
        <v/>
      </c>
      <c r="BV82" s="14" t="str">
        <f>_xlfn.IFNA(SQRT((VLOOKUP(BV$1,DATA!$A$3:$F$301,2,FALSE)-VLOOKUP($A82,DATA!$A$3:$F$301,2,FALSE))^2+(VLOOKUP(BV$1,DATA!$A$3:$F$301,3,FALSE)-VLOOKUP($A82,DATA!$A$3:$F$301,3,FALSE))^2),"")</f>
        <v/>
      </c>
      <c r="BW82" s="14" t="str">
        <f>_xlfn.IFNA(SQRT((VLOOKUP(BW$1,DATA!$A$3:$F$301,2,FALSE)-VLOOKUP($A82,DATA!$A$3:$F$301,2,FALSE))^2+(VLOOKUP(BW$1,DATA!$A$3:$F$301,3,FALSE)-VLOOKUP($A82,DATA!$A$3:$F$301,3,FALSE))^2),"")</f>
        <v/>
      </c>
      <c r="BX82" s="14" t="str">
        <f>_xlfn.IFNA(SQRT((VLOOKUP(BX$1,DATA!$A$3:$F$301,2,FALSE)-VLOOKUP($A82,DATA!$A$3:$F$301,2,FALSE))^2+(VLOOKUP(BX$1,DATA!$A$3:$F$301,3,FALSE)-VLOOKUP($A82,DATA!$A$3:$F$301,3,FALSE))^2),"")</f>
        <v/>
      </c>
      <c r="BY82" s="14" t="str">
        <f>_xlfn.IFNA(SQRT((VLOOKUP(BY$1,DATA!$A$3:$F$301,2,FALSE)-VLOOKUP($A82,DATA!$A$3:$F$301,2,FALSE))^2+(VLOOKUP(BY$1,DATA!$A$3:$F$301,3,FALSE)-VLOOKUP($A82,DATA!$A$3:$F$301,3,FALSE))^2),"")</f>
        <v/>
      </c>
      <c r="BZ82" s="14" t="str">
        <f>_xlfn.IFNA(SQRT((VLOOKUP(BZ$1,DATA!$A$3:$F$301,2,FALSE)-VLOOKUP($A82,DATA!$A$3:$F$301,2,FALSE))^2+(VLOOKUP(BZ$1,DATA!$A$3:$F$301,3,FALSE)-VLOOKUP($A82,DATA!$A$3:$F$301,3,FALSE))^2),"")</f>
        <v/>
      </c>
      <c r="CA82" s="14" t="str">
        <f>_xlfn.IFNA(SQRT((VLOOKUP(CA$1,DATA!$A$3:$F$301,2,FALSE)-VLOOKUP($A82,DATA!$A$3:$F$301,2,FALSE))^2+(VLOOKUP(CA$1,DATA!$A$3:$F$301,3,FALSE)-VLOOKUP($A82,DATA!$A$3:$F$301,3,FALSE))^2),"")</f>
        <v/>
      </c>
      <c r="CB82" s="14" t="str">
        <f>_xlfn.IFNA(SQRT((VLOOKUP(CB$1,DATA!$A$3:$F$301,2,FALSE)-VLOOKUP($A82,DATA!$A$3:$F$301,2,FALSE))^2+(VLOOKUP(CB$1,DATA!$A$3:$F$301,3,FALSE)-VLOOKUP($A82,DATA!$A$3:$F$301,3,FALSE))^2),"")</f>
        <v/>
      </c>
      <c r="CC82" s="14" t="str">
        <f>_xlfn.IFNA(SQRT((VLOOKUP(CC$1,DATA!$A$3:$F$301,2,FALSE)-VLOOKUP($A82,DATA!$A$3:$F$301,2,FALSE))^2+(VLOOKUP(CC$1,DATA!$A$3:$F$301,3,FALSE)-VLOOKUP($A82,DATA!$A$3:$F$301,3,FALSE))^2),"")</f>
        <v/>
      </c>
      <c r="CD82" s="14" t="str">
        <f>_xlfn.IFNA(SQRT((VLOOKUP(CD$1,DATA!$A$3:$F$301,2,FALSE)-VLOOKUP($A82,DATA!$A$3:$F$301,2,FALSE))^2+(VLOOKUP(CD$1,DATA!$A$3:$F$301,3,FALSE)-VLOOKUP($A82,DATA!$A$3:$F$301,3,FALSE))^2),"")</f>
        <v/>
      </c>
      <c r="CE82" s="14" t="str">
        <f>_xlfn.IFNA(SQRT((VLOOKUP(CE$1,DATA!$A$3:$F$301,2,FALSE)-VLOOKUP($A82,DATA!$A$3:$F$301,2,FALSE))^2+(VLOOKUP(CE$1,DATA!$A$3:$F$301,3,FALSE)-VLOOKUP($A82,DATA!$A$3:$F$301,3,FALSE))^2),"")</f>
        <v/>
      </c>
      <c r="CF82" s="14" t="str">
        <f>_xlfn.IFNA(SQRT((VLOOKUP(CF$1,DATA!$A$3:$F$301,2,FALSE)-VLOOKUP($A82,DATA!$A$3:$F$301,2,FALSE))^2+(VLOOKUP(CF$1,DATA!$A$3:$F$301,3,FALSE)-VLOOKUP($A82,DATA!$A$3:$F$301,3,FALSE))^2),"")</f>
        <v/>
      </c>
      <c r="CG82" s="14" t="str">
        <f>_xlfn.IFNA(SQRT((VLOOKUP(CG$1,DATA!$A$3:$F$301,2,FALSE)-VLOOKUP($A82,DATA!$A$3:$F$301,2,FALSE))^2+(VLOOKUP(CG$1,DATA!$A$3:$F$301,3,FALSE)-VLOOKUP($A82,DATA!$A$3:$F$301,3,FALSE))^2),"")</f>
        <v/>
      </c>
      <c r="CH82" s="14" t="str">
        <f>_xlfn.IFNA(SQRT((VLOOKUP(CH$1,DATA!$A$3:$F$301,2,FALSE)-VLOOKUP($A82,DATA!$A$3:$F$301,2,FALSE))^2+(VLOOKUP(CH$1,DATA!$A$3:$F$301,3,FALSE)-VLOOKUP($A82,DATA!$A$3:$F$301,3,FALSE))^2),"")</f>
        <v/>
      </c>
      <c r="CI82" s="14" t="str">
        <f>_xlfn.IFNA(SQRT((VLOOKUP(CI$1,DATA!$A$3:$F$301,2,FALSE)-VLOOKUP($A82,DATA!$A$3:$F$301,2,FALSE))^2+(VLOOKUP(CI$1,DATA!$A$3:$F$301,3,FALSE)-VLOOKUP($A82,DATA!$A$3:$F$301,3,FALSE))^2),"")</f>
        <v/>
      </c>
      <c r="CJ82" s="14" t="str">
        <f>_xlfn.IFNA(SQRT((VLOOKUP(CJ$1,DATA!$A$3:$F$301,2,FALSE)-VLOOKUP($A82,DATA!$A$3:$F$301,2,FALSE))^2+(VLOOKUP(CJ$1,DATA!$A$3:$F$301,3,FALSE)-VLOOKUP($A82,DATA!$A$3:$F$301,3,FALSE))^2),"")</f>
        <v/>
      </c>
      <c r="CK82" s="14" t="str">
        <f>_xlfn.IFNA(SQRT((VLOOKUP(CK$1,DATA!$A$3:$F$301,2,FALSE)-VLOOKUP($A82,DATA!$A$3:$F$301,2,FALSE))^2+(VLOOKUP(CK$1,DATA!$A$3:$F$301,3,FALSE)-VLOOKUP($A82,DATA!$A$3:$F$301,3,FALSE))^2),"")</f>
        <v/>
      </c>
      <c r="CL82" s="14" t="str">
        <f>_xlfn.IFNA(SQRT((VLOOKUP(CL$1,DATA!$A$3:$F$301,2,FALSE)-VLOOKUP($A82,DATA!$A$3:$F$301,2,FALSE))^2+(VLOOKUP(CL$1,DATA!$A$3:$F$301,3,FALSE)-VLOOKUP($A82,DATA!$A$3:$F$301,3,FALSE))^2),"")</f>
        <v/>
      </c>
      <c r="CM82" s="14" t="str">
        <f>_xlfn.IFNA(SQRT((VLOOKUP(CM$1,DATA!$A$3:$F$301,2,FALSE)-VLOOKUP($A82,DATA!$A$3:$F$301,2,FALSE))^2+(VLOOKUP(CM$1,DATA!$A$3:$F$301,3,FALSE)-VLOOKUP($A82,DATA!$A$3:$F$301,3,FALSE))^2),"")</f>
        <v/>
      </c>
      <c r="CN82" s="14" t="str">
        <f>_xlfn.IFNA(SQRT((VLOOKUP(CN$1,DATA!$A$3:$F$301,2,FALSE)-VLOOKUP($A82,DATA!$A$3:$F$301,2,FALSE))^2+(VLOOKUP(CN$1,DATA!$A$3:$F$301,3,FALSE)-VLOOKUP($A82,DATA!$A$3:$F$301,3,FALSE))^2),"")</f>
        <v/>
      </c>
      <c r="CO82" s="14" t="str">
        <f>_xlfn.IFNA(SQRT((VLOOKUP(CO$1,DATA!$A$3:$F$301,2,FALSE)-VLOOKUP($A82,DATA!$A$3:$F$301,2,FALSE))^2+(VLOOKUP(CO$1,DATA!$A$3:$F$301,3,FALSE)-VLOOKUP($A82,DATA!$A$3:$F$301,3,FALSE))^2),"")</f>
        <v/>
      </c>
      <c r="CP82" s="14" t="str">
        <f>_xlfn.IFNA(SQRT((VLOOKUP(CP$1,DATA!$A$3:$F$301,2,FALSE)-VLOOKUP($A82,DATA!$A$3:$F$301,2,FALSE))^2+(VLOOKUP(CP$1,DATA!$A$3:$F$301,3,FALSE)-VLOOKUP($A82,DATA!$A$3:$F$301,3,FALSE))^2),"")</f>
        <v/>
      </c>
      <c r="CQ82" s="14" t="str">
        <f>_xlfn.IFNA(SQRT((VLOOKUP(CQ$1,DATA!$A$3:$F$301,2,FALSE)-VLOOKUP($A82,DATA!$A$3:$F$301,2,FALSE))^2+(VLOOKUP(CQ$1,DATA!$A$3:$F$301,3,FALSE)-VLOOKUP($A82,DATA!$A$3:$F$301,3,FALSE))^2),"")</f>
        <v/>
      </c>
      <c r="CR82" s="14" t="str">
        <f>_xlfn.IFNA(SQRT((VLOOKUP(CR$1,DATA!$A$3:$F$301,2,FALSE)-VLOOKUP($A82,DATA!$A$3:$F$301,2,FALSE))^2+(VLOOKUP(CR$1,DATA!$A$3:$F$301,3,FALSE)-VLOOKUP($A82,DATA!$A$3:$F$301,3,FALSE))^2),"")</f>
        <v/>
      </c>
      <c r="CS82" s="14" t="str">
        <f>_xlfn.IFNA(SQRT((VLOOKUP(CS$1,DATA!$A$3:$F$301,2,FALSE)-VLOOKUP($A82,DATA!$A$3:$F$301,2,FALSE))^2+(VLOOKUP(CS$1,DATA!$A$3:$F$301,3,FALSE)-VLOOKUP($A82,DATA!$A$3:$F$301,3,FALSE))^2),"")</f>
        <v/>
      </c>
      <c r="CT82" s="14" t="str">
        <f>_xlfn.IFNA(SQRT((VLOOKUP(CT$1,DATA!$A$3:$F$301,2,FALSE)-VLOOKUP($A82,DATA!$A$3:$F$301,2,FALSE))^2+(VLOOKUP(CT$1,DATA!$A$3:$F$301,3,FALSE)-VLOOKUP($A82,DATA!$A$3:$F$301,3,FALSE))^2),"")</f>
        <v/>
      </c>
      <c r="CU82" s="14" t="str">
        <f>_xlfn.IFNA(SQRT((VLOOKUP(CU$1,DATA!$A$3:$F$301,2,FALSE)-VLOOKUP($A82,DATA!$A$3:$F$301,2,FALSE))^2+(VLOOKUP(CU$1,DATA!$A$3:$F$301,3,FALSE)-VLOOKUP($A82,DATA!$A$3:$F$301,3,FALSE))^2),"")</f>
        <v/>
      </c>
      <c r="CV82" s="14" t="str">
        <f>_xlfn.IFNA(SQRT((VLOOKUP(CV$1,DATA!$A$3:$F$301,2,FALSE)-VLOOKUP($A82,DATA!$A$3:$F$301,2,FALSE))^2+(VLOOKUP(CV$1,DATA!$A$3:$F$301,3,FALSE)-VLOOKUP($A82,DATA!$A$3:$F$301,3,FALSE))^2),"")</f>
        <v/>
      </c>
      <c r="CW82" s="14" t="str">
        <f>_xlfn.IFNA(SQRT((VLOOKUP(CW$1,DATA!$A$3:$F$301,2,FALSE)-VLOOKUP($A82,DATA!$A$3:$F$301,2,FALSE))^2+(VLOOKUP(CW$1,DATA!$A$3:$F$301,3,FALSE)-VLOOKUP($A82,DATA!$A$3:$F$301,3,FALSE))^2),"")</f>
        <v/>
      </c>
      <c r="CX82" s="14" t="str">
        <f>_xlfn.IFNA(SQRT((VLOOKUP(CX$1,DATA!$A$3:$F$301,2,FALSE)-VLOOKUP($A82,DATA!$A$3:$F$301,2,FALSE))^2+(VLOOKUP(CX$1,DATA!$A$3:$F$301,3,FALSE)-VLOOKUP($A82,DATA!$A$3:$F$301,3,FALSE))^2),"")</f>
        <v/>
      </c>
    </row>
    <row r="83" spans="1:102">
      <c r="A83" s="13">
        <v>82</v>
      </c>
      <c r="B83" s="14" t="str">
        <f>_xlfn.IFNA(SQRT((VLOOKUP(B$1,DATA!$A$3:$F$301,2,FALSE)-VLOOKUP($A83,DATA!$A$3:$F$301,2,FALSE))^2+(VLOOKUP(B$1,DATA!$A$3:$F$301,3,FALSE)-VLOOKUP($A83,DATA!$A$3:$F$301,3,FALSE))^2),"")</f>
        <v/>
      </c>
      <c r="C83" s="14" t="str">
        <f>_xlfn.IFNA(SQRT((VLOOKUP(C$1,DATA!$A$3:$F$301,2,FALSE)-VLOOKUP($A83,DATA!$A$3:$F$301,2,FALSE))^2+(VLOOKUP(C$1,DATA!$A$3:$F$301,3,FALSE)-VLOOKUP($A83,DATA!$A$3:$F$301,3,FALSE))^2),"")</f>
        <v/>
      </c>
      <c r="D83" s="14" t="str">
        <f>_xlfn.IFNA(SQRT((VLOOKUP(D$1,DATA!$A$3:$F$301,2,FALSE)-VLOOKUP($A83,DATA!$A$3:$F$301,2,FALSE))^2+(VLOOKUP(D$1,DATA!$A$3:$F$301,3,FALSE)-VLOOKUP($A83,DATA!$A$3:$F$301,3,FALSE))^2),"")</f>
        <v/>
      </c>
      <c r="E83" s="14" t="str">
        <f>_xlfn.IFNA(SQRT((VLOOKUP(E$1,DATA!$A$3:$F$301,2,FALSE)-VLOOKUP($A83,DATA!$A$3:$F$301,2,FALSE))^2+(VLOOKUP(E$1,DATA!$A$3:$F$301,3,FALSE)-VLOOKUP($A83,DATA!$A$3:$F$301,3,FALSE))^2),"")</f>
        <v/>
      </c>
      <c r="F83" s="14" t="str">
        <f>_xlfn.IFNA(SQRT((VLOOKUP(F$1,DATA!$A$3:$F$301,2,FALSE)-VLOOKUP($A83,DATA!$A$3:$F$301,2,FALSE))^2+(VLOOKUP(F$1,DATA!$A$3:$F$301,3,FALSE)-VLOOKUP($A83,DATA!$A$3:$F$301,3,FALSE))^2),"")</f>
        <v/>
      </c>
      <c r="G83" s="14" t="str">
        <f>_xlfn.IFNA(SQRT((VLOOKUP(G$1,DATA!$A$3:$F$301,2,FALSE)-VLOOKUP($A83,DATA!$A$3:$F$301,2,FALSE))^2+(VLOOKUP(G$1,DATA!$A$3:$F$301,3,FALSE)-VLOOKUP($A83,DATA!$A$3:$F$301,3,FALSE))^2),"")</f>
        <v/>
      </c>
      <c r="H83" s="14" t="str">
        <f>_xlfn.IFNA(SQRT((VLOOKUP(H$1,DATA!$A$3:$F$301,2,FALSE)-VLOOKUP($A83,DATA!$A$3:$F$301,2,FALSE))^2+(VLOOKUP(H$1,DATA!$A$3:$F$301,3,FALSE)-VLOOKUP($A83,DATA!$A$3:$F$301,3,FALSE))^2),"")</f>
        <v/>
      </c>
      <c r="I83" s="14" t="str">
        <f>_xlfn.IFNA(SQRT((VLOOKUP(I$1,DATA!$A$3:$F$301,2,FALSE)-VLOOKUP($A83,DATA!$A$3:$F$301,2,FALSE))^2+(VLOOKUP(I$1,DATA!$A$3:$F$301,3,FALSE)-VLOOKUP($A83,DATA!$A$3:$F$301,3,FALSE))^2),"")</f>
        <v/>
      </c>
      <c r="J83" s="14" t="str">
        <f>_xlfn.IFNA(SQRT((VLOOKUP(J$1,DATA!$A$3:$F$301,2,FALSE)-VLOOKUP($A83,DATA!$A$3:$F$301,2,FALSE))^2+(VLOOKUP(J$1,DATA!$A$3:$F$301,3,FALSE)-VLOOKUP($A83,DATA!$A$3:$F$301,3,FALSE))^2),"")</f>
        <v/>
      </c>
      <c r="K83" s="14" t="str">
        <f>_xlfn.IFNA(SQRT((VLOOKUP(K$1,DATA!$A$3:$F$301,2,FALSE)-VLOOKUP($A83,DATA!$A$3:$F$301,2,FALSE))^2+(VLOOKUP(K$1,DATA!$A$3:$F$301,3,FALSE)-VLOOKUP($A83,DATA!$A$3:$F$301,3,FALSE))^2),"")</f>
        <v/>
      </c>
      <c r="L83" s="14" t="str">
        <f>_xlfn.IFNA(SQRT((VLOOKUP(L$1,DATA!$A$3:$F$301,2,FALSE)-VLOOKUP($A83,DATA!$A$3:$F$301,2,FALSE))^2+(VLOOKUP(L$1,DATA!$A$3:$F$301,3,FALSE)-VLOOKUP($A83,DATA!$A$3:$F$301,3,FALSE))^2),"")</f>
        <v/>
      </c>
      <c r="M83" s="14" t="str">
        <f>_xlfn.IFNA(SQRT((VLOOKUP(M$1,DATA!$A$3:$F$301,2,FALSE)-VLOOKUP($A83,DATA!$A$3:$F$301,2,FALSE))^2+(VLOOKUP(M$1,DATA!$A$3:$F$301,3,FALSE)-VLOOKUP($A83,DATA!$A$3:$F$301,3,FALSE))^2),"")</f>
        <v/>
      </c>
      <c r="N83" s="14" t="str">
        <f>_xlfn.IFNA(SQRT((VLOOKUP(N$1,DATA!$A$3:$F$301,2,FALSE)-VLOOKUP($A83,DATA!$A$3:$F$301,2,FALSE))^2+(VLOOKUP(N$1,DATA!$A$3:$F$301,3,FALSE)-VLOOKUP($A83,DATA!$A$3:$F$301,3,FALSE))^2),"")</f>
        <v/>
      </c>
      <c r="O83" s="14" t="str">
        <f>_xlfn.IFNA(SQRT((VLOOKUP(O$1,DATA!$A$3:$F$301,2,FALSE)-VLOOKUP($A83,DATA!$A$3:$F$301,2,FALSE))^2+(VLOOKUP(O$1,DATA!$A$3:$F$301,3,FALSE)-VLOOKUP($A83,DATA!$A$3:$F$301,3,FALSE))^2),"")</f>
        <v/>
      </c>
      <c r="P83" s="14" t="str">
        <f>_xlfn.IFNA(SQRT((VLOOKUP(P$1,DATA!$A$3:$F$301,2,FALSE)-VLOOKUP($A83,DATA!$A$3:$F$301,2,FALSE))^2+(VLOOKUP(P$1,DATA!$A$3:$F$301,3,FALSE)-VLOOKUP($A83,DATA!$A$3:$F$301,3,FALSE))^2),"")</f>
        <v/>
      </c>
      <c r="Q83" s="14" t="str">
        <f>_xlfn.IFNA(SQRT((VLOOKUP(Q$1,DATA!$A$3:$F$301,2,FALSE)-VLOOKUP($A83,DATA!$A$3:$F$301,2,FALSE))^2+(VLOOKUP(Q$1,DATA!$A$3:$F$301,3,FALSE)-VLOOKUP($A83,DATA!$A$3:$F$301,3,FALSE))^2),"")</f>
        <v/>
      </c>
      <c r="R83" s="14" t="str">
        <f>_xlfn.IFNA(SQRT((VLOOKUP(R$1,DATA!$A$3:$F$301,2,FALSE)-VLOOKUP($A83,DATA!$A$3:$F$301,2,FALSE))^2+(VLOOKUP(R$1,DATA!$A$3:$F$301,3,FALSE)-VLOOKUP($A83,DATA!$A$3:$F$301,3,FALSE))^2),"")</f>
        <v/>
      </c>
      <c r="S83" s="14" t="str">
        <f>_xlfn.IFNA(SQRT((VLOOKUP(S$1,DATA!$A$3:$F$301,2,FALSE)-VLOOKUP($A83,DATA!$A$3:$F$301,2,FALSE))^2+(VLOOKUP(S$1,DATA!$A$3:$F$301,3,FALSE)-VLOOKUP($A83,DATA!$A$3:$F$301,3,FALSE))^2),"")</f>
        <v/>
      </c>
      <c r="T83" s="14" t="str">
        <f>_xlfn.IFNA(SQRT((VLOOKUP(T$1,DATA!$A$3:$F$301,2,FALSE)-VLOOKUP($A83,DATA!$A$3:$F$301,2,FALSE))^2+(VLOOKUP(T$1,DATA!$A$3:$F$301,3,FALSE)-VLOOKUP($A83,DATA!$A$3:$F$301,3,FALSE))^2),"")</f>
        <v/>
      </c>
      <c r="U83" s="14" t="str">
        <f>_xlfn.IFNA(SQRT((VLOOKUP(U$1,DATA!$A$3:$F$301,2,FALSE)-VLOOKUP($A83,DATA!$A$3:$F$301,2,FALSE))^2+(VLOOKUP(U$1,DATA!$A$3:$F$301,3,FALSE)-VLOOKUP($A83,DATA!$A$3:$F$301,3,FALSE))^2),"")</f>
        <v/>
      </c>
      <c r="V83" s="14" t="str">
        <f>_xlfn.IFNA(SQRT((VLOOKUP(V$1,DATA!$A$3:$F$301,2,FALSE)-VLOOKUP($A83,DATA!$A$3:$F$301,2,FALSE))^2+(VLOOKUP(V$1,DATA!$A$3:$F$301,3,FALSE)-VLOOKUP($A83,DATA!$A$3:$F$301,3,FALSE))^2),"")</f>
        <v/>
      </c>
      <c r="W83" s="14" t="str">
        <f>_xlfn.IFNA(SQRT((VLOOKUP(W$1,DATA!$A$3:$F$301,2,FALSE)-VLOOKUP($A83,DATA!$A$3:$F$301,2,FALSE))^2+(VLOOKUP(W$1,DATA!$A$3:$F$301,3,FALSE)-VLOOKUP($A83,DATA!$A$3:$F$301,3,FALSE))^2),"")</f>
        <v/>
      </c>
      <c r="X83" s="14" t="str">
        <f>_xlfn.IFNA(SQRT((VLOOKUP(X$1,DATA!$A$3:$F$301,2,FALSE)-VLOOKUP($A83,DATA!$A$3:$F$301,2,FALSE))^2+(VLOOKUP(X$1,DATA!$A$3:$F$301,3,FALSE)-VLOOKUP($A83,DATA!$A$3:$F$301,3,FALSE))^2),"")</f>
        <v/>
      </c>
      <c r="Y83" s="14" t="str">
        <f>_xlfn.IFNA(SQRT((VLOOKUP(Y$1,DATA!$A$3:$F$301,2,FALSE)-VLOOKUP($A83,DATA!$A$3:$F$301,2,FALSE))^2+(VLOOKUP(Y$1,DATA!$A$3:$F$301,3,FALSE)-VLOOKUP($A83,DATA!$A$3:$F$301,3,FALSE))^2),"")</f>
        <v/>
      </c>
      <c r="Z83" s="14" t="str">
        <f>_xlfn.IFNA(SQRT((VLOOKUP(Z$1,DATA!$A$3:$F$301,2,FALSE)-VLOOKUP($A83,DATA!$A$3:$F$301,2,FALSE))^2+(VLOOKUP(Z$1,DATA!$A$3:$F$301,3,FALSE)-VLOOKUP($A83,DATA!$A$3:$F$301,3,FALSE))^2),"")</f>
        <v/>
      </c>
      <c r="AA83" s="14" t="str">
        <f>_xlfn.IFNA(SQRT((VLOOKUP(AA$1,DATA!$A$3:$F$301,2,FALSE)-VLOOKUP($A83,DATA!$A$3:$F$301,2,FALSE))^2+(VLOOKUP(AA$1,DATA!$A$3:$F$301,3,FALSE)-VLOOKUP($A83,DATA!$A$3:$F$301,3,FALSE))^2),"")</f>
        <v/>
      </c>
      <c r="AB83" s="14" t="str">
        <f>_xlfn.IFNA(SQRT((VLOOKUP(AB$1,DATA!$A$3:$F$301,2,FALSE)-VLOOKUP($A83,DATA!$A$3:$F$301,2,FALSE))^2+(VLOOKUP(AB$1,DATA!$A$3:$F$301,3,FALSE)-VLOOKUP($A83,DATA!$A$3:$F$301,3,FALSE))^2),"")</f>
        <v/>
      </c>
      <c r="AC83" s="14" t="str">
        <f>_xlfn.IFNA(SQRT((VLOOKUP(AC$1,DATA!$A$3:$F$301,2,FALSE)-VLOOKUP($A83,DATA!$A$3:$F$301,2,FALSE))^2+(VLOOKUP(AC$1,DATA!$A$3:$F$301,3,FALSE)-VLOOKUP($A83,DATA!$A$3:$F$301,3,FALSE))^2),"")</f>
        <v/>
      </c>
      <c r="AD83" s="14" t="str">
        <f>_xlfn.IFNA(SQRT((VLOOKUP(AD$1,DATA!$A$3:$F$301,2,FALSE)-VLOOKUP($A83,DATA!$A$3:$F$301,2,FALSE))^2+(VLOOKUP(AD$1,DATA!$A$3:$F$301,3,FALSE)-VLOOKUP($A83,DATA!$A$3:$F$301,3,FALSE))^2),"")</f>
        <v/>
      </c>
      <c r="AE83" s="14" t="str">
        <f>_xlfn.IFNA(SQRT((VLOOKUP(AE$1,DATA!$A$3:$F$301,2,FALSE)-VLOOKUP($A83,DATA!$A$3:$F$301,2,FALSE))^2+(VLOOKUP(AE$1,DATA!$A$3:$F$301,3,FALSE)-VLOOKUP($A83,DATA!$A$3:$F$301,3,FALSE))^2),"")</f>
        <v/>
      </c>
      <c r="AF83" s="14" t="str">
        <f>_xlfn.IFNA(SQRT((VLOOKUP(AF$1,DATA!$A$3:$F$301,2,FALSE)-VLOOKUP($A83,DATA!$A$3:$F$301,2,FALSE))^2+(VLOOKUP(AF$1,DATA!$A$3:$F$301,3,FALSE)-VLOOKUP($A83,DATA!$A$3:$F$301,3,FALSE))^2),"")</f>
        <v/>
      </c>
      <c r="AG83" s="14" t="str">
        <f>_xlfn.IFNA(SQRT((VLOOKUP(AG$1,DATA!$A$3:$F$301,2,FALSE)-VLOOKUP($A83,DATA!$A$3:$F$301,2,FALSE))^2+(VLOOKUP(AG$1,DATA!$A$3:$F$301,3,FALSE)-VLOOKUP($A83,DATA!$A$3:$F$301,3,FALSE))^2),"")</f>
        <v/>
      </c>
      <c r="AH83" s="14" t="str">
        <f>_xlfn.IFNA(SQRT((VLOOKUP(AH$1,DATA!$A$3:$F$301,2,FALSE)-VLOOKUP($A83,DATA!$A$3:$F$301,2,FALSE))^2+(VLOOKUP(AH$1,DATA!$A$3:$F$301,3,FALSE)-VLOOKUP($A83,DATA!$A$3:$F$301,3,FALSE))^2),"")</f>
        <v/>
      </c>
      <c r="AI83" s="14" t="str">
        <f>_xlfn.IFNA(SQRT((VLOOKUP(AI$1,DATA!$A$3:$F$301,2,FALSE)-VLOOKUP($A83,DATA!$A$3:$F$301,2,FALSE))^2+(VLOOKUP(AI$1,DATA!$A$3:$F$301,3,FALSE)-VLOOKUP($A83,DATA!$A$3:$F$301,3,FALSE))^2),"")</f>
        <v/>
      </c>
      <c r="AJ83" s="14" t="str">
        <f>_xlfn.IFNA(SQRT((VLOOKUP(AJ$1,DATA!$A$3:$F$301,2,FALSE)-VLOOKUP($A83,DATA!$A$3:$F$301,2,FALSE))^2+(VLOOKUP(AJ$1,DATA!$A$3:$F$301,3,FALSE)-VLOOKUP($A83,DATA!$A$3:$F$301,3,FALSE))^2),"")</f>
        <v/>
      </c>
      <c r="AK83" s="14" t="str">
        <f>_xlfn.IFNA(SQRT((VLOOKUP(AK$1,DATA!$A$3:$F$301,2,FALSE)-VLOOKUP($A83,DATA!$A$3:$F$301,2,FALSE))^2+(VLOOKUP(AK$1,DATA!$A$3:$F$301,3,FALSE)-VLOOKUP($A83,DATA!$A$3:$F$301,3,FALSE))^2),"")</f>
        <v/>
      </c>
      <c r="AL83" s="14" t="str">
        <f>_xlfn.IFNA(SQRT((VLOOKUP(AL$1,DATA!$A$3:$F$301,2,FALSE)-VLOOKUP($A83,DATA!$A$3:$F$301,2,FALSE))^2+(VLOOKUP(AL$1,DATA!$A$3:$F$301,3,FALSE)-VLOOKUP($A83,DATA!$A$3:$F$301,3,FALSE))^2),"")</f>
        <v/>
      </c>
      <c r="AM83" s="14" t="str">
        <f>_xlfn.IFNA(SQRT((VLOOKUP(AM$1,DATA!$A$3:$F$301,2,FALSE)-VLOOKUP($A83,DATA!$A$3:$F$301,2,FALSE))^2+(VLOOKUP(AM$1,DATA!$A$3:$F$301,3,FALSE)-VLOOKUP($A83,DATA!$A$3:$F$301,3,FALSE))^2),"")</f>
        <v/>
      </c>
      <c r="AN83" s="14" t="str">
        <f>_xlfn.IFNA(SQRT((VLOOKUP(AN$1,DATA!$A$3:$F$301,2,FALSE)-VLOOKUP($A83,DATA!$A$3:$F$301,2,FALSE))^2+(VLOOKUP(AN$1,DATA!$A$3:$F$301,3,FALSE)-VLOOKUP($A83,DATA!$A$3:$F$301,3,FALSE))^2),"")</f>
        <v/>
      </c>
      <c r="AO83" s="14" t="str">
        <f>_xlfn.IFNA(SQRT((VLOOKUP(AO$1,DATA!$A$3:$F$301,2,FALSE)-VLOOKUP($A83,DATA!$A$3:$F$301,2,FALSE))^2+(VLOOKUP(AO$1,DATA!$A$3:$F$301,3,FALSE)-VLOOKUP($A83,DATA!$A$3:$F$301,3,FALSE))^2),"")</f>
        <v/>
      </c>
      <c r="AP83" s="14" t="str">
        <f>_xlfn.IFNA(SQRT((VLOOKUP(AP$1,DATA!$A$3:$F$301,2,FALSE)-VLOOKUP($A83,DATA!$A$3:$F$301,2,FALSE))^2+(VLOOKUP(AP$1,DATA!$A$3:$F$301,3,FALSE)-VLOOKUP($A83,DATA!$A$3:$F$301,3,FALSE))^2),"")</f>
        <v/>
      </c>
      <c r="AQ83" s="14" t="str">
        <f>_xlfn.IFNA(SQRT((VLOOKUP(AQ$1,DATA!$A$3:$F$301,2,FALSE)-VLOOKUP($A83,DATA!$A$3:$F$301,2,FALSE))^2+(VLOOKUP(AQ$1,DATA!$A$3:$F$301,3,FALSE)-VLOOKUP($A83,DATA!$A$3:$F$301,3,FALSE))^2),"")</f>
        <v/>
      </c>
      <c r="AR83" s="14" t="str">
        <f>_xlfn.IFNA(SQRT((VLOOKUP(AR$1,DATA!$A$3:$F$301,2,FALSE)-VLOOKUP($A83,DATA!$A$3:$F$301,2,FALSE))^2+(VLOOKUP(AR$1,DATA!$A$3:$F$301,3,FALSE)-VLOOKUP($A83,DATA!$A$3:$F$301,3,FALSE))^2),"")</f>
        <v/>
      </c>
      <c r="AS83" s="14" t="str">
        <f>_xlfn.IFNA(SQRT((VLOOKUP(AS$1,DATA!$A$3:$F$301,2,FALSE)-VLOOKUP($A83,DATA!$A$3:$F$301,2,FALSE))^2+(VLOOKUP(AS$1,DATA!$A$3:$F$301,3,FALSE)-VLOOKUP($A83,DATA!$A$3:$F$301,3,FALSE))^2),"")</f>
        <v/>
      </c>
      <c r="AT83" s="14" t="str">
        <f>_xlfn.IFNA(SQRT((VLOOKUP(AT$1,DATA!$A$3:$F$301,2,FALSE)-VLOOKUP($A83,DATA!$A$3:$F$301,2,FALSE))^2+(VLOOKUP(AT$1,DATA!$A$3:$F$301,3,FALSE)-VLOOKUP($A83,DATA!$A$3:$F$301,3,FALSE))^2),"")</f>
        <v/>
      </c>
      <c r="AU83" s="14" t="str">
        <f>_xlfn.IFNA(SQRT((VLOOKUP(AU$1,DATA!$A$3:$F$301,2,FALSE)-VLOOKUP($A83,DATA!$A$3:$F$301,2,FALSE))^2+(VLOOKUP(AU$1,DATA!$A$3:$F$301,3,FALSE)-VLOOKUP($A83,DATA!$A$3:$F$301,3,FALSE))^2),"")</f>
        <v/>
      </c>
      <c r="AV83" s="14" t="str">
        <f>_xlfn.IFNA(SQRT((VLOOKUP(AV$1,DATA!$A$3:$F$301,2,FALSE)-VLOOKUP($A83,DATA!$A$3:$F$301,2,FALSE))^2+(VLOOKUP(AV$1,DATA!$A$3:$F$301,3,FALSE)-VLOOKUP($A83,DATA!$A$3:$F$301,3,FALSE))^2),"")</f>
        <v/>
      </c>
      <c r="AW83" s="14" t="str">
        <f>_xlfn.IFNA(SQRT((VLOOKUP(AW$1,DATA!$A$3:$F$301,2,FALSE)-VLOOKUP($A83,DATA!$A$3:$F$301,2,FALSE))^2+(VLOOKUP(AW$1,DATA!$A$3:$F$301,3,FALSE)-VLOOKUP($A83,DATA!$A$3:$F$301,3,FALSE))^2),"")</f>
        <v/>
      </c>
      <c r="AX83" s="14" t="str">
        <f>_xlfn.IFNA(SQRT((VLOOKUP(AX$1,DATA!$A$3:$F$301,2,FALSE)-VLOOKUP($A83,DATA!$A$3:$F$301,2,FALSE))^2+(VLOOKUP(AX$1,DATA!$A$3:$F$301,3,FALSE)-VLOOKUP($A83,DATA!$A$3:$F$301,3,FALSE))^2),"")</f>
        <v/>
      </c>
      <c r="AY83" s="14" t="str">
        <f>_xlfn.IFNA(SQRT((VLOOKUP(AY$1,DATA!$A$3:$F$301,2,FALSE)-VLOOKUP($A83,DATA!$A$3:$F$301,2,FALSE))^2+(VLOOKUP(AY$1,DATA!$A$3:$F$301,3,FALSE)-VLOOKUP($A83,DATA!$A$3:$F$301,3,FALSE))^2),"")</f>
        <v/>
      </c>
      <c r="AZ83" s="14" t="str">
        <f>_xlfn.IFNA(SQRT((VLOOKUP(AZ$1,DATA!$A$3:$F$301,2,FALSE)-VLOOKUP($A83,DATA!$A$3:$F$301,2,FALSE))^2+(VLOOKUP(AZ$1,DATA!$A$3:$F$301,3,FALSE)-VLOOKUP($A83,DATA!$A$3:$F$301,3,FALSE))^2),"")</f>
        <v/>
      </c>
      <c r="BA83" s="14" t="str">
        <f>_xlfn.IFNA(SQRT((VLOOKUP(BA$1,DATA!$A$3:$F$301,2,FALSE)-VLOOKUP($A83,DATA!$A$3:$F$301,2,FALSE))^2+(VLOOKUP(BA$1,DATA!$A$3:$F$301,3,FALSE)-VLOOKUP($A83,DATA!$A$3:$F$301,3,FALSE))^2),"")</f>
        <v/>
      </c>
      <c r="BB83" s="14" t="str">
        <f>_xlfn.IFNA(SQRT((VLOOKUP(BB$1,DATA!$A$3:$F$301,2,FALSE)-VLOOKUP($A83,DATA!$A$3:$F$301,2,FALSE))^2+(VLOOKUP(BB$1,DATA!$A$3:$F$301,3,FALSE)-VLOOKUP($A83,DATA!$A$3:$F$301,3,FALSE))^2),"")</f>
        <v/>
      </c>
      <c r="BC83" s="14" t="str">
        <f>_xlfn.IFNA(SQRT((VLOOKUP(BC$1,DATA!$A$3:$F$301,2,FALSE)-VLOOKUP($A83,DATA!$A$3:$F$301,2,FALSE))^2+(VLOOKUP(BC$1,DATA!$A$3:$F$301,3,FALSE)-VLOOKUP($A83,DATA!$A$3:$F$301,3,FALSE))^2),"")</f>
        <v/>
      </c>
      <c r="BD83" s="14" t="str">
        <f>_xlfn.IFNA(SQRT((VLOOKUP(BD$1,DATA!$A$3:$F$301,2,FALSE)-VLOOKUP($A83,DATA!$A$3:$F$301,2,FALSE))^2+(VLOOKUP(BD$1,DATA!$A$3:$F$301,3,FALSE)-VLOOKUP($A83,DATA!$A$3:$F$301,3,FALSE))^2),"")</f>
        <v/>
      </c>
      <c r="BE83" s="14" t="str">
        <f>_xlfn.IFNA(SQRT((VLOOKUP(BE$1,DATA!$A$3:$F$301,2,FALSE)-VLOOKUP($A83,DATA!$A$3:$F$301,2,FALSE))^2+(VLOOKUP(BE$1,DATA!$A$3:$F$301,3,FALSE)-VLOOKUP($A83,DATA!$A$3:$F$301,3,FALSE))^2),"")</f>
        <v/>
      </c>
      <c r="BF83" s="14" t="str">
        <f>_xlfn.IFNA(SQRT((VLOOKUP(BF$1,DATA!$A$3:$F$301,2,FALSE)-VLOOKUP($A83,DATA!$A$3:$F$301,2,FALSE))^2+(VLOOKUP(BF$1,DATA!$A$3:$F$301,3,FALSE)-VLOOKUP($A83,DATA!$A$3:$F$301,3,FALSE))^2),"")</f>
        <v/>
      </c>
      <c r="BG83" s="14" t="str">
        <f>_xlfn.IFNA(SQRT((VLOOKUP(BG$1,DATA!$A$3:$F$301,2,FALSE)-VLOOKUP($A83,DATA!$A$3:$F$301,2,FALSE))^2+(VLOOKUP(BG$1,DATA!$A$3:$F$301,3,FALSE)-VLOOKUP($A83,DATA!$A$3:$F$301,3,FALSE))^2),"")</f>
        <v/>
      </c>
      <c r="BH83" s="14" t="str">
        <f>_xlfn.IFNA(SQRT((VLOOKUP(BH$1,DATA!$A$3:$F$301,2,FALSE)-VLOOKUP($A83,DATA!$A$3:$F$301,2,FALSE))^2+(VLOOKUP(BH$1,DATA!$A$3:$F$301,3,FALSE)-VLOOKUP($A83,DATA!$A$3:$F$301,3,FALSE))^2),"")</f>
        <v/>
      </c>
      <c r="BI83" s="14" t="str">
        <f>_xlfn.IFNA(SQRT((VLOOKUP(BI$1,DATA!$A$3:$F$301,2,FALSE)-VLOOKUP($A83,DATA!$A$3:$F$301,2,FALSE))^2+(VLOOKUP(BI$1,DATA!$A$3:$F$301,3,FALSE)-VLOOKUP($A83,DATA!$A$3:$F$301,3,FALSE))^2),"")</f>
        <v/>
      </c>
      <c r="BJ83" s="14" t="str">
        <f>_xlfn.IFNA(SQRT((VLOOKUP(BJ$1,DATA!$A$3:$F$301,2,FALSE)-VLOOKUP($A83,DATA!$A$3:$F$301,2,FALSE))^2+(VLOOKUP(BJ$1,DATA!$A$3:$F$301,3,FALSE)-VLOOKUP($A83,DATA!$A$3:$F$301,3,FALSE))^2),"")</f>
        <v/>
      </c>
      <c r="BK83" s="14" t="str">
        <f>_xlfn.IFNA(SQRT((VLOOKUP(BK$1,DATA!$A$3:$F$301,2,FALSE)-VLOOKUP($A83,DATA!$A$3:$F$301,2,FALSE))^2+(VLOOKUP(BK$1,DATA!$A$3:$F$301,3,FALSE)-VLOOKUP($A83,DATA!$A$3:$F$301,3,FALSE))^2),"")</f>
        <v/>
      </c>
      <c r="BL83" s="14" t="str">
        <f>_xlfn.IFNA(SQRT((VLOOKUP(BL$1,DATA!$A$3:$F$301,2,FALSE)-VLOOKUP($A83,DATA!$A$3:$F$301,2,FALSE))^2+(VLOOKUP(BL$1,DATA!$A$3:$F$301,3,FALSE)-VLOOKUP($A83,DATA!$A$3:$F$301,3,FALSE))^2),"")</f>
        <v/>
      </c>
      <c r="BM83" s="14" t="str">
        <f>_xlfn.IFNA(SQRT((VLOOKUP(BM$1,DATA!$A$3:$F$301,2,FALSE)-VLOOKUP($A83,DATA!$A$3:$F$301,2,FALSE))^2+(VLOOKUP(BM$1,DATA!$A$3:$F$301,3,FALSE)-VLOOKUP($A83,DATA!$A$3:$F$301,3,FALSE))^2),"")</f>
        <v/>
      </c>
      <c r="BN83" s="14" t="str">
        <f>_xlfn.IFNA(SQRT((VLOOKUP(BN$1,DATA!$A$3:$F$301,2,FALSE)-VLOOKUP($A83,DATA!$A$3:$F$301,2,FALSE))^2+(VLOOKUP(BN$1,DATA!$A$3:$F$301,3,FALSE)-VLOOKUP($A83,DATA!$A$3:$F$301,3,FALSE))^2),"")</f>
        <v/>
      </c>
      <c r="BO83" s="14" t="str">
        <f>_xlfn.IFNA(SQRT((VLOOKUP(BO$1,DATA!$A$3:$F$301,2,FALSE)-VLOOKUP($A83,DATA!$A$3:$F$301,2,FALSE))^2+(VLOOKUP(BO$1,DATA!$A$3:$F$301,3,FALSE)-VLOOKUP($A83,DATA!$A$3:$F$301,3,FALSE))^2),"")</f>
        <v/>
      </c>
      <c r="BP83" s="14" t="str">
        <f>_xlfn.IFNA(SQRT((VLOOKUP(BP$1,DATA!$A$3:$F$301,2,FALSE)-VLOOKUP($A83,DATA!$A$3:$F$301,2,FALSE))^2+(VLOOKUP(BP$1,DATA!$A$3:$F$301,3,FALSE)-VLOOKUP($A83,DATA!$A$3:$F$301,3,FALSE))^2),"")</f>
        <v/>
      </c>
      <c r="BQ83" s="14" t="str">
        <f>_xlfn.IFNA(SQRT((VLOOKUP(BQ$1,DATA!$A$3:$F$301,2,FALSE)-VLOOKUP($A83,DATA!$A$3:$F$301,2,FALSE))^2+(VLOOKUP(BQ$1,DATA!$A$3:$F$301,3,FALSE)-VLOOKUP($A83,DATA!$A$3:$F$301,3,FALSE))^2),"")</f>
        <v/>
      </c>
      <c r="BR83" s="14" t="str">
        <f>_xlfn.IFNA(SQRT((VLOOKUP(BR$1,DATA!$A$3:$F$301,2,FALSE)-VLOOKUP($A83,DATA!$A$3:$F$301,2,FALSE))^2+(VLOOKUP(BR$1,DATA!$A$3:$F$301,3,FALSE)-VLOOKUP($A83,DATA!$A$3:$F$301,3,FALSE))^2),"")</f>
        <v/>
      </c>
      <c r="BS83" s="14" t="str">
        <f>_xlfn.IFNA(SQRT((VLOOKUP(BS$1,DATA!$A$3:$F$301,2,FALSE)-VLOOKUP($A83,DATA!$A$3:$F$301,2,FALSE))^2+(VLOOKUP(BS$1,DATA!$A$3:$F$301,3,FALSE)-VLOOKUP($A83,DATA!$A$3:$F$301,3,FALSE))^2),"")</f>
        <v/>
      </c>
      <c r="BT83" s="14" t="str">
        <f>_xlfn.IFNA(SQRT((VLOOKUP(BT$1,DATA!$A$3:$F$301,2,FALSE)-VLOOKUP($A83,DATA!$A$3:$F$301,2,FALSE))^2+(VLOOKUP(BT$1,DATA!$A$3:$F$301,3,FALSE)-VLOOKUP($A83,DATA!$A$3:$F$301,3,FALSE))^2),"")</f>
        <v/>
      </c>
      <c r="BU83" s="14" t="str">
        <f>_xlfn.IFNA(SQRT((VLOOKUP(BU$1,DATA!$A$3:$F$301,2,FALSE)-VLOOKUP($A83,DATA!$A$3:$F$301,2,FALSE))^2+(VLOOKUP(BU$1,DATA!$A$3:$F$301,3,FALSE)-VLOOKUP($A83,DATA!$A$3:$F$301,3,FALSE))^2),"")</f>
        <v/>
      </c>
      <c r="BV83" s="14" t="str">
        <f>_xlfn.IFNA(SQRT((VLOOKUP(BV$1,DATA!$A$3:$F$301,2,FALSE)-VLOOKUP($A83,DATA!$A$3:$F$301,2,FALSE))^2+(VLOOKUP(BV$1,DATA!$A$3:$F$301,3,FALSE)-VLOOKUP($A83,DATA!$A$3:$F$301,3,FALSE))^2),"")</f>
        <v/>
      </c>
      <c r="BW83" s="14" t="str">
        <f>_xlfn.IFNA(SQRT((VLOOKUP(BW$1,DATA!$A$3:$F$301,2,FALSE)-VLOOKUP($A83,DATA!$A$3:$F$301,2,FALSE))^2+(VLOOKUP(BW$1,DATA!$A$3:$F$301,3,FALSE)-VLOOKUP($A83,DATA!$A$3:$F$301,3,FALSE))^2),"")</f>
        <v/>
      </c>
      <c r="BX83" s="14" t="str">
        <f>_xlfn.IFNA(SQRT((VLOOKUP(BX$1,DATA!$A$3:$F$301,2,FALSE)-VLOOKUP($A83,DATA!$A$3:$F$301,2,FALSE))^2+(VLOOKUP(BX$1,DATA!$A$3:$F$301,3,FALSE)-VLOOKUP($A83,DATA!$A$3:$F$301,3,FALSE))^2),"")</f>
        <v/>
      </c>
      <c r="BY83" s="14" t="str">
        <f>_xlfn.IFNA(SQRT((VLOOKUP(BY$1,DATA!$A$3:$F$301,2,FALSE)-VLOOKUP($A83,DATA!$A$3:$F$301,2,FALSE))^2+(VLOOKUP(BY$1,DATA!$A$3:$F$301,3,FALSE)-VLOOKUP($A83,DATA!$A$3:$F$301,3,FALSE))^2),"")</f>
        <v/>
      </c>
      <c r="BZ83" s="14" t="str">
        <f>_xlfn.IFNA(SQRT((VLOOKUP(BZ$1,DATA!$A$3:$F$301,2,FALSE)-VLOOKUP($A83,DATA!$A$3:$F$301,2,FALSE))^2+(VLOOKUP(BZ$1,DATA!$A$3:$F$301,3,FALSE)-VLOOKUP($A83,DATA!$A$3:$F$301,3,FALSE))^2),"")</f>
        <v/>
      </c>
      <c r="CA83" s="14" t="str">
        <f>_xlfn.IFNA(SQRT((VLOOKUP(CA$1,DATA!$A$3:$F$301,2,FALSE)-VLOOKUP($A83,DATA!$A$3:$F$301,2,FALSE))^2+(VLOOKUP(CA$1,DATA!$A$3:$F$301,3,FALSE)-VLOOKUP($A83,DATA!$A$3:$F$301,3,FALSE))^2),"")</f>
        <v/>
      </c>
      <c r="CB83" s="14" t="str">
        <f>_xlfn.IFNA(SQRT((VLOOKUP(CB$1,DATA!$A$3:$F$301,2,FALSE)-VLOOKUP($A83,DATA!$A$3:$F$301,2,FALSE))^2+(VLOOKUP(CB$1,DATA!$A$3:$F$301,3,FALSE)-VLOOKUP($A83,DATA!$A$3:$F$301,3,FALSE))^2),"")</f>
        <v/>
      </c>
      <c r="CC83" s="14" t="str">
        <f>_xlfn.IFNA(SQRT((VLOOKUP(CC$1,DATA!$A$3:$F$301,2,FALSE)-VLOOKUP($A83,DATA!$A$3:$F$301,2,FALSE))^2+(VLOOKUP(CC$1,DATA!$A$3:$F$301,3,FALSE)-VLOOKUP($A83,DATA!$A$3:$F$301,3,FALSE))^2),"")</f>
        <v/>
      </c>
      <c r="CD83" s="14" t="str">
        <f>_xlfn.IFNA(SQRT((VLOOKUP(CD$1,DATA!$A$3:$F$301,2,FALSE)-VLOOKUP($A83,DATA!$A$3:$F$301,2,FALSE))^2+(VLOOKUP(CD$1,DATA!$A$3:$F$301,3,FALSE)-VLOOKUP($A83,DATA!$A$3:$F$301,3,FALSE))^2),"")</f>
        <v/>
      </c>
      <c r="CE83" s="14" t="str">
        <f>_xlfn.IFNA(SQRT((VLOOKUP(CE$1,DATA!$A$3:$F$301,2,FALSE)-VLOOKUP($A83,DATA!$A$3:$F$301,2,FALSE))^2+(VLOOKUP(CE$1,DATA!$A$3:$F$301,3,FALSE)-VLOOKUP($A83,DATA!$A$3:$F$301,3,FALSE))^2),"")</f>
        <v/>
      </c>
      <c r="CF83" s="14" t="str">
        <f>_xlfn.IFNA(SQRT((VLOOKUP(CF$1,DATA!$A$3:$F$301,2,FALSE)-VLOOKUP($A83,DATA!$A$3:$F$301,2,FALSE))^2+(VLOOKUP(CF$1,DATA!$A$3:$F$301,3,FALSE)-VLOOKUP($A83,DATA!$A$3:$F$301,3,FALSE))^2),"")</f>
        <v/>
      </c>
      <c r="CG83" s="14" t="str">
        <f>_xlfn.IFNA(SQRT((VLOOKUP(CG$1,DATA!$A$3:$F$301,2,FALSE)-VLOOKUP($A83,DATA!$A$3:$F$301,2,FALSE))^2+(VLOOKUP(CG$1,DATA!$A$3:$F$301,3,FALSE)-VLOOKUP($A83,DATA!$A$3:$F$301,3,FALSE))^2),"")</f>
        <v/>
      </c>
      <c r="CH83" s="14" t="str">
        <f>_xlfn.IFNA(SQRT((VLOOKUP(CH$1,DATA!$A$3:$F$301,2,FALSE)-VLOOKUP($A83,DATA!$A$3:$F$301,2,FALSE))^2+(VLOOKUP(CH$1,DATA!$A$3:$F$301,3,FALSE)-VLOOKUP($A83,DATA!$A$3:$F$301,3,FALSE))^2),"")</f>
        <v/>
      </c>
      <c r="CI83" s="14" t="str">
        <f>_xlfn.IFNA(SQRT((VLOOKUP(CI$1,DATA!$A$3:$F$301,2,FALSE)-VLOOKUP($A83,DATA!$A$3:$F$301,2,FALSE))^2+(VLOOKUP(CI$1,DATA!$A$3:$F$301,3,FALSE)-VLOOKUP($A83,DATA!$A$3:$F$301,3,FALSE))^2),"")</f>
        <v/>
      </c>
      <c r="CJ83" s="14" t="str">
        <f>_xlfn.IFNA(SQRT((VLOOKUP(CJ$1,DATA!$A$3:$F$301,2,FALSE)-VLOOKUP($A83,DATA!$A$3:$F$301,2,FALSE))^2+(VLOOKUP(CJ$1,DATA!$A$3:$F$301,3,FALSE)-VLOOKUP($A83,DATA!$A$3:$F$301,3,FALSE))^2),"")</f>
        <v/>
      </c>
      <c r="CK83" s="14" t="str">
        <f>_xlfn.IFNA(SQRT((VLOOKUP(CK$1,DATA!$A$3:$F$301,2,FALSE)-VLOOKUP($A83,DATA!$A$3:$F$301,2,FALSE))^2+(VLOOKUP(CK$1,DATA!$A$3:$F$301,3,FALSE)-VLOOKUP($A83,DATA!$A$3:$F$301,3,FALSE))^2),"")</f>
        <v/>
      </c>
      <c r="CL83" s="14" t="str">
        <f>_xlfn.IFNA(SQRT((VLOOKUP(CL$1,DATA!$A$3:$F$301,2,FALSE)-VLOOKUP($A83,DATA!$A$3:$F$301,2,FALSE))^2+(VLOOKUP(CL$1,DATA!$A$3:$F$301,3,FALSE)-VLOOKUP($A83,DATA!$A$3:$F$301,3,FALSE))^2),"")</f>
        <v/>
      </c>
      <c r="CM83" s="14" t="str">
        <f>_xlfn.IFNA(SQRT((VLOOKUP(CM$1,DATA!$A$3:$F$301,2,FALSE)-VLOOKUP($A83,DATA!$A$3:$F$301,2,FALSE))^2+(VLOOKUP(CM$1,DATA!$A$3:$F$301,3,FALSE)-VLOOKUP($A83,DATA!$A$3:$F$301,3,FALSE))^2),"")</f>
        <v/>
      </c>
      <c r="CN83" s="14" t="str">
        <f>_xlfn.IFNA(SQRT((VLOOKUP(CN$1,DATA!$A$3:$F$301,2,FALSE)-VLOOKUP($A83,DATA!$A$3:$F$301,2,FALSE))^2+(VLOOKUP(CN$1,DATA!$A$3:$F$301,3,FALSE)-VLOOKUP($A83,DATA!$A$3:$F$301,3,FALSE))^2),"")</f>
        <v/>
      </c>
      <c r="CO83" s="14" t="str">
        <f>_xlfn.IFNA(SQRT((VLOOKUP(CO$1,DATA!$A$3:$F$301,2,FALSE)-VLOOKUP($A83,DATA!$A$3:$F$301,2,FALSE))^2+(VLOOKUP(CO$1,DATA!$A$3:$F$301,3,FALSE)-VLOOKUP($A83,DATA!$A$3:$F$301,3,FALSE))^2),"")</f>
        <v/>
      </c>
      <c r="CP83" s="14" t="str">
        <f>_xlfn.IFNA(SQRT((VLOOKUP(CP$1,DATA!$A$3:$F$301,2,FALSE)-VLOOKUP($A83,DATA!$A$3:$F$301,2,FALSE))^2+(VLOOKUP(CP$1,DATA!$A$3:$F$301,3,FALSE)-VLOOKUP($A83,DATA!$A$3:$F$301,3,FALSE))^2),"")</f>
        <v/>
      </c>
      <c r="CQ83" s="14" t="str">
        <f>_xlfn.IFNA(SQRT((VLOOKUP(CQ$1,DATA!$A$3:$F$301,2,FALSE)-VLOOKUP($A83,DATA!$A$3:$F$301,2,FALSE))^2+(VLOOKUP(CQ$1,DATA!$A$3:$F$301,3,FALSE)-VLOOKUP($A83,DATA!$A$3:$F$301,3,FALSE))^2),"")</f>
        <v/>
      </c>
      <c r="CR83" s="14" t="str">
        <f>_xlfn.IFNA(SQRT((VLOOKUP(CR$1,DATA!$A$3:$F$301,2,FALSE)-VLOOKUP($A83,DATA!$A$3:$F$301,2,FALSE))^2+(VLOOKUP(CR$1,DATA!$A$3:$F$301,3,FALSE)-VLOOKUP($A83,DATA!$A$3:$F$301,3,FALSE))^2),"")</f>
        <v/>
      </c>
      <c r="CS83" s="14" t="str">
        <f>_xlfn.IFNA(SQRT((VLOOKUP(CS$1,DATA!$A$3:$F$301,2,FALSE)-VLOOKUP($A83,DATA!$A$3:$F$301,2,FALSE))^2+(VLOOKUP(CS$1,DATA!$A$3:$F$301,3,FALSE)-VLOOKUP($A83,DATA!$A$3:$F$301,3,FALSE))^2),"")</f>
        <v/>
      </c>
      <c r="CT83" s="14" t="str">
        <f>_xlfn.IFNA(SQRT((VLOOKUP(CT$1,DATA!$A$3:$F$301,2,FALSE)-VLOOKUP($A83,DATA!$A$3:$F$301,2,FALSE))^2+(VLOOKUP(CT$1,DATA!$A$3:$F$301,3,FALSE)-VLOOKUP($A83,DATA!$A$3:$F$301,3,FALSE))^2),"")</f>
        <v/>
      </c>
      <c r="CU83" s="14" t="str">
        <f>_xlfn.IFNA(SQRT((VLOOKUP(CU$1,DATA!$A$3:$F$301,2,FALSE)-VLOOKUP($A83,DATA!$A$3:$F$301,2,FALSE))^2+(VLOOKUP(CU$1,DATA!$A$3:$F$301,3,FALSE)-VLOOKUP($A83,DATA!$A$3:$F$301,3,FALSE))^2),"")</f>
        <v/>
      </c>
      <c r="CV83" s="14" t="str">
        <f>_xlfn.IFNA(SQRT((VLOOKUP(CV$1,DATA!$A$3:$F$301,2,FALSE)-VLOOKUP($A83,DATA!$A$3:$F$301,2,FALSE))^2+(VLOOKUP(CV$1,DATA!$A$3:$F$301,3,FALSE)-VLOOKUP($A83,DATA!$A$3:$F$301,3,FALSE))^2),"")</f>
        <v/>
      </c>
      <c r="CW83" s="14" t="str">
        <f>_xlfn.IFNA(SQRT((VLOOKUP(CW$1,DATA!$A$3:$F$301,2,FALSE)-VLOOKUP($A83,DATA!$A$3:$F$301,2,FALSE))^2+(VLOOKUP(CW$1,DATA!$A$3:$F$301,3,FALSE)-VLOOKUP($A83,DATA!$A$3:$F$301,3,FALSE))^2),"")</f>
        <v/>
      </c>
      <c r="CX83" s="14" t="str">
        <f>_xlfn.IFNA(SQRT((VLOOKUP(CX$1,DATA!$A$3:$F$301,2,FALSE)-VLOOKUP($A83,DATA!$A$3:$F$301,2,FALSE))^2+(VLOOKUP(CX$1,DATA!$A$3:$F$301,3,FALSE)-VLOOKUP($A83,DATA!$A$3:$F$301,3,FALSE))^2),"")</f>
        <v/>
      </c>
    </row>
    <row r="84" spans="1:102">
      <c r="A84" s="13">
        <v>83</v>
      </c>
      <c r="B84" s="14" t="str">
        <f>_xlfn.IFNA(SQRT((VLOOKUP(B$1,DATA!$A$3:$F$301,2,FALSE)-VLOOKUP($A84,DATA!$A$3:$F$301,2,FALSE))^2+(VLOOKUP(B$1,DATA!$A$3:$F$301,3,FALSE)-VLOOKUP($A84,DATA!$A$3:$F$301,3,FALSE))^2),"")</f>
        <v/>
      </c>
      <c r="C84" s="14" t="str">
        <f>_xlfn.IFNA(SQRT((VLOOKUP(C$1,DATA!$A$3:$F$301,2,FALSE)-VLOOKUP($A84,DATA!$A$3:$F$301,2,FALSE))^2+(VLOOKUP(C$1,DATA!$A$3:$F$301,3,FALSE)-VLOOKUP($A84,DATA!$A$3:$F$301,3,FALSE))^2),"")</f>
        <v/>
      </c>
      <c r="D84" s="14" t="str">
        <f>_xlfn.IFNA(SQRT((VLOOKUP(D$1,DATA!$A$3:$F$301,2,FALSE)-VLOOKUP($A84,DATA!$A$3:$F$301,2,FALSE))^2+(VLOOKUP(D$1,DATA!$A$3:$F$301,3,FALSE)-VLOOKUP($A84,DATA!$A$3:$F$301,3,FALSE))^2),"")</f>
        <v/>
      </c>
      <c r="E84" s="14" t="str">
        <f>_xlfn.IFNA(SQRT((VLOOKUP(E$1,DATA!$A$3:$F$301,2,FALSE)-VLOOKUP($A84,DATA!$A$3:$F$301,2,FALSE))^2+(VLOOKUP(E$1,DATA!$A$3:$F$301,3,FALSE)-VLOOKUP($A84,DATA!$A$3:$F$301,3,FALSE))^2),"")</f>
        <v/>
      </c>
      <c r="F84" s="14" t="str">
        <f>_xlfn.IFNA(SQRT((VLOOKUP(F$1,DATA!$A$3:$F$301,2,FALSE)-VLOOKUP($A84,DATA!$A$3:$F$301,2,FALSE))^2+(VLOOKUP(F$1,DATA!$A$3:$F$301,3,FALSE)-VLOOKUP($A84,DATA!$A$3:$F$301,3,FALSE))^2),"")</f>
        <v/>
      </c>
      <c r="G84" s="14" t="str">
        <f>_xlfn.IFNA(SQRT((VLOOKUP(G$1,DATA!$A$3:$F$301,2,FALSE)-VLOOKUP($A84,DATA!$A$3:$F$301,2,FALSE))^2+(VLOOKUP(G$1,DATA!$A$3:$F$301,3,FALSE)-VLOOKUP($A84,DATA!$A$3:$F$301,3,FALSE))^2),"")</f>
        <v/>
      </c>
      <c r="H84" s="14" t="str">
        <f>_xlfn.IFNA(SQRT((VLOOKUP(H$1,DATA!$A$3:$F$301,2,FALSE)-VLOOKUP($A84,DATA!$A$3:$F$301,2,FALSE))^2+(VLOOKUP(H$1,DATA!$A$3:$F$301,3,FALSE)-VLOOKUP($A84,DATA!$A$3:$F$301,3,FALSE))^2),"")</f>
        <v/>
      </c>
      <c r="I84" s="14" t="str">
        <f>_xlfn.IFNA(SQRT((VLOOKUP(I$1,DATA!$A$3:$F$301,2,FALSE)-VLOOKUP($A84,DATA!$A$3:$F$301,2,FALSE))^2+(VLOOKUP(I$1,DATA!$A$3:$F$301,3,FALSE)-VLOOKUP($A84,DATA!$A$3:$F$301,3,FALSE))^2),"")</f>
        <v/>
      </c>
      <c r="J84" s="14" t="str">
        <f>_xlfn.IFNA(SQRT((VLOOKUP(J$1,DATA!$A$3:$F$301,2,FALSE)-VLOOKUP($A84,DATA!$A$3:$F$301,2,FALSE))^2+(VLOOKUP(J$1,DATA!$A$3:$F$301,3,FALSE)-VLOOKUP($A84,DATA!$A$3:$F$301,3,FALSE))^2),"")</f>
        <v/>
      </c>
      <c r="K84" s="14" t="str">
        <f>_xlfn.IFNA(SQRT((VLOOKUP(K$1,DATA!$A$3:$F$301,2,FALSE)-VLOOKUP($A84,DATA!$A$3:$F$301,2,FALSE))^2+(VLOOKUP(K$1,DATA!$A$3:$F$301,3,FALSE)-VLOOKUP($A84,DATA!$A$3:$F$301,3,FALSE))^2),"")</f>
        <v/>
      </c>
      <c r="L84" s="14" t="str">
        <f>_xlfn.IFNA(SQRT((VLOOKUP(L$1,DATA!$A$3:$F$301,2,FALSE)-VLOOKUP($A84,DATA!$A$3:$F$301,2,FALSE))^2+(VLOOKUP(L$1,DATA!$A$3:$F$301,3,FALSE)-VLOOKUP($A84,DATA!$A$3:$F$301,3,FALSE))^2),"")</f>
        <v/>
      </c>
      <c r="M84" s="14" t="str">
        <f>_xlfn.IFNA(SQRT((VLOOKUP(M$1,DATA!$A$3:$F$301,2,FALSE)-VLOOKUP($A84,DATA!$A$3:$F$301,2,FALSE))^2+(VLOOKUP(M$1,DATA!$A$3:$F$301,3,FALSE)-VLOOKUP($A84,DATA!$A$3:$F$301,3,FALSE))^2),"")</f>
        <v/>
      </c>
      <c r="N84" s="14" t="str">
        <f>_xlfn.IFNA(SQRT((VLOOKUP(N$1,DATA!$A$3:$F$301,2,FALSE)-VLOOKUP($A84,DATA!$A$3:$F$301,2,FALSE))^2+(VLOOKUP(N$1,DATA!$A$3:$F$301,3,FALSE)-VLOOKUP($A84,DATA!$A$3:$F$301,3,FALSE))^2),"")</f>
        <v/>
      </c>
      <c r="O84" s="14" t="str">
        <f>_xlfn.IFNA(SQRT((VLOOKUP(O$1,DATA!$A$3:$F$301,2,FALSE)-VLOOKUP($A84,DATA!$A$3:$F$301,2,FALSE))^2+(VLOOKUP(O$1,DATA!$A$3:$F$301,3,FALSE)-VLOOKUP($A84,DATA!$A$3:$F$301,3,FALSE))^2),"")</f>
        <v/>
      </c>
      <c r="P84" s="14" t="str">
        <f>_xlfn.IFNA(SQRT((VLOOKUP(P$1,DATA!$A$3:$F$301,2,FALSE)-VLOOKUP($A84,DATA!$A$3:$F$301,2,FALSE))^2+(VLOOKUP(P$1,DATA!$A$3:$F$301,3,FALSE)-VLOOKUP($A84,DATA!$A$3:$F$301,3,FALSE))^2),"")</f>
        <v/>
      </c>
      <c r="Q84" s="14" t="str">
        <f>_xlfn.IFNA(SQRT((VLOOKUP(Q$1,DATA!$A$3:$F$301,2,FALSE)-VLOOKUP($A84,DATA!$A$3:$F$301,2,FALSE))^2+(VLOOKUP(Q$1,DATA!$A$3:$F$301,3,FALSE)-VLOOKUP($A84,DATA!$A$3:$F$301,3,FALSE))^2),"")</f>
        <v/>
      </c>
      <c r="R84" s="14" t="str">
        <f>_xlfn.IFNA(SQRT((VLOOKUP(R$1,DATA!$A$3:$F$301,2,FALSE)-VLOOKUP($A84,DATA!$A$3:$F$301,2,FALSE))^2+(VLOOKUP(R$1,DATA!$A$3:$F$301,3,FALSE)-VLOOKUP($A84,DATA!$A$3:$F$301,3,FALSE))^2),"")</f>
        <v/>
      </c>
      <c r="S84" s="14" t="str">
        <f>_xlfn.IFNA(SQRT((VLOOKUP(S$1,DATA!$A$3:$F$301,2,FALSE)-VLOOKUP($A84,DATA!$A$3:$F$301,2,FALSE))^2+(VLOOKUP(S$1,DATA!$A$3:$F$301,3,FALSE)-VLOOKUP($A84,DATA!$A$3:$F$301,3,FALSE))^2),"")</f>
        <v/>
      </c>
      <c r="T84" s="14" t="str">
        <f>_xlfn.IFNA(SQRT((VLOOKUP(T$1,DATA!$A$3:$F$301,2,FALSE)-VLOOKUP($A84,DATA!$A$3:$F$301,2,FALSE))^2+(VLOOKUP(T$1,DATA!$A$3:$F$301,3,FALSE)-VLOOKUP($A84,DATA!$A$3:$F$301,3,FALSE))^2),"")</f>
        <v/>
      </c>
      <c r="U84" s="14" t="str">
        <f>_xlfn.IFNA(SQRT((VLOOKUP(U$1,DATA!$A$3:$F$301,2,FALSE)-VLOOKUP($A84,DATA!$A$3:$F$301,2,FALSE))^2+(VLOOKUP(U$1,DATA!$A$3:$F$301,3,FALSE)-VLOOKUP($A84,DATA!$A$3:$F$301,3,FALSE))^2),"")</f>
        <v/>
      </c>
      <c r="V84" s="14" t="str">
        <f>_xlfn.IFNA(SQRT((VLOOKUP(V$1,DATA!$A$3:$F$301,2,FALSE)-VLOOKUP($A84,DATA!$A$3:$F$301,2,FALSE))^2+(VLOOKUP(V$1,DATA!$A$3:$F$301,3,FALSE)-VLOOKUP($A84,DATA!$A$3:$F$301,3,FALSE))^2),"")</f>
        <v/>
      </c>
      <c r="W84" s="14" t="str">
        <f>_xlfn.IFNA(SQRT((VLOOKUP(W$1,DATA!$A$3:$F$301,2,FALSE)-VLOOKUP($A84,DATA!$A$3:$F$301,2,FALSE))^2+(VLOOKUP(W$1,DATA!$A$3:$F$301,3,FALSE)-VLOOKUP($A84,DATA!$A$3:$F$301,3,FALSE))^2),"")</f>
        <v/>
      </c>
      <c r="X84" s="14" t="str">
        <f>_xlfn.IFNA(SQRT((VLOOKUP(X$1,DATA!$A$3:$F$301,2,FALSE)-VLOOKUP($A84,DATA!$A$3:$F$301,2,FALSE))^2+(VLOOKUP(X$1,DATA!$A$3:$F$301,3,FALSE)-VLOOKUP($A84,DATA!$A$3:$F$301,3,FALSE))^2),"")</f>
        <v/>
      </c>
      <c r="Y84" s="14" t="str">
        <f>_xlfn.IFNA(SQRT((VLOOKUP(Y$1,DATA!$A$3:$F$301,2,FALSE)-VLOOKUP($A84,DATA!$A$3:$F$301,2,FALSE))^2+(VLOOKUP(Y$1,DATA!$A$3:$F$301,3,FALSE)-VLOOKUP($A84,DATA!$A$3:$F$301,3,FALSE))^2),"")</f>
        <v/>
      </c>
      <c r="Z84" s="14" t="str">
        <f>_xlfn.IFNA(SQRT((VLOOKUP(Z$1,DATA!$A$3:$F$301,2,FALSE)-VLOOKUP($A84,DATA!$A$3:$F$301,2,FALSE))^2+(VLOOKUP(Z$1,DATA!$A$3:$F$301,3,FALSE)-VLOOKUP($A84,DATA!$A$3:$F$301,3,FALSE))^2),"")</f>
        <v/>
      </c>
      <c r="AA84" s="14" t="str">
        <f>_xlfn.IFNA(SQRT((VLOOKUP(AA$1,DATA!$A$3:$F$301,2,FALSE)-VLOOKUP($A84,DATA!$A$3:$F$301,2,FALSE))^2+(VLOOKUP(AA$1,DATA!$A$3:$F$301,3,FALSE)-VLOOKUP($A84,DATA!$A$3:$F$301,3,FALSE))^2),"")</f>
        <v/>
      </c>
      <c r="AB84" s="14" t="str">
        <f>_xlfn.IFNA(SQRT((VLOOKUP(AB$1,DATA!$A$3:$F$301,2,FALSE)-VLOOKUP($A84,DATA!$A$3:$F$301,2,FALSE))^2+(VLOOKUP(AB$1,DATA!$A$3:$F$301,3,FALSE)-VLOOKUP($A84,DATA!$A$3:$F$301,3,FALSE))^2),"")</f>
        <v/>
      </c>
      <c r="AC84" s="14" t="str">
        <f>_xlfn.IFNA(SQRT((VLOOKUP(AC$1,DATA!$A$3:$F$301,2,FALSE)-VLOOKUP($A84,DATA!$A$3:$F$301,2,FALSE))^2+(VLOOKUP(AC$1,DATA!$A$3:$F$301,3,FALSE)-VLOOKUP($A84,DATA!$A$3:$F$301,3,FALSE))^2),"")</f>
        <v/>
      </c>
      <c r="AD84" s="14" t="str">
        <f>_xlfn.IFNA(SQRT((VLOOKUP(AD$1,DATA!$A$3:$F$301,2,FALSE)-VLOOKUP($A84,DATA!$A$3:$F$301,2,FALSE))^2+(VLOOKUP(AD$1,DATA!$A$3:$F$301,3,FALSE)-VLOOKUP($A84,DATA!$A$3:$F$301,3,FALSE))^2),"")</f>
        <v/>
      </c>
      <c r="AE84" s="14" t="str">
        <f>_xlfn.IFNA(SQRT((VLOOKUP(AE$1,DATA!$A$3:$F$301,2,FALSE)-VLOOKUP($A84,DATA!$A$3:$F$301,2,FALSE))^2+(VLOOKUP(AE$1,DATA!$A$3:$F$301,3,FALSE)-VLOOKUP($A84,DATA!$A$3:$F$301,3,FALSE))^2),"")</f>
        <v/>
      </c>
      <c r="AF84" s="14" t="str">
        <f>_xlfn.IFNA(SQRT((VLOOKUP(AF$1,DATA!$A$3:$F$301,2,FALSE)-VLOOKUP($A84,DATA!$A$3:$F$301,2,FALSE))^2+(VLOOKUP(AF$1,DATA!$A$3:$F$301,3,FALSE)-VLOOKUP($A84,DATA!$A$3:$F$301,3,FALSE))^2),"")</f>
        <v/>
      </c>
      <c r="AG84" s="14" t="str">
        <f>_xlfn.IFNA(SQRT((VLOOKUP(AG$1,DATA!$A$3:$F$301,2,FALSE)-VLOOKUP($A84,DATA!$A$3:$F$301,2,FALSE))^2+(VLOOKUP(AG$1,DATA!$A$3:$F$301,3,FALSE)-VLOOKUP($A84,DATA!$A$3:$F$301,3,FALSE))^2),"")</f>
        <v/>
      </c>
      <c r="AH84" s="14" t="str">
        <f>_xlfn.IFNA(SQRT((VLOOKUP(AH$1,DATA!$A$3:$F$301,2,FALSE)-VLOOKUP($A84,DATA!$A$3:$F$301,2,FALSE))^2+(VLOOKUP(AH$1,DATA!$A$3:$F$301,3,FALSE)-VLOOKUP($A84,DATA!$A$3:$F$301,3,FALSE))^2),"")</f>
        <v/>
      </c>
      <c r="AI84" s="14" t="str">
        <f>_xlfn.IFNA(SQRT((VLOOKUP(AI$1,DATA!$A$3:$F$301,2,FALSE)-VLOOKUP($A84,DATA!$A$3:$F$301,2,FALSE))^2+(VLOOKUP(AI$1,DATA!$A$3:$F$301,3,FALSE)-VLOOKUP($A84,DATA!$A$3:$F$301,3,FALSE))^2),"")</f>
        <v/>
      </c>
      <c r="AJ84" s="14" t="str">
        <f>_xlfn.IFNA(SQRT((VLOOKUP(AJ$1,DATA!$A$3:$F$301,2,FALSE)-VLOOKUP($A84,DATA!$A$3:$F$301,2,FALSE))^2+(VLOOKUP(AJ$1,DATA!$A$3:$F$301,3,FALSE)-VLOOKUP($A84,DATA!$A$3:$F$301,3,FALSE))^2),"")</f>
        <v/>
      </c>
      <c r="AK84" s="14" t="str">
        <f>_xlfn.IFNA(SQRT((VLOOKUP(AK$1,DATA!$A$3:$F$301,2,FALSE)-VLOOKUP($A84,DATA!$A$3:$F$301,2,FALSE))^2+(VLOOKUP(AK$1,DATA!$A$3:$F$301,3,FALSE)-VLOOKUP($A84,DATA!$A$3:$F$301,3,FALSE))^2),"")</f>
        <v/>
      </c>
      <c r="AL84" s="14" t="str">
        <f>_xlfn.IFNA(SQRT((VLOOKUP(AL$1,DATA!$A$3:$F$301,2,FALSE)-VLOOKUP($A84,DATA!$A$3:$F$301,2,FALSE))^2+(VLOOKUP(AL$1,DATA!$A$3:$F$301,3,FALSE)-VLOOKUP($A84,DATA!$A$3:$F$301,3,FALSE))^2),"")</f>
        <v/>
      </c>
      <c r="AM84" s="14" t="str">
        <f>_xlfn.IFNA(SQRT((VLOOKUP(AM$1,DATA!$A$3:$F$301,2,FALSE)-VLOOKUP($A84,DATA!$A$3:$F$301,2,FALSE))^2+(VLOOKUP(AM$1,DATA!$A$3:$F$301,3,FALSE)-VLOOKUP($A84,DATA!$A$3:$F$301,3,FALSE))^2),"")</f>
        <v/>
      </c>
      <c r="AN84" s="14" t="str">
        <f>_xlfn.IFNA(SQRT((VLOOKUP(AN$1,DATA!$A$3:$F$301,2,FALSE)-VLOOKUP($A84,DATA!$A$3:$F$301,2,FALSE))^2+(VLOOKUP(AN$1,DATA!$A$3:$F$301,3,FALSE)-VLOOKUP($A84,DATA!$A$3:$F$301,3,FALSE))^2),"")</f>
        <v/>
      </c>
      <c r="AO84" s="14" t="str">
        <f>_xlfn.IFNA(SQRT((VLOOKUP(AO$1,DATA!$A$3:$F$301,2,FALSE)-VLOOKUP($A84,DATA!$A$3:$F$301,2,FALSE))^2+(VLOOKUP(AO$1,DATA!$A$3:$F$301,3,FALSE)-VLOOKUP($A84,DATA!$A$3:$F$301,3,FALSE))^2),"")</f>
        <v/>
      </c>
      <c r="AP84" s="14" t="str">
        <f>_xlfn.IFNA(SQRT((VLOOKUP(AP$1,DATA!$A$3:$F$301,2,FALSE)-VLOOKUP($A84,DATA!$A$3:$F$301,2,FALSE))^2+(VLOOKUP(AP$1,DATA!$A$3:$F$301,3,FALSE)-VLOOKUP($A84,DATA!$A$3:$F$301,3,FALSE))^2),"")</f>
        <v/>
      </c>
      <c r="AQ84" s="14" t="str">
        <f>_xlfn.IFNA(SQRT((VLOOKUP(AQ$1,DATA!$A$3:$F$301,2,FALSE)-VLOOKUP($A84,DATA!$A$3:$F$301,2,FALSE))^2+(VLOOKUP(AQ$1,DATA!$A$3:$F$301,3,FALSE)-VLOOKUP($A84,DATA!$A$3:$F$301,3,FALSE))^2),"")</f>
        <v/>
      </c>
      <c r="AR84" s="14" t="str">
        <f>_xlfn.IFNA(SQRT((VLOOKUP(AR$1,DATA!$A$3:$F$301,2,FALSE)-VLOOKUP($A84,DATA!$A$3:$F$301,2,FALSE))^2+(VLOOKUP(AR$1,DATA!$A$3:$F$301,3,FALSE)-VLOOKUP($A84,DATA!$A$3:$F$301,3,FALSE))^2),"")</f>
        <v/>
      </c>
      <c r="AS84" s="14" t="str">
        <f>_xlfn.IFNA(SQRT((VLOOKUP(AS$1,DATA!$A$3:$F$301,2,FALSE)-VLOOKUP($A84,DATA!$A$3:$F$301,2,FALSE))^2+(VLOOKUP(AS$1,DATA!$A$3:$F$301,3,FALSE)-VLOOKUP($A84,DATA!$A$3:$F$301,3,FALSE))^2),"")</f>
        <v/>
      </c>
      <c r="AT84" s="14" t="str">
        <f>_xlfn.IFNA(SQRT((VLOOKUP(AT$1,DATA!$A$3:$F$301,2,FALSE)-VLOOKUP($A84,DATA!$A$3:$F$301,2,FALSE))^2+(VLOOKUP(AT$1,DATA!$A$3:$F$301,3,FALSE)-VLOOKUP($A84,DATA!$A$3:$F$301,3,FALSE))^2),"")</f>
        <v/>
      </c>
      <c r="AU84" s="14" t="str">
        <f>_xlfn.IFNA(SQRT((VLOOKUP(AU$1,DATA!$A$3:$F$301,2,FALSE)-VLOOKUP($A84,DATA!$A$3:$F$301,2,FALSE))^2+(VLOOKUP(AU$1,DATA!$A$3:$F$301,3,FALSE)-VLOOKUP($A84,DATA!$A$3:$F$301,3,FALSE))^2),"")</f>
        <v/>
      </c>
      <c r="AV84" s="14" t="str">
        <f>_xlfn.IFNA(SQRT((VLOOKUP(AV$1,DATA!$A$3:$F$301,2,FALSE)-VLOOKUP($A84,DATA!$A$3:$F$301,2,FALSE))^2+(VLOOKUP(AV$1,DATA!$A$3:$F$301,3,FALSE)-VLOOKUP($A84,DATA!$A$3:$F$301,3,FALSE))^2),"")</f>
        <v/>
      </c>
      <c r="AW84" s="14" t="str">
        <f>_xlfn.IFNA(SQRT((VLOOKUP(AW$1,DATA!$A$3:$F$301,2,FALSE)-VLOOKUP($A84,DATA!$A$3:$F$301,2,FALSE))^2+(VLOOKUP(AW$1,DATA!$A$3:$F$301,3,FALSE)-VLOOKUP($A84,DATA!$A$3:$F$301,3,FALSE))^2),"")</f>
        <v/>
      </c>
      <c r="AX84" s="14" t="str">
        <f>_xlfn.IFNA(SQRT((VLOOKUP(AX$1,DATA!$A$3:$F$301,2,FALSE)-VLOOKUP($A84,DATA!$A$3:$F$301,2,FALSE))^2+(VLOOKUP(AX$1,DATA!$A$3:$F$301,3,FALSE)-VLOOKUP($A84,DATA!$A$3:$F$301,3,FALSE))^2),"")</f>
        <v/>
      </c>
      <c r="AY84" s="14" t="str">
        <f>_xlfn.IFNA(SQRT((VLOOKUP(AY$1,DATA!$A$3:$F$301,2,FALSE)-VLOOKUP($A84,DATA!$A$3:$F$301,2,FALSE))^2+(VLOOKUP(AY$1,DATA!$A$3:$F$301,3,FALSE)-VLOOKUP($A84,DATA!$A$3:$F$301,3,FALSE))^2),"")</f>
        <v/>
      </c>
      <c r="AZ84" s="14" t="str">
        <f>_xlfn.IFNA(SQRT((VLOOKUP(AZ$1,DATA!$A$3:$F$301,2,FALSE)-VLOOKUP($A84,DATA!$A$3:$F$301,2,FALSE))^2+(VLOOKUP(AZ$1,DATA!$A$3:$F$301,3,FALSE)-VLOOKUP($A84,DATA!$A$3:$F$301,3,FALSE))^2),"")</f>
        <v/>
      </c>
      <c r="BA84" s="14" t="str">
        <f>_xlfn.IFNA(SQRT((VLOOKUP(BA$1,DATA!$A$3:$F$301,2,FALSE)-VLOOKUP($A84,DATA!$A$3:$F$301,2,FALSE))^2+(VLOOKUP(BA$1,DATA!$A$3:$F$301,3,FALSE)-VLOOKUP($A84,DATA!$A$3:$F$301,3,FALSE))^2),"")</f>
        <v/>
      </c>
      <c r="BB84" s="14" t="str">
        <f>_xlfn.IFNA(SQRT((VLOOKUP(BB$1,DATA!$A$3:$F$301,2,FALSE)-VLOOKUP($A84,DATA!$A$3:$F$301,2,FALSE))^2+(VLOOKUP(BB$1,DATA!$A$3:$F$301,3,FALSE)-VLOOKUP($A84,DATA!$A$3:$F$301,3,FALSE))^2),"")</f>
        <v/>
      </c>
      <c r="BC84" s="14" t="str">
        <f>_xlfn.IFNA(SQRT((VLOOKUP(BC$1,DATA!$A$3:$F$301,2,FALSE)-VLOOKUP($A84,DATA!$A$3:$F$301,2,FALSE))^2+(VLOOKUP(BC$1,DATA!$A$3:$F$301,3,FALSE)-VLOOKUP($A84,DATA!$A$3:$F$301,3,FALSE))^2),"")</f>
        <v/>
      </c>
      <c r="BD84" s="14" t="str">
        <f>_xlfn.IFNA(SQRT((VLOOKUP(BD$1,DATA!$A$3:$F$301,2,FALSE)-VLOOKUP($A84,DATA!$A$3:$F$301,2,FALSE))^2+(VLOOKUP(BD$1,DATA!$A$3:$F$301,3,FALSE)-VLOOKUP($A84,DATA!$A$3:$F$301,3,FALSE))^2),"")</f>
        <v/>
      </c>
      <c r="BE84" s="14" t="str">
        <f>_xlfn.IFNA(SQRT((VLOOKUP(BE$1,DATA!$A$3:$F$301,2,FALSE)-VLOOKUP($A84,DATA!$A$3:$F$301,2,FALSE))^2+(VLOOKUP(BE$1,DATA!$A$3:$F$301,3,FALSE)-VLOOKUP($A84,DATA!$A$3:$F$301,3,FALSE))^2),"")</f>
        <v/>
      </c>
      <c r="BF84" s="14" t="str">
        <f>_xlfn.IFNA(SQRT((VLOOKUP(BF$1,DATA!$A$3:$F$301,2,FALSE)-VLOOKUP($A84,DATA!$A$3:$F$301,2,FALSE))^2+(VLOOKUP(BF$1,DATA!$A$3:$F$301,3,FALSE)-VLOOKUP($A84,DATA!$A$3:$F$301,3,FALSE))^2),"")</f>
        <v/>
      </c>
      <c r="BG84" s="14" t="str">
        <f>_xlfn.IFNA(SQRT((VLOOKUP(BG$1,DATA!$A$3:$F$301,2,FALSE)-VLOOKUP($A84,DATA!$A$3:$F$301,2,FALSE))^2+(VLOOKUP(BG$1,DATA!$A$3:$F$301,3,FALSE)-VLOOKUP($A84,DATA!$A$3:$F$301,3,FALSE))^2),"")</f>
        <v/>
      </c>
      <c r="BH84" s="14" t="str">
        <f>_xlfn.IFNA(SQRT((VLOOKUP(BH$1,DATA!$A$3:$F$301,2,FALSE)-VLOOKUP($A84,DATA!$A$3:$F$301,2,FALSE))^2+(VLOOKUP(BH$1,DATA!$A$3:$F$301,3,FALSE)-VLOOKUP($A84,DATA!$A$3:$F$301,3,FALSE))^2),"")</f>
        <v/>
      </c>
      <c r="BI84" s="14" t="str">
        <f>_xlfn.IFNA(SQRT((VLOOKUP(BI$1,DATA!$A$3:$F$301,2,FALSE)-VLOOKUP($A84,DATA!$A$3:$F$301,2,FALSE))^2+(VLOOKUP(BI$1,DATA!$A$3:$F$301,3,FALSE)-VLOOKUP($A84,DATA!$A$3:$F$301,3,FALSE))^2),"")</f>
        <v/>
      </c>
      <c r="BJ84" s="14" t="str">
        <f>_xlfn.IFNA(SQRT((VLOOKUP(BJ$1,DATA!$A$3:$F$301,2,FALSE)-VLOOKUP($A84,DATA!$A$3:$F$301,2,FALSE))^2+(VLOOKUP(BJ$1,DATA!$A$3:$F$301,3,FALSE)-VLOOKUP($A84,DATA!$A$3:$F$301,3,FALSE))^2),"")</f>
        <v/>
      </c>
      <c r="BK84" s="14" t="str">
        <f>_xlfn.IFNA(SQRT((VLOOKUP(BK$1,DATA!$A$3:$F$301,2,FALSE)-VLOOKUP($A84,DATA!$A$3:$F$301,2,FALSE))^2+(VLOOKUP(BK$1,DATA!$A$3:$F$301,3,FALSE)-VLOOKUP($A84,DATA!$A$3:$F$301,3,FALSE))^2),"")</f>
        <v/>
      </c>
      <c r="BL84" s="14" t="str">
        <f>_xlfn.IFNA(SQRT((VLOOKUP(BL$1,DATA!$A$3:$F$301,2,FALSE)-VLOOKUP($A84,DATA!$A$3:$F$301,2,FALSE))^2+(VLOOKUP(BL$1,DATA!$A$3:$F$301,3,FALSE)-VLOOKUP($A84,DATA!$A$3:$F$301,3,FALSE))^2),"")</f>
        <v/>
      </c>
      <c r="BM84" s="14" t="str">
        <f>_xlfn.IFNA(SQRT((VLOOKUP(BM$1,DATA!$A$3:$F$301,2,FALSE)-VLOOKUP($A84,DATA!$A$3:$F$301,2,FALSE))^2+(VLOOKUP(BM$1,DATA!$A$3:$F$301,3,FALSE)-VLOOKUP($A84,DATA!$A$3:$F$301,3,FALSE))^2),"")</f>
        <v/>
      </c>
      <c r="BN84" s="14" t="str">
        <f>_xlfn.IFNA(SQRT((VLOOKUP(BN$1,DATA!$A$3:$F$301,2,FALSE)-VLOOKUP($A84,DATA!$A$3:$F$301,2,FALSE))^2+(VLOOKUP(BN$1,DATA!$A$3:$F$301,3,FALSE)-VLOOKUP($A84,DATA!$A$3:$F$301,3,FALSE))^2),"")</f>
        <v/>
      </c>
      <c r="BO84" s="14" t="str">
        <f>_xlfn.IFNA(SQRT((VLOOKUP(BO$1,DATA!$A$3:$F$301,2,FALSE)-VLOOKUP($A84,DATA!$A$3:$F$301,2,FALSE))^2+(VLOOKUP(BO$1,DATA!$A$3:$F$301,3,FALSE)-VLOOKUP($A84,DATA!$A$3:$F$301,3,FALSE))^2),"")</f>
        <v/>
      </c>
      <c r="BP84" s="14" t="str">
        <f>_xlfn.IFNA(SQRT((VLOOKUP(BP$1,DATA!$A$3:$F$301,2,FALSE)-VLOOKUP($A84,DATA!$A$3:$F$301,2,FALSE))^2+(VLOOKUP(BP$1,DATA!$A$3:$F$301,3,FALSE)-VLOOKUP($A84,DATA!$A$3:$F$301,3,FALSE))^2),"")</f>
        <v/>
      </c>
      <c r="BQ84" s="14" t="str">
        <f>_xlfn.IFNA(SQRT((VLOOKUP(BQ$1,DATA!$A$3:$F$301,2,FALSE)-VLOOKUP($A84,DATA!$A$3:$F$301,2,FALSE))^2+(VLOOKUP(BQ$1,DATA!$A$3:$F$301,3,FALSE)-VLOOKUP($A84,DATA!$A$3:$F$301,3,FALSE))^2),"")</f>
        <v/>
      </c>
      <c r="BR84" s="14" t="str">
        <f>_xlfn.IFNA(SQRT((VLOOKUP(BR$1,DATA!$A$3:$F$301,2,FALSE)-VLOOKUP($A84,DATA!$A$3:$F$301,2,FALSE))^2+(VLOOKUP(BR$1,DATA!$A$3:$F$301,3,FALSE)-VLOOKUP($A84,DATA!$A$3:$F$301,3,FALSE))^2),"")</f>
        <v/>
      </c>
      <c r="BS84" s="14" t="str">
        <f>_xlfn.IFNA(SQRT((VLOOKUP(BS$1,DATA!$A$3:$F$301,2,FALSE)-VLOOKUP($A84,DATA!$A$3:$F$301,2,FALSE))^2+(VLOOKUP(BS$1,DATA!$A$3:$F$301,3,FALSE)-VLOOKUP($A84,DATA!$A$3:$F$301,3,FALSE))^2),"")</f>
        <v/>
      </c>
      <c r="BT84" s="14" t="str">
        <f>_xlfn.IFNA(SQRT((VLOOKUP(BT$1,DATA!$A$3:$F$301,2,FALSE)-VLOOKUP($A84,DATA!$A$3:$F$301,2,FALSE))^2+(VLOOKUP(BT$1,DATA!$A$3:$F$301,3,FALSE)-VLOOKUP($A84,DATA!$A$3:$F$301,3,FALSE))^2),"")</f>
        <v/>
      </c>
      <c r="BU84" s="14" t="str">
        <f>_xlfn.IFNA(SQRT((VLOOKUP(BU$1,DATA!$A$3:$F$301,2,FALSE)-VLOOKUP($A84,DATA!$A$3:$F$301,2,FALSE))^2+(VLOOKUP(BU$1,DATA!$A$3:$F$301,3,FALSE)-VLOOKUP($A84,DATA!$A$3:$F$301,3,FALSE))^2),"")</f>
        <v/>
      </c>
      <c r="BV84" s="14" t="str">
        <f>_xlfn.IFNA(SQRT((VLOOKUP(BV$1,DATA!$A$3:$F$301,2,FALSE)-VLOOKUP($A84,DATA!$A$3:$F$301,2,FALSE))^2+(VLOOKUP(BV$1,DATA!$A$3:$F$301,3,FALSE)-VLOOKUP($A84,DATA!$A$3:$F$301,3,FALSE))^2),"")</f>
        <v/>
      </c>
      <c r="BW84" s="14" t="str">
        <f>_xlfn.IFNA(SQRT((VLOOKUP(BW$1,DATA!$A$3:$F$301,2,FALSE)-VLOOKUP($A84,DATA!$A$3:$F$301,2,FALSE))^2+(VLOOKUP(BW$1,DATA!$A$3:$F$301,3,FALSE)-VLOOKUP($A84,DATA!$A$3:$F$301,3,FALSE))^2),"")</f>
        <v/>
      </c>
      <c r="BX84" s="14" t="str">
        <f>_xlfn.IFNA(SQRT((VLOOKUP(BX$1,DATA!$A$3:$F$301,2,FALSE)-VLOOKUP($A84,DATA!$A$3:$F$301,2,FALSE))^2+(VLOOKUP(BX$1,DATA!$A$3:$F$301,3,FALSE)-VLOOKUP($A84,DATA!$A$3:$F$301,3,FALSE))^2),"")</f>
        <v/>
      </c>
      <c r="BY84" s="14" t="str">
        <f>_xlfn.IFNA(SQRT((VLOOKUP(BY$1,DATA!$A$3:$F$301,2,FALSE)-VLOOKUP($A84,DATA!$A$3:$F$301,2,FALSE))^2+(VLOOKUP(BY$1,DATA!$A$3:$F$301,3,FALSE)-VLOOKUP($A84,DATA!$A$3:$F$301,3,FALSE))^2),"")</f>
        <v/>
      </c>
      <c r="BZ84" s="14" t="str">
        <f>_xlfn.IFNA(SQRT((VLOOKUP(BZ$1,DATA!$A$3:$F$301,2,FALSE)-VLOOKUP($A84,DATA!$A$3:$F$301,2,FALSE))^2+(VLOOKUP(BZ$1,DATA!$A$3:$F$301,3,FALSE)-VLOOKUP($A84,DATA!$A$3:$F$301,3,FALSE))^2),"")</f>
        <v/>
      </c>
      <c r="CA84" s="14" t="str">
        <f>_xlfn.IFNA(SQRT((VLOOKUP(CA$1,DATA!$A$3:$F$301,2,FALSE)-VLOOKUP($A84,DATA!$A$3:$F$301,2,FALSE))^2+(VLOOKUP(CA$1,DATA!$A$3:$F$301,3,FALSE)-VLOOKUP($A84,DATA!$A$3:$F$301,3,FALSE))^2),"")</f>
        <v/>
      </c>
      <c r="CB84" s="14" t="str">
        <f>_xlfn.IFNA(SQRT((VLOOKUP(CB$1,DATA!$A$3:$F$301,2,FALSE)-VLOOKUP($A84,DATA!$A$3:$F$301,2,FALSE))^2+(VLOOKUP(CB$1,DATA!$A$3:$F$301,3,FALSE)-VLOOKUP($A84,DATA!$A$3:$F$301,3,FALSE))^2),"")</f>
        <v/>
      </c>
      <c r="CC84" s="14" t="str">
        <f>_xlfn.IFNA(SQRT((VLOOKUP(CC$1,DATA!$A$3:$F$301,2,FALSE)-VLOOKUP($A84,DATA!$A$3:$F$301,2,FALSE))^2+(VLOOKUP(CC$1,DATA!$A$3:$F$301,3,FALSE)-VLOOKUP($A84,DATA!$A$3:$F$301,3,FALSE))^2),"")</f>
        <v/>
      </c>
      <c r="CD84" s="14" t="str">
        <f>_xlfn.IFNA(SQRT((VLOOKUP(CD$1,DATA!$A$3:$F$301,2,FALSE)-VLOOKUP($A84,DATA!$A$3:$F$301,2,FALSE))^2+(VLOOKUP(CD$1,DATA!$A$3:$F$301,3,FALSE)-VLOOKUP($A84,DATA!$A$3:$F$301,3,FALSE))^2),"")</f>
        <v/>
      </c>
      <c r="CE84" s="14" t="str">
        <f>_xlfn.IFNA(SQRT((VLOOKUP(CE$1,DATA!$A$3:$F$301,2,FALSE)-VLOOKUP($A84,DATA!$A$3:$F$301,2,FALSE))^2+(VLOOKUP(CE$1,DATA!$A$3:$F$301,3,FALSE)-VLOOKUP($A84,DATA!$A$3:$F$301,3,FALSE))^2),"")</f>
        <v/>
      </c>
      <c r="CF84" s="14" t="str">
        <f>_xlfn.IFNA(SQRT((VLOOKUP(CF$1,DATA!$A$3:$F$301,2,FALSE)-VLOOKUP($A84,DATA!$A$3:$F$301,2,FALSE))^2+(VLOOKUP(CF$1,DATA!$A$3:$F$301,3,FALSE)-VLOOKUP($A84,DATA!$A$3:$F$301,3,FALSE))^2),"")</f>
        <v/>
      </c>
      <c r="CG84" s="14" t="str">
        <f>_xlfn.IFNA(SQRT((VLOOKUP(CG$1,DATA!$A$3:$F$301,2,FALSE)-VLOOKUP($A84,DATA!$A$3:$F$301,2,FALSE))^2+(VLOOKUP(CG$1,DATA!$A$3:$F$301,3,FALSE)-VLOOKUP($A84,DATA!$A$3:$F$301,3,FALSE))^2),"")</f>
        <v/>
      </c>
      <c r="CH84" s="14" t="str">
        <f>_xlfn.IFNA(SQRT((VLOOKUP(CH$1,DATA!$A$3:$F$301,2,FALSE)-VLOOKUP($A84,DATA!$A$3:$F$301,2,FALSE))^2+(VLOOKUP(CH$1,DATA!$A$3:$F$301,3,FALSE)-VLOOKUP($A84,DATA!$A$3:$F$301,3,FALSE))^2),"")</f>
        <v/>
      </c>
      <c r="CI84" s="14" t="str">
        <f>_xlfn.IFNA(SQRT((VLOOKUP(CI$1,DATA!$A$3:$F$301,2,FALSE)-VLOOKUP($A84,DATA!$A$3:$F$301,2,FALSE))^2+(VLOOKUP(CI$1,DATA!$A$3:$F$301,3,FALSE)-VLOOKUP($A84,DATA!$A$3:$F$301,3,FALSE))^2),"")</f>
        <v/>
      </c>
      <c r="CJ84" s="14" t="str">
        <f>_xlfn.IFNA(SQRT((VLOOKUP(CJ$1,DATA!$A$3:$F$301,2,FALSE)-VLOOKUP($A84,DATA!$A$3:$F$301,2,FALSE))^2+(VLOOKUP(CJ$1,DATA!$A$3:$F$301,3,FALSE)-VLOOKUP($A84,DATA!$A$3:$F$301,3,FALSE))^2),"")</f>
        <v/>
      </c>
      <c r="CK84" s="14" t="str">
        <f>_xlfn.IFNA(SQRT((VLOOKUP(CK$1,DATA!$A$3:$F$301,2,FALSE)-VLOOKUP($A84,DATA!$A$3:$F$301,2,FALSE))^2+(VLOOKUP(CK$1,DATA!$A$3:$F$301,3,FALSE)-VLOOKUP($A84,DATA!$A$3:$F$301,3,FALSE))^2),"")</f>
        <v/>
      </c>
      <c r="CL84" s="14" t="str">
        <f>_xlfn.IFNA(SQRT((VLOOKUP(CL$1,DATA!$A$3:$F$301,2,FALSE)-VLOOKUP($A84,DATA!$A$3:$F$301,2,FALSE))^2+(VLOOKUP(CL$1,DATA!$A$3:$F$301,3,FALSE)-VLOOKUP($A84,DATA!$A$3:$F$301,3,FALSE))^2),"")</f>
        <v/>
      </c>
      <c r="CM84" s="14" t="str">
        <f>_xlfn.IFNA(SQRT((VLOOKUP(CM$1,DATA!$A$3:$F$301,2,FALSE)-VLOOKUP($A84,DATA!$A$3:$F$301,2,FALSE))^2+(VLOOKUP(CM$1,DATA!$A$3:$F$301,3,FALSE)-VLOOKUP($A84,DATA!$A$3:$F$301,3,FALSE))^2),"")</f>
        <v/>
      </c>
      <c r="CN84" s="14" t="str">
        <f>_xlfn.IFNA(SQRT((VLOOKUP(CN$1,DATA!$A$3:$F$301,2,FALSE)-VLOOKUP($A84,DATA!$A$3:$F$301,2,FALSE))^2+(VLOOKUP(CN$1,DATA!$A$3:$F$301,3,FALSE)-VLOOKUP($A84,DATA!$A$3:$F$301,3,FALSE))^2),"")</f>
        <v/>
      </c>
      <c r="CO84" s="14" t="str">
        <f>_xlfn.IFNA(SQRT((VLOOKUP(CO$1,DATA!$A$3:$F$301,2,FALSE)-VLOOKUP($A84,DATA!$A$3:$F$301,2,FALSE))^2+(VLOOKUP(CO$1,DATA!$A$3:$F$301,3,FALSE)-VLOOKUP($A84,DATA!$A$3:$F$301,3,FALSE))^2),"")</f>
        <v/>
      </c>
      <c r="CP84" s="14" t="str">
        <f>_xlfn.IFNA(SQRT((VLOOKUP(CP$1,DATA!$A$3:$F$301,2,FALSE)-VLOOKUP($A84,DATA!$A$3:$F$301,2,FALSE))^2+(VLOOKUP(CP$1,DATA!$A$3:$F$301,3,FALSE)-VLOOKUP($A84,DATA!$A$3:$F$301,3,FALSE))^2),"")</f>
        <v/>
      </c>
      <c r="CQ84" s="14" t="str">
        <f>_xlfn.IFNA(SQRT((VLOOKUP(CQ$1,DATA!$A$3:$F$301,2,FALSE)-VLOOKUP($A84,DATA!$A$3:$F$301,2,FALSE))^2+(VLOOKUP(CQ$1,DATA!$A$3:$F$301,3,FALSE)-VLOOKUP($A84,DATA!$A$3:$F$301,3,FALSE))^2),"")</f>
        <v/>
      </c>
      <c r="CR84" s="14" t="str">
        <f>_xlfn.IFNA(SQRT((VLOOKUP(CR$1,DATA!$A$3:$F$301,2,FALSE)-VLOOKUP($A84,DATA!$A$3:$F$301,2,FALSE))^2+(VLOOKUP(CR$1,DATA!$A$3:$F$301,3,FALSE)-VLOOKUP($A84,DATA!$A$3:$F$301,3,FALSE))^2),"")</f>
        <v/>
      </c>
      <c r="CS84" s="14" t="str">
        <f>_xlfn.IFNA(SQRT((VLOOKUP(CS$1,DATA!$A$3:$F$301,2,FALSE)-VLOOKUP($A84,DATA!$A$3:$F$301,2,FALSE))^2+(VLOOKUP(CS$1,DATA!$A$3:$F$301,3,FALSE)-VLOOKUP($A84,DATA!$A$3:$F$301,3,FALSE))^2),"")</f>
        <v/>
      </c>
      <c r="CT84" s="14" t="str">
        <f>_xlfn.IFNA(SQRT((VLOOKUP(CT$1,DATA!$A$3:$F$301,2,FALSE)-VLOOKUP($A84,DATA!$A$3:$F$301,2,FALSE))^2+(VLOOKUP(CT$1,DATA!$A$3:$F$301,3,FALSE)-VLOOKUP($A84,DATA!$A$3:$F$301,3,FALSE))^2),"")</f>
        <v/>
      </c>
      <c r="CU84" s="14" t="str">
        <f>_xlfn.IFNA(SQRT((VLOOKUP(CU$1,DATA!$A$3:$F$301,2,FALSE)-VLOOKUP($A84,DATA!$A$3:$F$301,2,FALSE))^2+(VLOOKUP(CU$1,DATA!$A$3:$F$301,3,FALSE)-VLOOKUP($A84,DATA!$A$3:$F$301,3,FALSE))^2),"")</f>
        <v/>
      </c>
      <c r="CV84" s="14" t="str">
        <f>_xlfn.IFNA(SQRT((VLOOKUP(CV$1,DATA!$A$3:$F$301,2,FALSE)-VLOOKUP($A84,DATA!$A$3:$F$301,2,FALSE))^2+(VLOOKUP(CV$1,DATA!$A$3:$F$301,3,FALSE)-VLOOKUP($A84,DATA!$A$3:$F$301,3,FALSE))^2),"")</f>
        <v/>
      </c>
      <c r="CW84" s="14" t="str">
        <f>_xlfn.IFNA(SQRT((VLOOKUP(CW$1,DATA!$A$3:$F$301,2,FALSE)-VLOOKUP($A84,DATA!$A$3:$F$301,2,FALSE))^2+(VLOOKUP(CW$1,DATA!$A$3:$F$301,3,FALSE)-VLOOKUP($A84,DATA!$A$3:$F$301,3,FALSE))^2),"")</f>
        <v/>
      </c>
      <c r="CX84" s="14" t="str">
        <f>_xlfn.IFNA(SQRT((VLOOKUP(CX$1,DATA!$A$3:$F$301,2,FALSE)-VLOOKUP($A84,DATA!$A$3:$F$301,2,FALSE))^2+(VLOOKUP(CX$1,DATA!$A$3:$F$301,3,FALSE)-VLOOKUP($A84,DATA!$A$3:$F$301,3,FALSE))^2),"")</f>
        <v/>
      </c>
    </row>
    <row r="85" spans="1:102">
      <c r="A85" s="13">
        <v>84</v>
      </c>
      <c r="B85" s="14" t="str">
        <f>_xlfn.IFNA(SQRT((VLOOKUP(B$1,DATA!$A$3:$F$301,2,FALSE)-VLOOKUP($A85,DATA!$A$3:$F$301,2,FALSE))^2+(VLOOKUP(B$1,DATA!$A$3:$F$301,3,FALSE)-VLOOKUP($A85,DATA!$A$3:$F$301,3,FALSE))^2),"")</f>
        <v/>
      </c>
      <c r="C85" s="14" t="str">
        <f>_xlfn.IFNA(SQRT((VLOOKUP(C$1,DATA!$A$3:$F$301,2,FALSE)-VLOOKUP($A85,DATA!$A$3:$F$301,2,FALSE))^2+(VLOOKUP(C$1,DATA!$A$3:$F$301,3,FALSE)-VLOOKUP($A85,DATA!$A$3:$F$301,3,FALSE))^2),"")</f>
        <v/>
      </c>
      <c r="D85" s="14" t="str">
        <f>_xlfn.IFNA(SQRT((VLOOKUP(D$1,DATA!$A$3:$F$301,2,FALSE)-VLOOKUP($A85,DATA!$A$3:$F$301,2,FALSE))^2+(VLOOKUP(D$1,DATA!$A$3:$F$301,3,FALSE)-VLOOKUP($A85,DATA!$A$3:$F$301,3,FALSE))^2),"")</f>
        <v/>
      </c>
      <c r="E85" s="14" t="str">
        <f>_xlfn.IFNA(SQRT((VLOOKUP(E$1,DATA!$A$3:$F$301,2,FALSE)-VLOOKUP($A85,DATA!$A$3:$F$301,2,FALSE))^2+(VLOOKUP(E$1,DATA!$A$3:$F$301,3,FALSE)-VLOOKUP($A85,DATA!$A$3:$F$301,3,FALSE))^2),"")</f>
        <v/>
      </c>
      <c r="F85" s="14" t="str">
        <f>_xlfn.IFNA(SQRT((VLOOKUP(F$1,DATA!$A$3:$F$301,2,FALSE)-VLOOKUP($A85,DATA!$A$3:$F$301,2,FALSE))^2+(VLOOKUP(F$1,DATA!$A$3:$F$301,3,FALSE)-VLOOKUP($A85,DATA!$A$3:$F$301,3,FALSE))^2),"")</f>
        <v/>
      </c>
      <c r="G85" s="14" t="str">
        <f>_xlfn.IFNA(SQRT((VLOOKUP(G$1,DATA!$A$3:$F$301,2,FALSE)-VLOOKUP($A85,DATA!$A$3:$F$301,2,FALSE))^2+(VLOOKUP(G$1,DATA!$A$3:$F$301,3,FALSE)-VLOOKUP($A85,DATA!$A$3:$F$301,3,FALSE))^2),"")</f>
        <v/>
      </c>
      <c r="H85" s="14" t="str">
        <f>_xlfn.IFNA(SQRT((VLOOKUP(H$1,DATA!$A$3:$F$301,2,FALSE)-VLOOKUP($A85,DATA!$A$3:$F$301,2,FALSE))^2+(VLOOKUP(H$1,DATA!$A$3:$F$301,3,FALSE)-VLOOKUP($A85,DATA!$A$3:$F$301,3,FALSE))^2),"")</f>
        <v/>
      </c>
      <c r="I85" s="14" t="str">
        <f>_xlfn.IFNA(SQRT((VLOOKUP(I$1,DATA!$A$3:$F$301,2,FALSE)-VLOOKUP($A85,DATA!$A$3:$F$301,2,FALSE))^2+(VLOOKUP(I$1,DATA!$A$3:$F$301,3,FALSE)-VLOOKUP($A85,DATA!$A$3:$F$301,3,FALSE))^2),"")</f>
        <v/>
      </c>
      <c r="J85" s="14" t="str">
        <f>_xlfn.IFNA(SQRT((VLOOKUP(J$1,DATA!$A$3:$F$301,2,FALSE)-VLOOKUP($A85,DATA!$A$3:$F$301,2,FALSE))^2+(VLOOKUP(J$1,DATA!$A$3:$F$301,3,FALSE)-VLOOKUP($A85,DATA!$A$3:$F$301,3,FALSE))^2),"")</f>
        <v/>
      </c>
      <c r="K85" s="14" t="str">
        <f>_xlfn.IFNA(SQRT((VLOOKUP(K$1,DATA!$A$3:$F$301,2,FALSE)-VLOOKUP($A85,DATA!$A$3:$F$301,2,FALSE))^2+(VLOOKUP(K$1,DATA!$A$3:$F$301,3,FALSE)-VLOOKUP($A85,DATA!$A$3:$F$301,3,FALSE))^2),"")</f>
        <v/>
      </c>
      <c r="L85" s="14" t="str">
        <f>_xlfn.IFNA(SQRT((VLOOKUP(L$1,DATA!$A$3:$F$301,2,FALSE)-VLOOKUP($A85,DATA!$A$3:$F$301,2,FALSE))^2+(VLOOKUP(L$1,DATA!$A$3:$F$301,3,FALSE)-VLOOKUP($A85,DATA!$A$3:$F$301,3,FALSE))^2),"")</f>
        <v/>
      </c>
      <c r="M85" s="14" t="str">
        <f>_xlfn.IFNA(SQRT((VLOOKUP(M$1,DATA!$A$3:$F$301,2,FALSE)-VLOOKUP($A85,DATA!$A$3:$F$301,2,FALSE))^2+(VLOOKUP(M$1,DATA!$A$3:$F$301,3,FALSE)-VLOOKUP($A85,DATA!$A$3:$F$301,3,FALSE))^2),"")</f>
        <v/>
      </c>
      <c r="N85" s="14" t="str">
        <f>_xlfn.IFNA(SQRT((VLOOKUP(N$1,DATA!$A$3:$F$301,2,FALSE)-VLOOKUP($A85,DATA!$A$3:$F$301,2,FALSE))^2+(VLOOKUP(N$1,DATA!$A$3:$F$301,3,FALSE)-VLOOKUP($A85,DATA!$A$3:$F$301,3,FALSE))^2),"")</f>
        <v/>
      </c>
      <c r="O85" s="14" t="str">
        <f>_xlfn.IFNA(SQRT((VLOOKUP(O$1,DATA!$A$3:$F$301,2,FALSE)-VLOOKUP($A85,DATA!$A$3:$F$301,2,FALSE))^2+(VLOOKUP(O$1,DATA!$A$3:$F$301,3,FALSE)-VLOOKUP($A85,DATA!$A$3:$F$301,3,FALSE))^2),"")</f>
        <v/>
      </c>
      <c r="P85" s="14" t="str">
        <f>_xlfn.IFNA(SQRT((VLOOKUP(P$1,DATA!$A$3:$F$301,2,FALSE)-VLOOKUP($A85,DATA!$A$3:$F$301,2,FALSE))^2+(VLOOKUP(P$1,DATA!$A$3:$F$301,3,FALSE)-VLOOKUP($A85,DATA!$A$3:$F$301,3,FALSE))^2),"")</f>
        <v/>
      </c>
      <c r="Q85" s="14" t="str">
        <f>_xlfn.IFNA(SQRT((VLOOKUP(Q$1,DATA!$A$3:$F$301,2,FALSE)-VLOOKUP($A85,DATA!$A$3:$F$301,2,FALSE))^2+(VLOOKUP(Q$1,DATA!$A$3:$F$301,3,FALSE)-VLOOKUP($A85,DATA!$A$3:$F$301,3,FALSE))^2),"")</f>
        <v/>
      </c>
      <c r="R85" s="14" t="str">
        <f>_xlfn.IFNA(SQRT((VLOOKUP(R$1,DATA!$A$3:$F$301,2,FALSE)-VLOOKUP($A85,DATA!$A$3:$F$301,2,FALSE))^2+(VLOOKUP(R$1,DATA!$A$3:$F$301,3,FALSE)-VLOOKUP($A85,DATA!$A$3:$F$301,3,FALSE))^2),"")</f>
        <v/>
      </c>
      <c r="S85" s="14" t="str">
        <f>_xlfn.IFNA(SQRT((VLOOKUP(S$1,DATA!$A$3:$F$301,2,FALSE)-VLOOKUP($A85,DATA!$A$3:$F$301,2,FALSE))^2+(VLOOKUP(S$1,DATA!$A$3:$F$301,3,FALSE)-VLOOKUP($A85,DATA!$A$3:$F$301,3,FALSE))^2),"")</f>
        <v/>
      </c>
      <c r="T85" s="14" t="str">
        <f>_xlfn.IFNA(SQRT((VLOOKUP(T$1,DATA!$A$3:$F$301,2,FALSE)-VLOOKUP($A85,DATA!$A$3:$F$301,2,FALSE))^2+(VLOOKUP(T$1,DATA!$A$3:$F$301,3,FALSE)-VLOOKUP($A85,DATA!$A$3:$F$301,3,FALSE))^2),"")</f>
        <v/>
      </c>
      <c r="U85" s="14" t="str">
        <f>_xlfn.IFNA(SQRT((VLOOKUP(U$1,DATA!$A$3:$F$301,2,FALSE)-VLOOKUP($A85,DATA!$A$3:$F$301,2,FALSE))^2+(VLOOKUP(U$1,DATA!$A$3:$F$301,3,FALSE)-VLOOKUP($A85,DATA!$A$3:$F$301,3,FALSE))^2),"")</f>
        <v/>
      </c>
      <c r="V85" s="14" t="str">
        <f>_xlfn.IFNA(SQRT((VLOOKUP(V$1,DATA!$A$3:$F$301,2,FALSE)-VLOOKUP($A85,DATA!$A$3:$F$301,2,FALSE))^2+(VLOOKUP(V$1,DATA!$A$3:$F$301,3,FALSE)-VLOOKUP($A85,DATA!$A$3:$F$301,3,FALSE))^2),"")</f>
        <v/>
      </c>
      <c r="W85" s="14" t="str">
        <f>_xlfn.IFNA(SQRT((VLOOKUP(W$1,DATA!$A$3:$F$301,2,FALSE)-VLOOKUP($A85,DATA!$A$3:$F$301,2,FALSE))^2+(VLOOKUP(W$1,DATA!$A$3:$F$301,3,FALSE)-VLOOKUP($A85,DATA!$A$3:$F$301,3,FALSE))^2),"")</f>
        <v/>
      </c>
      <c r="X85" s="14" t="str">
        <f>_xlfn.IFNA(SQRT((VLOOKUP(X$1,DATA!$A$3:$F$301,2,FALSE)-VLOOKUP($A85,DATA!$A$3:$F$301,2,FALSE))^2+(VLOOKUP(X$1,DATA!$A$3:$F$301,3,FALSE)-VLOOKUP($A85,DATA!$A$3:$F$301,3,FALSE))^2),"")</f>
        <v/>
      </c>
      <c r="Y85" s="14" t="str">
        <f>_xlfn.IFNA(SQRT((VLOOKUP(Y$1,DATA!$A$3:$F$301,2,FALSE)-VLOOKUP($A85,DATA!$A$3:$F$301,2,FALSE))^2+(VLOOKUP(Y$1,DATA!$A$3:$F$301,3,FALSE)-VLOOKUP($A85,DATA!$A$3:$F$301,3,FALSE))^2),"")</f>
        <v/>
      </c>
      <c r="Z85" s="14" t="str">
        <f>_xlfn.IFNA(SQRT((VLOOKUP(Z$1,DATA!$A$3:$F$301,2,FALSE)-VLOOKUP($A85,DATA!$A$3:$F$301,2,FALSE))^2+(VLOOKUP(Z$1,DATA!$A$3:$F$301,3,FALSE)-VLOOKUP($A85,DATA!$A$3:$F$301,3,FALSE))^2),"")</f>
        <v/>
      </c>
      <c r="AA85" s="14" t="str">
        <f>_xlfn.IFNA(SQRT((VLOOKUP(AA$1,DATA!$A$3:$F$301,2,FALSE)-VLOOKUP($A85,DATA!$A$3:$F$301,2,FALSE))^2+(VLOOKUP(AA$1,DATA!$A$3:$F$301,3,FALSE)-VLOOKUP($A85,DATA!$A$3:$F$301,3,FALSE))^2),"")</f>
        <v/>
      </c>
      <c r="AB85" s="14" t="str">
        <f>_xlfn.IFNA(SQRT((VLOOKUP(AB$1,DATA!$A$3:$F$301,2,FALSE)-VLOOKUP($A85,DATA!$A$3:$F$301,2,FALSE))^2+(VLOOKUP(AB$1,DATA!$A$3:$F$301,3,FALSE)-VLOOKUP($A85,DATA!$A$3:$F$301,3,FALSE))^2),"")</f>
        <v/>
      </c>
      <c r="AC85" s="14" t="str">
        <f>_xlfn.IFNA(SQRT((VLOOKUP(AC$1,DATA!$A$3:$F$301,2,FALSE)-VLOOKUP($A85,DATA!$A$3:$F$301,2,FALSE))^2+(VLOOKUP(AC$1,DATA!$A$3:$F$301,3,FALSE)-VLOOKUP($A85,DATA!$A$3:$F$301,3,FALSE))^2),"")</f>
        <v/>
      </c>
      <c r="AD85" s="14" t="str">
        <f>_xlfn.IFNA(SQRT((VLOOKUP(AD$1,DATA!$A$3:$F$301,2,FALSE)-VLOOKUP($A85,DATA!$A$3:$F$301,2,FALSE))^2+(VLOOKUP(AD$1,DATA!$A$3:$F$301,3,FALSE)-VLOOKUP($A85,DATA!$A$3:$F$301,3,FALSE))^2),"")</f>
        <v/>
      </c>
      <c r="AE85" s="14" t="str">
        <f>_xlfn.IFNA(SQRT((VLOOKUP(AE$1,DATA!$A$3:$F$301,2,FALSE)-VLOOKUP($A85,DATA!$A$3:$F$301,2,FALSE))^2+(VLOOKUP(AE$1,DATA!$A$3:$F$301,3,FALSE)-VLOOKUP($A85,DATA!$A$3:$F$301,3,FALSE))^2),"")</f>
        <v/>
      </c>
      <c r="AF85" s="14" t="str">
        <f>_xlfn.IFNA(SQRT((VLOOKUP(AF$1,DATA!$A$3:$F$301,2,FALSE)-VLOOKUP($A85,DATA!$A$3:$F$301,2,FALSE))^2+(VLOOKUP(AF$1,DATA!$A$3:$F$301,3,FALSE)-VLOOKUP($A85,DATA!$A$3:$F$301,3,FALSE))^2),"")</f>
        <v/>
      </c>
      <c r="AG85" s="14" t="str">
        <f>_xlfn.IFNA(SQRT((VLOOKUP(AG$1,DATA!$A$3:$F$301,2,FALSE)-VLOOKUP($A85,DATA!$A$3:$F$301,2,FALSE))^2+(VLOOKUP(AG$1,DATA!$A$3:$F$301,3,FALSE)-VLOOKUP($A85,DATA!$A$3:$F$301,3,FALSE))^2),"")</f>
        <v/>
      </c>
      <c r="AH85" s="14" t="str">
        <f>_xlfn.IFNA(SQRT((VLOOKUP(AH$1,DATA!$A$3:$F$301,2,FALSE)-VLOOKUP($A85,DATA!$A$3:$F$301,2,FALSE))^2+(VLOOKUP(AH$1,DATA!$A$3:$F$301,3,FALSE)-VLOOKUP($A85,DATA!$A$3:$F$301,3,FALSE))^2),"")</f>
        <v/>
      </c>
      <c r="AI85" s="14" t="str">
        <f>_xlfn.IFNA(SQRT((VLOOKUP(AI$1,DATA!$A$3:$F$301,2,FALSE)-VLOOKUP($A85,DATA!$A$3:$F$301,2,FALSE))^2+(VLOOKUP(AI$1,DATA!$A$3:$F$301,3,FALSE)-VLOOKUP($A85,DATA!$A$3:$F$301,3,FALSE))^2),"")</f>
        <v/>
      </c>
      <c r="AJ85" s="14" t="str">
        <f>_xlfn.IFNA(SQRT((VLOOKUP(AJ$1,DATA!$A$3:$F$301,2,FALSE)-VLOOKUP($A85,DATA!$A$3:$F$301,2,FALSE))^2+(VLOOKUP(AJ$1,DATA!$A$3:$F$301,3,FALSE)-VLOOKUP($A85,DATA!$A$3:$F$301,3,FALSE))^2),"")</f>
        <v/>
      </c>
      <c r="AK85" s="14" t="str">
        <f>_xlfn.IFNA(SQRT((VLOOKUP(AK$1,DATA!$A$3:$F$301,2,FALSE)-VLOOKUP($A85,DATA!$A$3:$F$301,2,FALSE))^2+(VLOOKUP(AK$1,DATA!$A$3:$F$301,3,FALSE)-VLOOKUP($A85,DATA!$A$3:$F$301,3,FALSE))^2),"")</f>
        <v/>
      </c>
      <c r="AL85" s="14" t="str">
        <f>_xlfn.IFNA(SQRT((VLOOKUP(AL$1,DATA!$A$3:$F$301,2,FALSE)-VLOOKUP($A85,DATA!$A$3:$F$301,2,FALSE))^2+(VLOOKUP(AL$1,DATA!$A$3:$F$301,3,FALSE)-VLOOKUP($A85,DATA!$A$3:$F$301,3,FALSE))^2),"")</f>
        <v/>
      </c>
      <c r="AM85" s="14" t="str">
        <f>_xlfn.IFNA(SQRT((VLOOKUP(AM$1,DATA!$A$3:$F$301,2,FALSE)-VLOOKUP($A85,DATA!$A$3:$F$301,2,FALSE))^2+(VLOOKUP(AM$1,DATA!$A$3:$F$301,3,FALSE)-VLOOKUP($A85,DATA!$A$3:$F$301,3,FALSE))^2),"")</f>
        <v/>
      </c>
      <c r="AN85" s="14" t="str">
        <f>_xlfn.IFNA(SQRT((VLOOKUP(AN$1,DATA!$A$3:$F$301,2,FALSE)-VLOOKUP($A85,DATA!$A$3:$F$301,2,FALSE))^2+(VLOOKUP(AN$1,DATA!$A$3:$F$301,3,FALSE)-VLOOKUP($A85,DATA!$A$3:$F$301,3,FALSE))^2),"")</f>
        <v/>
      </c>
      <c r="AO85" s="14" t="str">
        <f>_xlfn.IFNA(SQRT((VLOOKUP(AO$1,DATA!$A$3:$F$301,2,FALSE)-VLOOKUP($A85,DATA!$A$3:$F$301,2,FALSE))^2+(VLOOKUP(AO$1,DATA!$A$3:$F$301,3,FALSE)-VLOOKUP($A85,DATA!$A$3:$F$301,3,FALSE))^2),"")</f>
        <v/>
      </c>
      <c r="AP85" s="14" t="str">
        <f>_xlfn.IFNA(SQRT((VLOOKUP(AP$1,DATA!$A$3:$F$301,2,FALSE)-VLOOKUP($A85,DATA!$A$3:$F$301,2,FALSE))^2+(VLOOKUP(AP$1,DATA!$A$3:$F$301,3,FALSE)-VLOOKUP($A85,DATA!$A$3:$F$301,3,FALSE))^2),"")</f>
        <v/>
      </c>
      <c r="AQ85" s="14" t="str">
        <f>_xlfn.IFNA(SQRT((VLOOKUP(AQ$1,DATA!$A$3:$F$301,2,FALSE)-VLOOKUP($A85,DATA!$A$3:$F$301,2,FALSE))^2+(VLOOKUP(AQ$1,DATA!$A$3:$F$301,3,FALSE)-VLOOKUP($A85,DATA!$A$3:$F$301,3,FALSE))^2),"")</f>
        <v/>
      </c>
      <c r="AR85" s="14" t="str">
        <f>_xlfn.IFNA(SQRT((VLOOKUP(AR$1,DATA!$A$3:$F$301,2,FALSE)-VLOOKUP($A85,DATA!$A$3:$F$301,2,FALSE))^2+(VLOOKUP(AR$1,DATA!$A$3:$F$301,3,FALSE)-VLOOKUP($A85,DATA!$A$3:$F$301,3,FALSE))^2),"")</f>
        <v/>
      </c>
      <c r="AS85" s="14" t="str">
        <f>_xlfn.IFNA(SQRT((VLOOKUP(AS$1,DATA!$A$3:$F$301,2,FALSE)-VLOOKUP($A85,DATA!$A$3:$F$301,2,FALSE))^2+(VLOOKUP(AS$1,DATA!$A$3:$F$301,3,FALSE)-VLOOKUP($A85,DATA!$A$3:$F$301,3,FALSE))^2),"")</f>
        <v/>
      </c>
      <c r="AT85" s="14" t="str">
        <f>_xlfn.IFNA(SQRT((VLOOKUP(AT$1,DATA!$A$3:$F$301,2,FALSE)-VLOOKUP($A85,DATA!$A$3:$F$301,2,FALSE))^2+(VLOOKUP(AT$1,DATA!$A$3:$F$301,3,FALSE)-VLOOKUP($A85,DATA!$A$3:$F$301,3,FALSE))^2),"")</f>
        <v/>
      </c>
      <c r="AU85" s="14" t="str">
        <f>_xlfn.IFNA(SQRT((VLOOKUP(AU$1,DATA!$A$3:$F$301,2,FALSE)-VLOOKUP($A85,DATA!$A$3:$F$301,2,FALSE))^2+(VLOOKUP(AU$1,DATA!$A$3:$F$301,3,FALSE)-VLOOKUP($A85,DATA!$A$3:$F$301,3,FALSE))^2),"")</f>
        <v/>
      </c>
      <c r="AV85" s="14" t="str">
        <f>_xlfn.IFNA(SQRT((VLOOKUP(AV$1,DATA!$A$3:$F$301,2,FALSE)-VLOOKUP($A85,DATA!$A$3:$F$301,2,FALSE))^2+(VLOOKUP(AV$1,DATA!$A$3:$F$301,3,FALSE)-VLOOKUP($A85,DATA!$A$3:$F$301,3,FALSE))^2),"")</f>
        <v/>
      </c>
      <c r="AW85" s="14" t="str">
        <f>_xlfn.IFNA(SQRT((VLOOKUP(AW$1,DATA!$A$3:$F$301,2,FALSE)-VLOOKUP($A85,DATA!$A$3:$F$301,2,FALSE))^2+(VLOOKUP(AW$1,DATA!$A$3:$F$301,3,FALSE)-VLOOKUP($A85,DATA!$A$3:$F$301,3,FALSE))^2),"")</f>
        <v/>
      </c>
      <c r="AX85" s="14" t="str">
        <f>_xlfn.IFNA(SQRT((VLOOKUP(AX$1,DATA!$A$3:$F$301,2,FALSE)-VLOOKUP($A85,DATA!$A$3:$F$301,2,FALSE))^2+(VLOOKUP(AX$1,DATA!$A$3:$F$301,3,FALSE)-VLOOKUP($A85,DATA!$A$3:$F$301,3,FALSE))^2),"")</f>
        <v/>
      </c>
      <c r="AY85" s="14" t="str">
        <f>_xlfn.IFNA(SQRT((VLOOKUP(AY$1,DATA!$A$3:$F$301,2,FALSE)-VLOOKUP($A85,DATA!$A$3:$F$301,2,FALSE))^2+(VLOOKUP(AY$1,DATA!$A$3:$F$301,3,FALSE)-VLOOKUP($A85,DATA!$A$3:$F$301,3,FALSE))^2),"")</f>
        <v/>
      </c>
      <c r="AZ85" s="14" t="str">
        <f>_xlfn.IFNA(SQRT((VLOOKUP(AZ$1,DATA!$A$3:$F$301,2,FALSE)-VLOOKUP($A85,DATA!$A$3:$F$301,2,FALSE))^2+(VLOOKUP(AZ$1,DATA!$A$3:$F$301,3,FALSE)-VLOOKUP($A85,DATA!$A$3:$F$301,3,FALSE))^2),"")</f>
        <v/>
      </c>
      <c r="BA85" s="14" t="str">
        <f>_xlfn.IFNA(SQRT((VLOOKUP(BA$1,DATA!$A$3:$F$301,2,FALSE)-VLOOKUP($A85,DATA!$A$3:$F$301,2,FALSE))^2+(VLOOKUP(BA$1,DATA!$A$3:$F$301,3,FALSE)-VLOOKUP($A85,DATA!$A$3:$F$301,3,FALSE))^2),"")</f>
        <v/>
      </c>
      <c r="BB85" s="14" t="str">
        <f>_xlfn.IFNA(SQRT((VLOOKUP(BB$1,DATA!$A$3:$F$301,2,FALSE)-VLOOKUP($A85,DATA!$A$3:$F$301,2,FALSE))^2+(VLOOKUP(BB$1,DATA!$A$3:$F$301,3,FALSE)-VLOOKUP($A85,DATA!$A$3:$F$301,3,FALSE))^2),"")</f>
        <v/>
      </c>
      <c r="BC85" s="14" t="str">
        <f>_xlfn.IFNA(SQRT((VLOOKUP(BC$1,DATA!$A$3:$F$301,2,FALSE)-VLOOKUP($A85,DATA!$A$3:$F$301,2,FALSE))^2+(VLOOKUP(BC$1,DATA!$A$3:$F$301,3,FALSE)-VLOOKUP($A85,DATA!$A$3:$F$301,3,FALSE))^2),"")</f>
        <v/>
      </c>
      <c r="BD85" s="14" t="str">
        <f>_xlfn.IFNA(SQRT((VLOOKUP(BD$1,DATA!$A$3:$F$301,2,FALSE)-VLOOKUP($A85,DATA!$A$3:$F$301,2,FALSE))^2+(VLOOKUP(BD$1,DATA!$A$3:$F$301,3,FALSE)-VLOOKUP($A85,DATA!$A$3:$F$301,3,FALSE))^2),"")</f>
        <v/>
      </c>
      <c r="BE85" s="14" t="str">
        <f>_xlfn.IFNA(SQRT((VLOOKUP(BE$1,DATA!$A$3:$F$301,2,FALSE)-VLOOKUP($A85,DATA!$A$3:$F$301,2,FALSE))^2+(VLOOKUP(BE$1,DATA!$A$3:$F$301,3,FALSE)-VLOOKUP($A85,DATA!$A$3:$F$301,3,FALSE))^2),"")</f>
        <v/>
      </c>
      <c r="BF85" s="14" t="str">
        <f>_xlfn.IFNA(SQRT((VLOOKUP(BF$1,DATA!$A$3:$F$301,2,FALSE)-VLOOKUP($A85,DATA!$A$3:$F$301,2,FALSE))^2+(VLOOKUP(BF$1,DATA!$A$3:$F$301,3,FALSE)-VLOOKUP($A85,DATA!$A$3:$F$301,3,FALSE))^2),"")</f>
        <v/>
      </c>
      <c r="BG85" s="14" t="str">
        <f>_xlfn.IFNA(SQRT((VLOOKUP(BG$1,DATA!$A$3:$F$301,2,FALSE)-VLOOKUP($A85,DATA!$A$3:$F$301,2,FALSE))^2+(VLOOKUP(BG$1,DATA!$A$3:$F$301,3,FALSE)-VLOOKUP($A85,DATA!$A$3:$F$301,3,FALSE))^2),"")</f>
        <v/>
      </c>
      <c r="BH85" s="14" t="str">
        <f>_xlfn.IFNA(SQRT((VLOOKUP(BH$1,DATA!$A$3:$F$301,2,FALSE)-VLOOKUP($A85,DATA!$A$3:$F$301,2,FALSE))^2+(VLOOKUP(BH$1,DATA!$A$3:$F$301,3,FALSE)-VLOOKUP($A85,DATA!$A$3:$F$301,3,FALSE))^2),"")</f>
        <v/>
      </c>
      <c r="BI85" s="14" t="str">
        <f>_xlfn.IFNA(SQRT((VLOOKUP(BI$1,DATA!$A$3:$F$301,2,FALSE)-VLOOKUP($A85,DATA!$A$3:$F$301,2,FALSE))^2+(VLOOKUP(BI$1,DATA!$A$3:$F$301,3,FALSE)-VLOOKUP($A85,DATA!$A$3:$F$301,3,FALSE))^2),"")</f>
        <v/>
      </c>
      <c r="BJ85" s="14" t="str">
        <f>_xlfn.IFNA(SQRT((VLOOKUP(BJ$1,DATA!$A$3:$F$301,2,FALSE)-VLOOKUP($A85,DATA!$A$3:$F$301,2,FALSE))^2+(VLOOKUP(BJ$1,DATA!$A$3:$F$301,3,FALSE)-VLOOKUP($A85,DATA!$A$3:$F$301,3,FALSE))^2),"")</f>
        <v/>
      </c>
      <c r="BK85" s="14" t="str">
        <f>_xlfn.IFNA(SQRT((VLOOKUP(BK$1,DATA!$A$3:$F$301,2,FALSE)-VLOOKUP($A85,DATA!$A$3:$F$301,2,FALSE))^2+(VLOOKUP(BK$1,DATA!$A$3:$F$301,3,FALSE)-VLOOKUP($A85,DATA!$A$3:$F$301,3,FALSE))^2),"")</f>
        <v/>
      </c>
      <c r="BL85" s="14" t="str">
        <f>_xlfn.IFNA(SQRT((VLOOKUP(BL$1,DATA!$A$3:$F$301,2,FALSE)-VLOOKUP($A85,DATA!$A$3:$F$301,2,FALSE))^2+(VLOOKUP(BL$1,DATA!$A$3:$F$301,3,FALSE)-VLOOKUP($A85,DATA!$A$3:$F$301,3,FALSE))^2),"")</f>
        <v/>
      </c>
      <c r="BM85" s="14" t="str">
        <f>_xlfn.IFNA(SQRT((VLOOKUP(BM$1,DATA!$A$3:$F$301,2,FALSE)-VLOOKUP($A85,DATA!$A$3:$F$301,2,FALSE))^2+(VLOOKUP(BM$1,DATA!$A$3:$F$301,3,FALSE)-VLOOKUP($A85,DATA!$A$3:$F$301,3,FALSE))^2),"")</f>
        <v/>
      </c>
      <c r="BN85" s="14" t="str">
        <f>_xlfn.IFNA(SQRT((VLOOKUP(BN$1,DATA!$A$3:$F$301,2,FALSE)-VLOOKUP($A85,DATA!$A$3:$F$301,2,FALSE))^2+(VLOOKUP(BN$1,DATA!$A$3:$F$301,3,FALSE)-VLOOKUP($A85,DATA!$A$3:$F$301,3,FALSE))^2),"")</f>
        <v/>
      </c>
      <c r="BO85" s="14" t="str">
        <f>_xlfn.IFNA(SQRT((VLOOKUP(BO$1,DATA!$A$3:$F$301,2,FALSE)-VLOOKUP($A85,DATA!$A$3:$F$301,2,FALSE))^2+(VLOOKUP(BO$1,DATA!$A$3:$F$301,3,FALSE)-VLOOKUP($A85,DATA!$A$3:$F$301,3,FALSE))^2),"")</f>
        <v/>
      </c>
      <c r="BP85" s="14" t="str">
        <f>_xlfn.IFNA(SQRT((VLOOKUP(BP$1,DATA!$A$3:$F$301,2,FALSE)-VLOOKUP($A85,DATA!$A$3:$F$301,2,FALSE))^2+(VLOOKUP(BP$1,DATA!$A$3:$F$301,3,FALSE)-VLOOKUP($A85,DATA!$A$3:$F$301,3,FALSE))^2),"")</f>
        <v/>
      </c>
      <c r="BQ85" s="14" t="str">
        <f>_xlfn.IFNA(SQRT((VLOOKUP(BQ$1,DATA!$A$3:$F$301,2,FALSE)-VLOOKUP($A85,DATA!$A$3:$F$301,2,FALSE))^2+(VLOOKUP(BQ$1,DATA!$A$3:$F$301,3,FALSE)-VLOOKUP($A85,DATA!$A$3:$F$301,3,FALSE))^2),"")</f>
        <v/>
      </c>
      <c r="BR85" s="14" t="str">
        <f>_xlfn.IFNA(SQRT((VLOOKUP(BR$1,DATA!$A$3:$F$301,2,FALSE)-VLOOKUP($A85,DATA!$A$3:$F$301,2,FALSE))^2+(VLOOKUP(BR$1,DATA!$A$3:$F$301,3,FALSE)-VLOOKUP($A85,DATA!$A$3:$F$301,3,FALSE))^2),"")</f>
        <v/>
      </c>
      <c r="BS85" s="14" t="str">
        <f>_xlfn.IFNA(SQRT((VLOOKUP(BS$1,DATA!$A$3:$F$301,2,FALSE)-VLOOKUP($A85,DATA!$A$3:$F$301,2,FALSE))^2+(VLOOKUP(BS$1,DATA!$A$3:$F$301,3,FALSE)-VLOOKUP($A85,DATA!$A$3:$F$301,3,FALSE))^2),"")</f>
        <v/>
      </c>
      <c r="BT85" s="14" t="str">
        <f>_xlfn.IFNA(SQRT((VLOOKUP(BT$1,DATA!$A$3:$F$301,2,FALSE)-VLOOKUP($A85,DATA!$A$3:$F$301,2,FALSE))^2+(VLOOKUP(BT$1,DATA!$A$3:$F$301,3,FALSE)-VLOOKUP($A85,DATA!$A$3:$F$301,3,FALSE))^2),"")</f>
        <v/>
      </c>
      <c r="BU85" s="14" t="str">
        <f>_xlfn.IFNA(SQRT((VLOOKUP(BU$1,DATA!$A$3:$F$301,2,FALSE)-VLOOKUP($A85,DATA!$A$3:$F$301,2,FALSE))^2+(VLOOKUP(BU$1,DATA!$A$3:$F$301,3,FALSE)-VLOOKUP($A85,DATA!$A$3:$F$301,3,FALSE))^2),"")</f>
        <v/>
      </c>
      <c r="BV85" s="14" t="str">
        <f>_xlfn.IFNA(SQRT((VLOOKUP(BV$1,DATA!$A$3:$F$301,2,FALSE)-VLOOKUP($A85,DATA!$A$3:$F$301,2,FALSE))^2+(VLOOKUP(BV$1,DATA!$A$3:$F$301,3,FALSE)-VLOOKUP($A85,DATA!$A$3:$F$301,3,FALSE))^2),"")</f>
        <v/>
      </c>
      <c r="BW85" s="14" t="str">
        <f>_xlfn.IFNA(SQRT((VLOOKUP(BW$1,DATA!$A$3:$F$301,2,FALSE)-VLOOKUP($A85,DATA!$A$3:$F$301,2,FALSE))^2+(VLOOKUP(BW$1,DATA!$A$3:$F$301,3,FALSE)-VLOOKUP($A85,DATA!$A$3:$F$301,3,FALSE))^2),"")</f>
        <v/>
      </c>
      <c r="BX85" s="14" t="str">
        <f>_xlfn.IFNA(SQRT((VLOOKUP(BX$1,DATA!$A$3:$F$301,2,FALSE)-VLOOKUP($A85,DATA!$A$3:$F$301,2,FALSE))^2+(VLOOKUP(BX$1,DATA!$A$3:$F$301,3,FALSE)-VLOOKUP($A85,DATA!$A$3:$F$301,3,FALSE))^2),"")</f>
        <v/>
      </c>
      <c r="BY85" s="14" t="str">
        <f>_xlfn.IFNA(SQRT((VLOOKUP(BY$1,DATA!$A$3:$F$301,2,FALSE)-VLOOKUP($A85,DATA!$A$3:$F$301,2,FALSE))^2+(VLOOKUP(BY$1,DATA!$A$3:$F$301,3,FALSE)-VLOOKUP($A85,DATA!$A$3:$F$301,3,FALSE))^2),"")</f>
        <v/>
      </c>
      <c r="BZ85" s="14" t="str">
        <f>_xlfn.IFNA(SQRT((VLOOKUP(BZ$1,DATA!$A$3:$F$301,2,FALSE)-VLOOKUP($A85,DATA!$A$3:$F$301,2,FALSE))^2+(VLOOKUP(BZ$1,DATA!$A$3:$F$301,3,FALSE)-VLOOKUP($A85,DATA!$A$3:$F$301,3,FALSE))^2),"")</f>
        <v/>
      </c>
      <c r="CA85" s="14" t="str">
        <f>_xlfn.IFNA(SQRT((VLOOKUP(CA$1,DATA!$A$3:$F$301,2,FALSE)-VLOOKUP($A85,DATA!$A$3:$F$301,2,FALSE))^2+(VLOOKUP(CA$1,DATA!$A$3:$F$301,3,FALSE)-VLOOKUP($A85,DATA!$A$3:$F$301,3,FALSE))^2),"")</f>
        <v/>
      </c>
      <c r="CB85" s="14" t="str">
        <f>_xlfn.IFNA(SQRT((VLOOKUP(CB$1,DATA!$A$3:$F$301,2,FALSE)-VLOOKUP($A85,DATA!$A$3:$F$301,2,FALSE))^2+(VLOOKUP(CB$1,DATA!$A$3:$F$301,3,FALSE)-VLOOKUP($A85,DATA!$A$3:$F$301,3,FALSE))^2),"")</f>
        <v/>
      </c>
      <c r="CC85" s="14" t="str">
        <f>_xlfn.IFNA(SQRT((VLOOKUP(CC$1,DATA!$A$3:$F$301,2,FALSE)-VLOOKUP($A85,DATA!$A$3:$F$301,2,FALSE))^2+(VLOOKUP(CC$1,DATA!$A$3:$F$301,3,FALSE)-VLOOKUP($A85,DATA!$A$3:$F$301,3,FALSE))^2),"")</f>
        <v/>
      </c>
      <c r="CD85" s="14" t="str">
        <f>_xlfn.IFNA(SQRT((VLOOKUP(CD$1,DATA!$A$3:$F$301,2,FALSE)-VLOOKUP($A85,DATA!$A$3:$F$301,2,FALSE))^2+(VLOOKUP(CD$1,DATA!$A$3:$F$301,3,FALSE)-VLOOKUP($A85,DATA!$A$3:$F$301,3,FALSE))^2),"")</f>
        <v/>
      </c>
      <c r="CE85" s="14" t="str">
        <f>_xlfn.IFNA(SQRT((VLOOKUP(CE$1,DATA!$A$3:$F$301,2,FALSE)-VLOOKUP($A85,DATA!$A$3:$F$301,2,FALSE))^2+(VLOOKUP(CE$1,DATA!$A$3:$F$301,3,FALSE)-VLOOKUP($A85,DATA!$A$3:$F$301,3,FALSE))^2),"")</f>
        <v/>
      </c>
      <c r="CF85" s="14" t="str">
        <f>_xlfn.IFNA(SQRT((VLOOKUP(CF$1,DATA!$A$3:$F$301,2,FALSE)-VLOOKUP($A85,DATA!$A$3:$F$301,2,FALSE))^2+(VLOOKUP(CF$1,DATA!$A$3:$F$301,3,FALSE)-VLOOKUP($A85,DATA!$A$3:$F$301,3,FALSE))^2),"")</f>
        <v/>
      </c>
      <c r="CG85" s="14" t="str">
        <f>_xlfn.IFNA(SQRT((VLOOKUP(CG$1,DATA!$A$3:$F$301,2,FALSE)-VLOOKUP($A85,DATA!$A$3:$F$301,2,FALSE))^2+(VLOOKUP(CG$1,DATA!$A$3:$F$301,3,FALSE)-VLOOKUP($A85,DATA!$A$3:$F$301,3,FALSE))^2),"")</f>
        <v/>
      </c>
      <c r="CH85" s="14" t="str">
        <f>_xlfn.IFNA(SQRT((VLOOKUP(CH$1,DATA!$A$3:$F$301,2,FALSE)-VLOOKUP($A85,DATA!$A$3:$F$301,2,FALSE))^2+(VLOOKUP(CH$1,DATA!$A$3:$F$301,3,FALSE)-VLOOKUP($A85,DATA!$A$3:$F$301,3,FALSE))^2),"")</f>
        <v/>
      </c>
      <c r="CI85" s="14" t="str">
        <f>_xlfn.IFNA(SQRT((VLOOKUP(CI$1,DATA!$A$3:$F$301,2,FALSE)-VLOOKUP($A85,DATA!$A$3:$F$301,2,FALSE))^2+(VLOOKUP(CI$1,DATA!$A$3:$F$301,3,FALSE)-VLOOKUP($A85,DATA!$A$3:$F$301,3,FALSE))^2),"")</f>
        <v/>
      </c>
      <c r="CJ85" s="14" t="str">
        <f>_xlfn.IFNA(SQRT((VLOOKUP(CJ$1,DATA!$A$3:$F$301,2,FALSE)-VLOOKUP($A85,DATA!$A$3:$F$301,2,FALSE))^2+(VLOOKUP(CJ$1,DATA!$A$3:$F$301,3,FALSE)-VLOOKUP($A85,DATA!$A$3:$F$301,3,FALSE))^2),"")</f>
        <v/>
      </c>
      <c r="CK85" s="14" t="str">
        <f>_xlfn.IFNA(SQRT((VLOOKUP(CK$1,DATA!$A$3:$F$301,2,FALSE)-VLOOKUP($A85,DATA!$A$3:$F$301,2,FALSE))^2+(VLOOKUP(CK$1,DATA!$A$3:$F$301,3,FALSE)-VLOOKUP($A85,DATA!$A$3:$F$301,3,FALSE))^2),"")</f>
        <v/>
      </c>
      <c r="CL85" s="14" t="str">
        <f>_xlfn.IFNA(SQRT((VLOOKUP(CL$1,DATA!$A$3:$F$301,2,FALSE)-VLOOKUP($A85,DATA!$A$3:$F$301,2,FALSE))^2+(VLOOKUP(CL$1,DATA!$A$3:$F$301,3,FALSE)-VLOOKUP($A85,DATA!$A$3:$F$301,3,FALSE))^2),"")</f>
        <v/>
      </c>
      <c r="CM85" s="14" t="str">
        <f>_xlfn.IFNA(SQRT((VLOOKUP(CM$1,DATA!$A$3:$F$301,2,FALSE)-VLOOKUP($A85,DATA!$A$3:$F$301,2,FALSE))^2+(VLOOKUP(CM$1,DATA!$A$3:$F$301,3,FALSE)-VLOOKUP($A85,DATA!$A$3:$F$301,3,FALSE))^2),"")</f>
        <v/>
      </c>
      <c r="CN85" s="14" t="str">
        <f>_xlfn.IFNA(SQRT((VLOOKUP(CN$1,DATA!$A$3:$F$301,2,FALSE)-VLOOKUP($A85,DATA!$A$3:$F$301,2,FALSE))^2+(VLOOKUP(CN$1,DATA!$A$3:$F$301,3,FALSE)-VLOOKUP($A85,DATA!$A$3:$F$301,3,FALSE))^2),"")</f>
        <v/>
      </c>
      <c r="CO85" s="14" t="str">
        <f>_xlfn.IFNA(SQRT((VLOOKUP(CO$1,DATA!$A$3:$F$301,2,FALSE)-VLOOKUP($A85,DATA!$A$3:$F$301,2,FALSE))^2+(VLOOKUP(CO$1,DATA!$A$3:$F$301,3,FALSE)-VLOOKUP($A85,DATA!$A$3:$F$301,3,FALSE))^2),"")</f>
        <v/>
      </c>
      <c r="CP85" s="14" t="str">
        <f>_xlfn.IFNA(SQRT((VLOOKUP(CP$1,DATA!$A$3:$F$301,2,FALSE)-VLOOKUP($A85,DATA!$A$3:$F$301,2,FALSE))^2+(VLOOKUP(CP$1,DATA!$A$3:$F$301,3,FALSE)-VLOOKUP($A85,DATA!$A$3:$F$301,3,FALSE))^2),"")</f>
        <v/>
      </c>
      <c r="CQ85" s="14" t="str">
        <f>_xlfn.IFNA(SQRT((VLOOKUP(CQ$1,DATA!$A$3:$F$301,2,FALSE)-VLOOKUP($A85,DATA!$A$3:$F$301,2,FALSE))^2+(VLOOKUP(CQ$1,DATA!$A$3:$F$301,3,FALSE)-VLOOKUP($A85,DATA!$A$3:$F$301,3,FALSE))^2),"")</f>
        <v/>
      </c>
      <c r="CR85" s="14" t="str">
        <f>_xlfn.IFNA(SQRT((VLOOKUP(CR$1,DATA!$A$3:$F$301,2,FALSE)-VLOOKUP($A85,DATA!$A$3:$F$301,2,FALSE))^2+(VLOOKUP(CR$1,DATA!$A$3:$F$301,3,FALSE)-VLOOKUP($A85,DATA!$A$3:$F$301,3,FALSE))^2),"")</f>
        <v/>
      </c>
      <c r="CS85" s="14" t="str">
        <f>_xlfn.IFNA(SQRT((VLOOKUP(CS$1,DATA!$A$3:$F$301,2,FALSE)-VLOOKUP($A85,DATA!$A$3:$F$301,2,FALSE))^2+(VLOOKUP(CS$1,DATA!$A$3:$F$301,3,FALSE)-VLOOKUP($A85,DATA!$A$3:$F$301,3,FALSE))^2),"")</f>
        <v/>
      </c>
      <c r="CT85" s="14" t="str">
        <f>_xlfn.IFNA(SQRT((VLOOKUP(CT$1,DATA!$A$3:$F$301,2,FALSE)-VLOOKUP($A85,DATA!$A$3:$F$301,2,FALSE))^2+(VLOOKUP(CT$1,DATA!$A$3:$F$301,3,FALSE)-VLOOKUP($A85,DATA!$A$3:$F$301,3,FALSE))^2),"")</f>
        <v/>
      </c>
      <c r="CU85" s="14" t="str">
        <f>_xlfn.IFNA(SQRT((VLOOKUP(CU$1,DATA!$A$3:$F$301,2,FALSE)-VLOOKUP($A85,DATA!$A$3:$F$301,2,FALSE))^2+(VLOOKUP(CU$1,DATA!$A$3:$F$301,3,FALSE)-VLOOKUP($A85,DATA!$A$3:$F$301,3,FALSE))^2),"")</f>
        <v/>
      </c>
      <c r="CV85" s="14" t="str">
        <f>_xlfn.IFNA(SQRT((VLOOKUP(CV$1,DATA!$A$3:$F$301,2,FALSE)-VLOOKUP($A85,DATA!$A$3:$F$301,2,FALSE))^2+(VLOOKUP(CV$1,DATA!$A$3:$F$301,3,FALSE)-VLOOKUP($A85,DATA!$A$3:$F$301,3,FALSE))^2),"")</f>
        <v/>
      </c>
      <c r="CW85" s="14" t="str">
        <f>_xlfn.IFNA(SQRT((VLOOKUP(CW$1,DATA!$A$3:$F$301,2,FALSE)-VLOOKUP($A85,DATA!$A$3:$F$301,2,FALSE))^2+(VLOOKUP(CW$1,DATA!$A$3:$F$301,3,FALSE)-VLOOKUP($A85,DATA!$A$3:$F$301,3,FALSE))^2),"")</f>
        <v/>
      </c>
      <c r="CX85" s="14" t="str">
        <f>_xlfn.IFNA(SQRT((VLOOKUP(CX$1,DATA!$A$3:$F$301,2,FALSE)-VLOOKUP($A85,DATA!$A$3:$F$301,2,FALSE))^2+(VLOOKUP(CX$1,DATA!$A$3:$F$301,3,FALSE)-VLOOKUP($A85,DATA!$A$3:$F$301,3,FALSE))^2),"")</f>
        <v/>
      </c>
    </row>
    <row r="86" spans="1:102">
      <c r="A86" s="13">
        <v>85</v>
      </c>
      <c r="B86" s="14" t="str">
        <f>_xlfn.IFNA(SQRT((VLOOKUP(B$1,DATA!$A$3:$F$301,2,FALSE)-VLOOKUP($A86,DATA!$A$3:$F$301,2,FALSE))^2+(VLOOKUP(B$1,DATA!$A$3:$F$301,3,FALSE)-VLOOKUP($A86,DATA!$A$3:$F$301,3,FALSE))^2),"")</f>
        <v/>
      </c>
      <c r="C86" s="14" t="str">
        <f>_xlfn.IFNA(SQRT((VLOOKUP(C$1,DATA!$A$3:$F$301,2,FALSE)-VLOOKUP($A86,DATA!$A$3:$F$301,2,FALSE))^2+(VLOOKUP(C$1,DATA!$A$3:$F$301,3,FALSE)-VLOOKUP($A86,DATA!$A$3:$F$301,3,FALSE))^2),"")</f>
        <v/>
      </c>
      <c r="D86" s="14" t="str">
        <f>_xlfn.IFNA(SQRT((VLOOKUP(D$1,DATA!$A$3:$F$301,2,FALSE)-VLOOKUP($A86,DATA!$A$3:$F$301,2,FALSE))^2+(VLOOKUP(D$1,DATA!$A$3:$F$301,3,FALSE)-VLOOKUP($A86,DATA!$A$3:$F$301,3,FALSE))^2),"")</f>
        <v/>
      </c>
      <c r="E86" s="14" t="str">
        <f>_xlfn.IFNA(SQRT((VLOOKUP(E$1,DATA!$A$3:$F$301,2,FALSE)-VLOOKUP($A86,DATA!$A$3:$F$301,2,FALSE))^2+(VLOOKUP(E$1,DATA!$A$3:$F$301,3,FALSE)-VLOOKUP($A86,DATA!$A$3:$F$301,3,FALSE))^2),"")</f>
        <v/>
      </c>
      <c r="F86" s="14" t="str">
        <f>_xlfn.IFNA(SQRT((VLOOKUP(F$1,DATA!$A$3:$F$301,2,FALSE)-VLOOKUP($A86,DATA!$A$3:$F$301,2,FALSE))^2+(VLOOKUP(F$1,DATA!$A$3:$F$301,3,FALSE)-VLOOKUP($A86,DATA!$A$3:$F$301,3,FALSE))^2),"")</f>
        <v/>
      </c>
      <c r="G86" s="14" t="str">
        <f>_xlfn.IFNA(SQRT((VLOOKUP(G$1,DATA!$A$3:$F$301,2,FALSE)-VLOOKUP($A86,DATA!$A$3:$F$301,2,FALSE))^2+(VLOOKUP(G$1,DATA!$A$3:$F$301,3,FALSE)-VLOOKUP($A86,DATA!$A$3:$F$301,3,FALSE))^2),"")</f>
        <v/>
      </c>
      <c r="H86" s="14" t="str">
        <f>_xlfn.IFNA(SQRT((VLOOKUP(H$1,DATA!$A$3:$F$301,2,FALSE)-VLOOKUP($A86,DATA!$A$3:$F$301,2,FALSE))^2+(VLOOKUP(H$1,DATA!$A$3:$F$301,3,FALSE)-VLOOKUP($A86,DATA!$A$3:$F$301,3,FALSE))^2),"")</f>
        <v/>
      </c>
      <c r="I86" s="14" t="str">
        <f>_xlfn.IFNA(SQRT((VLOOKUP(I$1,DATA!$A$3:$F$301,2,FALSE)-VLOOKUP($A86,DATA!$A$3:$F$301,2,FALSE))^2+(VLOOKUP(I$1,DATA!$A$3:$F$301,3,FALSE)-VLOOKUP($A86,DATA!$A$3:$F$301,3,FALSE))^2),"")</f>
        <v/>
      </c>
      <c r="J86" s="14" t="str">
        <f>_xlfn.IFNA(SQRT((VLOOKUP(J$1,DATA!$A$3:$F$301,2,FALSE)-VLOOKUP($A86,DATA!$A$3:$F$301,2,FALSE))^2+(VLOOKUP(J$1,DATA!$A$3:$F$301,3,FALSE)-VLOOKUP($A86,DATA!$A$3:$F$301,3,FALSE))^2),"")</f>
        <v/>
      </c>
      <c r="K86" s="14" t="str">
        <f>_xlfn.IFNA(SQRT((VLOOKUP(K$1,DATA!$A$3:$F$301,2,FALSE)-VLOOKUP($A86,DATA!$A$3:$F$301,2,FALSE))^2+(VLOOKUP(K$1,DATA!$A$3:$F$301,3,FALSE)-VLOOKUP($A86,DATA!$A$3:$F$301,3,FALSE))^2),"")</f>
        <v/>
      </c>
      <c r="L86" s="14" t="str">
        <f>_xlfn.IFNA(SQRT((VLOOKUP(L$1,DATA!$A$3:$F$301,2,FALSE)-VLOOKUP($A86,DATA!$A$3:$F$301,2,FALSE))^2+(VLOOKUP(L$1,DATA!$A$3:$F$301,3,FALSE)-VLOOKUP($A86,DATA!$A$3:$F$301,3,FALSE))^2),"")</f>
        <v/>
      </c>
      <c r="M86" s="14" t="str">
        <f>_xlfn.IFNA(SQRT((VLOOKUP(M$1,DATA!$A$3:$F$301,2,FALSE)-VLOOKUP($A86,DATA!$A$3:$F$301,2,FALSE))^2+(VLOOKUP(M$1,DATA!$A$3:$F$301,3,FALSE)-VLOOKUP($A86,DATA!$A$3:$F$301,3,FALSE))^2),"")</f>
        <v/>
      </c>
      <c r="N86" s="14" t="str">
        <f>_xlfn.IFNA(SQRT((VLOOKUP(N$1,DATA!$A$3:$F$301,2,FALSE)-VLOOKUP($A86,DATA!$A$3:$F$301,2,FALSE))^2+(VLOOKUP(N$1,DATA!$A$3:$F$301,3,FALSE)-VLOOKUP($A86,DATA!$A$3:$F$301,3,FALSE))^2),"")</f>
        <v/>
      </c>
      <c r="O86" s="14" t="str">
        <f>_xlfn.IFNA(SQRT((VLOOKUP(O$1,DATA!$A$3:$F$301,2,FALSE)-VLOOKUP($A86,DATA!$A$3:$F$301,2,FALSE))^2+(VLOOKUP(O$1,DATA!$A$3:$F$301,3,FALSE)-VLOOKUP($A86,DATA!$A$3:$F$301,3,FALSE))^2),"")</f>
        <v/>
      </c>
      <c r="P86" s="14" t="str">
        <f>_xlfn.IFNA(SQRT((VLOOKUP(P$1,DATA!$A$3:$F$301,2,FALSE)-VLOOKUP($A86,DATA!$A$3:$F$301,2,FALSE))^2+(VLOOKUP(P$1,DATA!$A$3:$F$301,3,FALSE)-VLOOKUP($A86,DATA!$A$3:$F$301,3,FALSE))^2),"")</f>
        <v/>
      </c>
      <c r="Q86" s="14" t="str">
        <f>_xlfn.IFNA(SQRT((VLOOKUP(Q$1,DATA!$A$3:$F$301,2,FALSE)-VLOOKUP($A86,DATA!$A$3:$F$301,2,FALSE))^2+(VLOOKUP(Q$1,DATA!$A$3:$F$301,3,FALSE)-VLOOKUP($A86,DATA!$A$3:$F$301,3,FALSE))^2),"")</f>
        <v/>
      </c>
      <c r="R86" s="14" t="str">
        <f>_xlfn.IFNA(SQRT((VLOOKUP(R$1,DATA!$A$3:$F$301,2,FALSE)-VLOOKUP($A86,DATA!$A$3:$F$301,2,FALSE))^2+(VLOOKUP(R$1,DATA!$A$3:$F$301,3,FALSE)-VLOOKUP($A86,DATA!$A$3:$F$301,3,FALSE))^2),"")</f>
        <v/>
      </c>
      <c r="S86" s="14" t="str">
        <f>_xlfn.IFNA(SQRT((VLOOKUP(S$1,DATA!$A$3:$F$301,2,FALSE)-VLOOKUP($A86,DATA!$A$3:$F$301,2,FALSE))^2+(VLOOKUP(S$1,DATA!$A$3:$F$301,3,FALSE)-VLOOKUP($A86,DATA!$A$3:$F$301,3,FALSE))^2),"")</f>
        <v/>
      </c>
      <c r="T86" s="14" t="str">
        <f>_xlfn.IFNA(SQRT((VLOOKUP(T$1,DATA!$A$3:$F$301,2,FALSE)-VLOOKUP($A86,DATA!$A$3:$F$301,2,FALSE))^2+(VLOOKUP(T$1,DATA!$A$3:$F$301,3,FALSE)-VLOOKUP($A86,DATA!$A$3:$F$301,3,FALSE))^2),"")</f>
        <v/>
      </c>
      <c r="U86" s="14" t="str">
        <f>_xlfn.IFNA(SQRT((VLOOKUP(U$1,DATA!$A$3:$F$301,2,FALSE)-VLOOKUP($A86,DATA!$A$3:$F$301,2,FALSE))^2+(VLOOKUP(U$1,DATA!$A$3:$F$301,3,FALSE)-VLOOKUP($A86,DATA!$A$3:$F$301,3,FALSE))^2),"")</f>
        <v/>
      </c>
      <c r="V86" s="14" t="str">
        <f>_xlfn.IFNA(SQRT((VLOOKUP(V$1,DATA!$A$3:$F$301,2,FALSE)-VLOOKUP($A86,DATA!$A$3:$F$301,2,FALSE))^2+(VLOOKUP(V$1,DATA!$A$3:$F$301,3,FALSE)-VLOOKUP($A86,DATA!$A$3:$F$301,3,FALSE))^2),"")</f>
        <v/>
      </c>
      <c r="W86" s="14" t="str">
        <f>_xlfn.IFNA(SQRT((VLOOKUP(W$1,DATA!$A$3:$F$301,2,FALSE)-VLOOKUP($A86,DATA!$A$3:$F$301,2,FALSE))^2+(VLOOKUP(W$1,DATA!$A$3:$F$301,3,FALSE)-VLOOKUP($A86,DATA!$A$3:$F$301,3,FALSE))^2),"")</f>
        <v/>
      </c>
      <c r="X86" s="14" t="str">
        <f>_xlfn.IFNA(SQRT((VLOOKUP(X$1,DATA!$A$3:$F$301,2,FALSE)-VLOOKUP($A86,DATA!$A$3:$F$301,2,FALSE))^2+(VLOOKUP(X$1,DATA!$A$3:$F$301,3,FALSE)-VLOOKUP($A86,DATA!$A$3:$F$301,3,FALSE))^2),"")</f>
        <v/>
      </c>
      <c r="Y86" s="14" t="str">
        <f>_xlfn.IFNA(SQRT((VLOOKUP(Y$1,DATA!$A$3:$F$301,2,FALSE)-VLOOKUP($A86,DATA!$A$3:$F$301,2,FALSE))^2+(VLOOKUP(Y$1,DATA!$A$3:$F$301,3,FALSE)-VLOOKUP($A86,DATA!$A$3:$F$301,3,FALSE))^2),"")</f>
        <v/>
      </c>
      <c r="Z86" s="14" t="str">
        <f>_xlfn.IFNA(SQRT((VLOOKUP(Z$1,DATA!$A$3:$F$301,2,FALSE)-VLOOKUP($A86,DATA!$A$3:$F$301,2,FALSE))^2+(VLOOKUP(Z$1,DATA!$A$3:$F$301,3,FALSE)-VLOOKUP($A86,DATA!$A$3:$F$301,3,FALSE))^2),"")</f>
        <v/>
      </c>
      <c r="AA86" s="14" t="str">
        <f>_xlfn.IFNA(SQRT((VLOOKUP(AA$1,DATA!$A$3:$F$301,2,FALSE)-VLOOKUP($A86,DATA!$A$3:$F$301,2,FALSE))^2+(VLOOKUP(AA$1,DATA!$A$3:$F$301,3,FALSE)-VLOOKUP($A86,DATA!$A$3:$F$301,3,FALSE))^2),"")</f>
        <v/>
      </c>
      <c r="AB86" s="14" t="str">
        <f>_xlfn.IFNA(SQRT((VLOOKUP(AB$1,DATA!$A$3:$F$301,2,FALSE)-VLOOKUP($A86,DATA!$A$3:$F$301,2,FALSE))^2+(VLOOKUP(AB$1,DATA!$A$3:$F$301,3,FALSE)-VLOOKUP($A86,DATA!$A$3:$F$301,3,FALSE))^2),"")</f>
        <v/>
      </c>
      <c r="AC86" s="14" t="str">
        <f>_xlfn.IFNA(SQRT((VLOOKUP(AC$1,DATA!$A$3:$F$301,2,FALSE)-VLOOKUP($A86,DATA!$A$3:$F$301,2,FALSE))^2+(VLOOKUP(AC$1,DATA!$A$3:$F$301,3,FALSE)-VLOOKUP($A86,DATA!$A$3:$F$301,3,FALSE))^2),"")</f>
        <v/>
      </c>
      <c r="AD86" s="14" t="str">
        <f>_xlfn.IFNA(SQRT((VLOOKUP(AD$1,DATA!$A$3:$F$301,2,FALSE)-VLOOKUP($A86,DATA!$A$3:$F$301,2,FALSE))^2+(VLOOKUP(AD$1,DATA!$A$3:$F$301,3,FALSE)-VLOOKUP($A86,DATA!$A$3:$F$301,3,FALSE))^2),"")</f>
        <v/>
      </c>
      <c r="AE86" s="14" t="str">
        <f>_xlfn.IFNA(SQRT((VLOOKUP(AE$1,DATA!$A$3:$F$301,2,FALSE)-VLOOKUP($A86,DATA!$A$3:$F$301,2,FALSE))^2+(VLOOKUP(AE$1,DATA!$A$3:$F$301,3,FALSE)-VLOOKUP($A86,DATA!$A$3:$F$301,3,FALSE))^2),"")</f>
        <v/>
      </c>
      <c r="AF86" s="14" t="str">
        <f>_xlfn.IFNA(SQRT((VLOOKUP(AF$1,DATA!$A$3:$F$301,2,FALSE)-VLOOKUP($A86,DATA!$A$3:$F$301,2,FALSE))^2+(VLOOKUP(AF$1,DATA!$A$3:$F$301,3,FALSE)-VLOOKUP($A86,DATA!$A$3:$F$301,3,FALSE))^2),"")</f>
        <v/>
      </c>
      <c r="AG86" s="14" t="str">
        <f>_xlfn.IFNA(SQRT((VLOOKUP(AG$1,DATA!$A$3:$F$301,2,FALSE)-VLOOKUP($A86,DATA!$A$3:$F$301,2,FALSE))^2+(VLOOKUP(AG$1,DATA!$A$3:$F$301,3,FALSE)-VLOOKUP($A86,DATA!$A$3:$F$301,3,FALSE))^2),"")</f>
        <v/>
      </c>
      <c r="AH86" s="14" t="str">
        <f>_xlfn.IFNA(SQRT((VLOOKUP(AH$1,DATA!$A$3:$F$301,2,FALSE)-VLOOKUP($A86,DATA!$A$3:$F$301,2,FALSE))^2+(VLOOKUP(AH$1,DATA!$A$3:$F$301,3,FALSE)-VLOOKUP($A86,DATA!$A$3:$F$301,3,FALSE))^2),"")</f>
        <v/>
      </c>
      <c r="AI86" s="14" t="str">
        <f>_xlfn.IFNA(SQRT((VLOOKUP(AI$1,DATA!$A$3:$F$301,2,FALSE)-VLOOKUP($A86,DATA!$A$3:$F$301,2,FALSE))^2+(VLOOKUP(AI$1,DATA!$A$3:$F$301,3,FALSE)-VLOOKUP($A86,DATA!$A$3:$F$301,3,FALSE))^2),"")</f>
        <v/>
      </c>
      <c r="AJ86" s="14" t="str">
        <f>_xlfn.IFNA(SQRT((VLOOKUP(AJ$1,DATA!$A$3:$F$301,2,FALSE)-VLOOKUP($A86,DATA!$A$3:$F$301,2,FALSE))^2+(VLOOKUP(AJ$1,DATA!$A$3:$F$301,3,FALSE)-VLOOKUP($A86,DATA!$A$3:$F$301,3,FALSE))^2),"")</f>
        <v/>
      </c>
      <c r="AK86" s="14" t="str">
        <f>_xlfn.IFNA(SQRT((VLOOKUP(AK$1,DATA!$A$3:$F$301,2,FALSE)-VLOOKUP($A86,DATA!$A$3:$F$301,2,FALSE))^2+(VLOOKUP(AK$1,DATA!$A$3:$F$301,3,FALSE)-VLOOKUP($A86,DATA!$A$3:$F$301,3,FALSE))^2),"")</f>
        <v/>
      </c>
      <c r="AL86" s="14" t="str">
        <f>_xlfn.IFNA(SQRT((VLOOKUP(AL$1,DATA!$A$3:$F$301,2,FALSE)-VLOOKUP($A86,DATA!$A$3:$F$301,2,FALSE))^2+(VLOOKUP(AL$1,DATA!$A$3:$F$301,3,FALSE)-VLOOKUP($A86,DATA!$A$3:$F$301,3,FALSE))^2),"")</f>
        <v/>
      </c>
      <c r="AM86" s="14" t="str">
        <f>_xlfn.IFNA(SQRT((VLOOKUP(AM$1,DATA!$A$3:$F$301,2,FALSE)-VLOOKUP($A86,DATA!$A$3:$F$301,2,FALSE))^2+(VLOOKUP(AM$1,DATA!$A$3:$F$301,3,FALSE)-VLOOKUP($A86,DATA!$A$3:$F$301,3,FALSE))^2),"")</f>
        <v/>
      </c>
      <c r="AN86" s="14" t="str">
        <f>_xlfn.IFNA(SQRT((VLOOKUP(AN$1,DATA!$A$3:$F$301,2,FALSE)-VLOOKUP($A86,DATA!$A$3:$F$301,2,FALSE))^2+(VLOOKUP(AN$1,DATA!$A$3:$F$301,3,FALSE)-VLOOKUP($A86,DATA!$A$3:$F$301,3,FALSE))^2),"")</f>
        <v/>
      </c>
      <c r="AO86" s="14" t="str">
        <f>_xlfn.IFNA(SQRT((VLOOKUP(AO$1,DATA!$A$3:$F$301,2,FALSE)-VLOOKUP($A86,DATA!$A$3:$F$301,2,FALSE))^2+(VLOOKUP(AO$1,DATA!$A$3:$F$301,3,FALSE)-VLOOKUP($A86,DATA!$A$3:$F$301,3,FALSE))^2),"")</f>
        <v/>
      </c>
      <c r="AP86" s="14" t="str">
        <f>_xlfn.IFNA(SQRT((VLOOKUP(AP$1,DATA!$A$3:$F$301,2,FALSE)-VLOOKUP($A86,DATA!$A$3:$F$301,2,FALSE))^2+(VLOOKUP(AP$1,DATA!$A$3:$F$301,3,FALSE)-VLOOKUP($A86,DATA!$A$3:$F$301,3,FALSE))^2),"")</f>
        <v/>
      </c>
      <c r="AQ86" s="14" t="str">
        <f>_xlfn.IFNA(SQRT((VLOOKUP(AQ$1,DATA!$A$3:$F$301,2,FALSE)-VLOOKUP($A86,DATA!$A$3:$F$301,2,FALSE))^2+(VLOOKUP(AQ$1,DATA!$A$3:$F$301,3,FALSE)-VLOOKUP($A86,DATA!$A$3:$F$301,3,FALSE))^2),"")</f>
        <v/>
      </c>
      <c r="AR86" s="14" t="str">
        <f>_xlfn.IFNA(SQRT((VLOOKUP(AR$1,DATA!$A$3:$F$301,2,FALSE)-VLOOKUP($A86,DATA!$A$3:$F$301,2,FALSE))^2+(VLOOKUP(AR$1,DATA!$A$3:$F$301,3,FALSE)-VLOOKUP($A86,DATA!$A$3:$F$301,3,FALSE))^2),"")</f>
        <v/>
      </c>
      <c r="AS86" s="14" t="str">
        <f>_xlfn.IFNA(SQRT((VLOOKUP(AS$1,DATA!$A$3:$F$301,2,FALSE)-VLOOKUP($A86,DATA!$A$3:$F$301,2,FALSE))^2+(VLOOKUP(AS$1,DATA!$A$3:$F$301,3,FALSE)-VLOOKUP($A86,DATA!$A$3:$F$301,3,FALSE))^2),"")</f>
        <v/>
      </c>
      <c r="AT86" s="14" t="str">
        <f>_xlfn.IFNA(SQRT((VLOOKUP(AT$1,DATA!$A$3:$F$301,2,FALSE)-VLOOKUP($A86,DATA!$A$3:$F$301,2,FALSE))^2+(VLOOKUP(AT$1,DATA!$A$3:$F$301,3,FALSE)-VLOOKUP($A86,DATA!$A$3:$F$301,3,FALSE))^2),"")</f>
        <v/>
      </c>
      <c r="AU86" s="14" t="str">
        <f>_xlfn.IFNA(SQRT((VLOOKUP(AU$1,DATA!$A$3:$F$301,2,FALSE)-VLOOKUP($A86,DATA!$A$3:$F$301,2,FALSE))^2+(VLOOKUP(AU$1,DATA!$A$3:$F$301,3,FALSE)-VLOOKUP($A86,DATA!$A$3:$F$301,3,FALSE))^2),"")</f>
        <v/>
      </c>
      <c r="AV86" s="14" t="str">
        <f>_xlfn.IFNA(SQRT((VLOOKUP(AV$1,DATA!$A$3:$F$301,2,FALSE)-VLOOKUP($A86,DATA!$A$3:$F$301,2,FALSE))^2+(VLOOKUP(AV$1,DATA!$A$3:$F$301,3,FALSE)-VLOOKUP($A86,DATA!$A$3:$F$301,3,FALSE))^2),"")</f>
        <v/>
      </c>
      <c r="AW86" s="14" t="str">
        <f>_xlfn.IFNA(SQRT((VLOOKUP(AW$1,DATA!$A$3:$F$301,2,FALSE)-VLOOKUP($A86,DATA!$A$3:$F$301,2,FALSE))^2+(VLOOKUP(AW$1,DATA!$A$3:$F$301,3,FALSE)-VLOOKUP($A86,DATA!$A$3:$F$301,3,FALSE))^2),"")</f>
        <v/>
      </c>
      <c r="AX86" s="14" t="str">
        <f>_xlfn.IFNA(SQRT((VLOOKUP(AX$1,DATA!$A$3:$F$301,2,FALSE)-VLOOKUP($A86,DATA!$A$3:$F$301,2,FALSE))^2+(VLOOKUP(AX$1,DATA!$A$3:$F$301,3,FALSE)-VLOOKUP($A86,DATA!$A$3:$F$301,3,FALSE))^2),"")</f>
        <v/>
      </c>
      <c r="AY86" s="14" t="str">
        <f>_xlfn.IFNA(SQRT((VLOOKUP(AY$1,DATA!$A$3:$F$301,2,FALSE)-VLOOKUP($A86,DATA!$A$3:$F$301,2,FALSE))^2+(VLOOKUP(AY$1,DATA!$A$3:$F$301,3,FALSE)-VLOOKUP($A86,DATA!$A$3:$F$301,3,FALSE))^2),"")</f>
        <v/>
      </c>
      <c r="AZ86" s="14" t="str">
        <f>_xlfn.IFNA(SQRT((VLOOKUP(AZ$1,DATA!$A$3:$F$301,2,FALSE)-VLOOKUP($A86,DATA!$A$3:$F$301,2,FALSE))^2+(VLOOKUP(AZ$1,DATA!$A$3:$F$301,3,FALSE)-VLOOKUP($A86,DATA!$A$3:$F$301,3,FALSE))^2),"")</f>
        <v/>
      </c>
      <c r="BA86" s="14" t="str">
        <f>_xlfn.IFNA(SQRT((VLOOKUP(BA$1,DATA!$A$3:$F$301,2,FALSE)-VLOOKUP($A86,DATA!$A$3:$F$301,2,FALSE))^2+(VLOOKUP(BA$1,DATA!$A$3:$F$301,3,FALSE)-VLOOKUP($A86,DATA!$A$3:$F$301,3,FALSE))^2),"")</f>
        <v/>
      </c>
      <c r="BB86" s="14" t="str">
        <f>_xlfn.IFNA(SQRT((VLOOKUP(BB$1,DATA!$A$3:$F$301,2,FALSE)-VLOOKUP($A86,DATA!$A$3:$F$301,2,FALSE))^2+(VLOOKUP(BB$1,DATA!$A$3:$F$301,3,FALSE)-VLOOKUP($A86,DATA!$A$3:$F$301,3,FALSE))^2),"")</f>
        <v/>
      </c>
      <c r="BC86" s="14" t="str">
        <f>_xlfn.IFNA(SQRT((VLOOKUP(BC$1,DATA!$A$3:$F$301,2,FALSE)-VLOOKUP($A86,DATA!$A$3:$F$301,2,FALSE))^2+(VLOOKUP(BC$1,DATA!$A$3:$F$301,3,FALSE)-VLOOKUP($A86,DATA!$A$3:$F$301,3,FALSE))^2),"")</f>
        <v/>
      </c>
      <c r="BD86" s="14" t="str">
        <f>_xlfn.IFNA(SQRT((VLOOKUP(BD$1,DATA!$A$3:$F$301,2,FALSE)-VLOOKUP($A86,DATA!$A$3:$F$301,2,FALSE))^2+(VLOOKUP(BD$1,DATA!$A$3:$F$301,3,FALSE)-VLOOKUP($A86,DATA!$A$3:$F$301,3,FALSE))^2),"")</f>
        <v/>
      </c>
      <c r="BE86" s="14" t="str">
        <f>_xlfn.IFNA(SQRT((VLOOKUP(BE$1,DATA!$A$3:$F$301,2,FALSE)-VLOOKUP($A86,DATA!$A$3:$F$301,2,FALSE))^2+(VLOOKUP(BE$1,DATA!$A$3:$F$301,3,FALSE)-VLOOKUP($A86,DATA!$A$3:$F$301,3,FALSE))^2),"")</f>
        <v/>
      </c>
      <c r="BF86" s="14" t="str">
        <f>_xlfn.IFNA(SQRT((VLOOKUP(BF$1,DATA!$A$3:$F$301,2,FALSE)-VLOOKUP($A86,DATA!$A$3:$F$301,2,FALSE))^2+(VLOOKUP(BF$1,DATA!$A$3:$F$301,3,FALSE)-VLOOKUP($A86,DATA!$A$3:$F$301,3,FALSE))^2),"")</f>
        <v/>
      </c>
      <c r="BG86" s="14" t="str">
        <f>_xlfn.IFNA(SQRT((VLOOKUP(BG$1,DATA!$A$3:$F$301,2,FALSE)-VLOOKUP($A86,DATA!$A$3:$F$301,2,FALSE))^2+(VLOOKUP(BG$1,DATA!$A$3:$F$301,3,FALSE)-VLOOKUP($A86,DATA!$A$3:$F$301,3,FALSE))^2),"")</f>
        <v/>
      </c>
      <c r="BH86" s="14" t="str">
        <f>_xlfn.IFNA(SQRT((VLOOKUP(BH$1,DATA!$A$3:$F$301,2,FALSE)-VLOOKUP($A86,DATA!$A$3:$F$301,2,FALSE))^2+(VLOOKUP(BH$1,DATA!$A$3:$F$301,3,FALSE)-VLOOKUP($A86,DATA!$A$3:$F$301,3,FALSE))^2),"")</f>
        <v/>
      </c>
      <c r="BI86" s="14" t="str">
        <f>_xlfn.IFNA(SQRT((VLOOKUP(BI$1,DATA!$A$3:$F$301,2,FALSE)-VLOOKUP($A86,DATA!$A$3:$F$301,2,FALSE))^2+(VLOOKUP(BI$1,DATA!$A$3:$F$301,3,FALSE)-VLOOKUP($A86,DATA!$A$3:$F$301,3,FALSE))^2),"")</f>
        <v/>
      </c>
      <c r="BJ86" s="14" t="str">
        <f>_xlfn.IFNA(SQRT((VLOOKUP(BJ$1,DATA!$A$3:$F$301,2,FALSE)-VLOOKUP($A86,DATA!$A$3:$F$301,2,FALSE))^2+(VLOOKUP(BJ$1,DATA!$A$3:$F$301,3,FALSE)-VLOOKUP($A86,DATA!$A$3:$F$301,3,FALSE))^2),"")</f>
        <v/>
      </c>
      <c r="BK86" s="14" t="str">
        <f>_xlfn.IFNA(SQRT((VLOOKUP(BK$1,DATA!$A$3:$F$301,2,FALSE)-VLOOKUP($A86,DATA!$A$3:$F$301,2,FALSE))^2+(VLOOKUP(BK$1,DATA!$A$3:$F$301,3,FALSE)-VLOOKUP($A86,DATA!$A$3:$F$301,3,FALSE))^2),"")</f>
        <v/>
      </c>
      <c r="BL86" s="14" t="str">
        <f>_xlfn.IFNA(SQRT((VLOOKUP(BL$1,DATA!$A$3:$F$301,2,FALSE)-VLOOKUP($A86,DATA!$A$3:$F$301,2,FALSE))^2+(VLOOKUP(BL$1,DATA!$A$3:$F$301,3,FALSE)-VLOOKUP($A86,DATA!$A$3:$F$301,3,FALSE))^2),"")</f>
        <v/>
      </c>
      <c r="BM86" s="14" t="str">
        <f>_xlfn.IFNA(SQRT((VLOOKUP(BM$1,DATA!$A$3:$F$301,2,FALSE)-VLOOKUP($A86,DATA!$A$3:$F$301,2,FALSE))^2+(VLOOKUP(BM$1,DATA!$A$3:$F$301,3,FALSE)-VLOOKUP($A86,DATA!$A$3:$F$301,3,FALSE))^2),"")</f>
        <v/>
      </c>
      <c r="BN86" s="14" t="str">
        <f>_xlfn.IFNA(SQRT((VLOOKUP(BN$1,DATA!$A$3:$F$301,2,FALSE)-VLOOKUP($A86,DATA!$A$3:$F$301,2,FALSE))^2+(VLOOKUP(BN$1,DATA!$A$3:$F$301,3,FALSE)-VLOOKUP($A86,DATA!$A$3:$F$301,3,FALSE))^2),"")</f>
        <v/>
      </c>
      <c r="BO86" s="14" t="str">
        <f>_xlfn.IFNA(SQRT((VLOOKUP(BO$1,DATA!$A$3:$F$301,2,FALSE)-VLOOKUP($A86,DATA!$A$3:$F$301,2,FALSE))^2+(VLOOKUP(BO$1,DATA!$A$3:$F$301,3,FALSE)-VLOOKUP($A86,DATA!$A$3:$F$301,3,FALSE))^2),"")</f>
        <v/>
      </c>
      <c r="BP86" s="14" t="str">
        <f>_xlfn.IFNA(SQRT((VLOOKUP(BP$1,DATA!$A$3:$F$301,2,FALSE)-VLOOKUP($A86,DATA!$A$3:$F$301,2,FALSE))^2+(VLOOKUP(BP$1,DATA!$A$3:$F$301,3,FALSE)-VLOOKUP($A86,DATA!$A$3:$F$301,3,FALSE))^2),"")</f>
        <v/>
      </c>
      <c r="BQ86" s="14" t="str">
        <f>_xlfn.IFNA(SQRT((VLOOKUP(BQ$1,DATA!$A$3:$F$301,2,FALSE)-VLOOKUP($A86,DATA!$A$3:$F$301,2,FALSE))^2+(VLOOKUP(BQ$1,DATA!$A$3:$F$301,3,FALSE)-VLOOKUP($A86,DATA!$A$3:$F$301,3,FALSE))^2),"")</f>
        <v/>
      </c>
      <c r="BR86" s="14" t="str">
        <f>_xlfn.IFNA(SQRT((VLOOKUP(BR$1,DATA!$A$3:$F$301,2,FALSE)-VLOOKUP($A86,DATA!$A$3:$F$301,2,FALSE))^2+(VLOOKUP(BR$1,DATA!$A$3:$F$301,3,FALSE)-VLOOKUP($A86,DATA!$A$3:$F$301,3,FALSE))^2),"")</f>
        <v/>
      </c>
      <c r="BS86" s="14" t="str">
        <f>_xlfn.IFNA(SQRT((VLOOKUP(BS$1,DATA!$A$3:$F$301,2,FALSE)-VLOOKUP($A86,DATA!$A$3:$F$301,2,FALSE))^2+(VLOOKUP(BS$1,DATA!$A$3:$F$301,3,FALSE)-VLOOKUP($A86,DATA!$A$3:$F$301,3,FALSE))^2),"")</f>
        <v/>
      </c>
      <c r="BT86" s="14" t="str">
        <f>_xlfn.IFNA(SQRT((VLOOKUP(BT$1,DATA!$A$3:$F$301,2,FALSE)-VLOOKUP($A86,DATA!$A$3:$F$301,2,FALSE))^2+(VLOOKUP(BT$1,DATA!$A$3:$F$301,3,FALSE)-VLOOKUP($A86,DATA!$A$3:$F$301,3,FALSE))^2),"")</f>
        <v/>
      </c>
      <c r="BU86" s="14" t="str">
        <f>_xlfn.IFNA(SQRT((VLOOKUP(BU$1,DATA!$A$3:$F$301,2,FALSE)-VLOOKUP($A86,DATA!$A$3:$F$301,2,FALSE))^2+(VLOOKUP(BU$1,DATA!$A$3:$F$301,3,FALSE)-VLOOKUP($A86,DATA!$A$3:$F$301,3,FALSE))^2),"")</f>
        <v/>
      </c>
      <c r="BV86" s="14" t="str">
        <f>_xlfn.IFNA(SQRT((VLOOKUP(BV$1,DATA!$A$3:$F$301,2,FALSE)-VLOOKUP($A86,DATA!$A$3:$F$301,2,FALSE))^2+(VLOOKUP(BV$1,DATA!$A$3:$F$301,3,FALSE)-VLOOKUP($A86,DATA!$A$3:$F$301,3,FALSE))^2),"")</f>
        <v/>
      </c>
      <c r="BW86" s="14" t="str">
        <f>_xlfn.IFNA(SQRT((VLOOKUP(BW$1,DATA!$A$3:$F$301,2,FALSE)-VLOOKUP($A86,DATA!$A$3:$F$301,2,FALSE))^2+(VLOOKUP(BW$1,DATA!$A$3:$F$301,3,FALSE)-VLOOKUP($A86,DATA!$A$3:$F$301,3,FALSE))^2),"")</f>
        <v/>
      </c>
      <c r="BX86" s="14" t="str">
        <f>_xlfn.IFNA(SQRT((VLOOKUP(BX$1,DATA!$A$3:$F$301,2,FALSE)-VLOOKUP($A86,DATA!$A$3:$F$301,2,FALSE))^2+(VLOOKUP(BX$1,DATA!$A$3:$F$301,3,FALSE)-VLOOKUP($A86,DATA!$A$3:$F$301,3,FALSE))^2),"")</f>
        <v/>
      </c>
      <c r="BY86" s="14" t="str">
        <f>_xlfn.IFNA(SQRT((VLOOKUP(BY$1,DATA!$A$3:$F$301,2,FALSE)-VLOOKUP($A86,DATA!$A$3:$F$301,2,FALSE))^2+(VLOOKUP(BY$1,DATA!$A$3:$F$301,3,FALSE)-VLOOKUP($A86,DATA!$A$3:$F$301,3,FALSE))^2),"")</f>
        <v/>
      </c>
      <c r="BZ86" s="14" t="str">
        <f>_xlfn.IFNA(SQRT((VLOOKUP(BZ$1,DATA!$A$3:$F$301,2,FALSE)-VLOOKUP($A86,DATA!$A$3:$F$301,2,FALSE))^2+(VLOOKUP(BZ$1,DATA!$A$3:$F$301,3,FALSE)-VLOOKUP($A86,DATA!$A$3:$F$301,3,FALSE))^2),"")</f>
        <v/>
      </c>
      <c r="CA86" s="14" t="str">
        <f>_xlfn.IFNA(SQRT((VLOOKUP(CA$1,DATA!$A$3:$F$301,2,FALSE)-VLOOKUP($A86,DATA!$A$3:$F$301,2,FALSE))^2+(VLOOKUP(CA$1,DATA!$A$3:$F$301,3,FALSE)-VLOOKUP($A86,DATA!$A$3:$F$301,3,FALSE))^2),"")</f>
        <v/>
      </c>
      <c r="CB86" s="14" t="str">
        <f>_xlfn.IFNA(SQRT((VLOOKUP(CB$1,DATA!$A$3:$F$301,2,FALSE)-VLOOKUP($A86,DATA!$A$3:$F$301,2,FALSE))^2+(VLOOKUP(CB$1,DATA!$A$3:$F$301,3,FALSE)-VLOOKUP($A86,DATA!$A$3:$F$301,3,FALSE))^2),"")</f>
        <v/>
      </c>
      <c r="CC86" s="14" t="str">
        <f>_xlfn.IFNA(SQRT((VLOOKUP(CC$1,DATA!$A$3:$F$301,2,FALSE)-VLOOKUP($A86,DATA!$A$3:$F$301,2,FALSE))^2+(VLOOKUP(CC$1,DATA!$A$3:$F$301,3,FALSE)-VLOOKUP($A86,DATA!$A$3:$F$301,3,FALSE))^2),"")</f>
        <v/>
      </c>
      <c r="CD86" s="14" t="str">
        <f>_xlfn.IFNA(SQRT((VLOOKUP(CD$1,DATA!$A$3:$F$301,2,FALSE)-VLOOKUP($A86,DATA!$A$3:$F$301,2,FALSE))^2+(VLOOKUP(CD$1,DATA!$A$3:$F$301,3,FALSE)-VLOOKUP($A86,DATA!$A$3:$F$301,3,FALSE))^2),"")</f>
        <v/>
      </c>
      <c r="CE86" s="14" t="str">
        <f>_xlfn.IFNA(SQRT((VLOOKUP(CE$1,DATA!$A$3:$F$301,2,FALSE)-VLOOKUP($A86,DATA!$A$3:$F$301,2,FALSE))^2+(VLOOKUP(CE$1,DATA!$A$3:$F$301,3,FALSE)-VLOOKUP($A86,DATA!$A$3:$F$301,3,FALSE))^2),"")</f>
        <v/>
      </c>
      <c r="CF86" s="14" t="str">
        <f>_xlfn.IFNA(SQRT((VLOOKUP(CF$1,DATA!$A$3:$F$301,2,FALSE)-VLOOKUP($A86,DATA!$A$3:$F$301,2,FALSE))^2+(VLOOKUP(CF$1,DATA!$A$3:$F$301,3,FALSE)-VLOOKUP($A86,DATA!$A$3:$F$301,3,FALSE))^2),"")</f>
        <v/>
      </c>
      <c r="CG86" s="14" t="str">
        <f>_xlfn.IFNA(SQRT((VLOOKUP(CG$1,DATA!$A$3:$F$301,2,FALSE)-VLOOKUP($A86,DATA!$A$3:$F$301,2,FALSE))^2+(VLOOKUP(CG$1,DATA!$A$3:$F$301,3,FALSE)-VLOOKUP($A86,DATA!$A$3:$F$301,3,FALSE))^2),"")</f>
        <v/>
      </c>
      <c r="CH86" s="14" t="str">
        <f>_xlfn.IFNA(SQRT((VLOOKUP(CH$1,DATA!$A$3:$F$301,2,FALSE)-VLOOKUP($A86,DATA!$A$3:$F$301,2,FALSE))^2+(VLOOKUP(CH$1,DATA!$A$3:$F$301,3,FALSE)-VLOOKUP($A86,DATA!$A$3:$F$301,3,FALSE))^2),"")</f>
        <v/>
      </c>
      <c r="CI86" s="14" t="str">
        <f>_xlfn.IFNA(SQRT((VLOOKUP(CI$1,DATA!$A$3:$F$301,2,FALSE)-VLOOKUP($A86,DATA!$A$3:$F$301,2,FALSE))^2+(VLOOKUP(CI$1,DATA!$A$3:$F$301,3,FALSE)-VLOOKUP($A86,DATA!$A$3:$F$301,3,FALSE))^2),"")</f>
        <v/>
      </c>
      <c r="CJ86" s="14" t="str">
        <f>_xlfn.IFNA(SQRT((VLOOKUP(CJ$1,DATA!$A$3:$F$301,2,FALSE)-VLOOKUP($A86,DATA!$A$3:$F$301,2,FALSE))^2+(VLOOKUP(CJ$1,DATA!$A$3:$F$301,3,FALSE)-VLOOKUP($A86,DATA!$A$3:$F$301,3,FALSE))^2),"")</f>
        <v/>
      </c>
      <c r="CK86" s="14" t="str">
        <f>_xlfn.IFNA(SQRT((VLOOKUP(CK$1,DATA!$A$3:$F$301,2,FALSE)-VLOOKUP($A86,DATA!$A$3:$F$301,2,FALSE))^2+(VLOOKUP(CK$1,DATA!$A$3:$F$301,3,FALSE)-VLOOKUP($A86,DATA!$A$3:$F$301,3,FALSE))^2),"")</f>
        <v/>
      </c>
      <c r="CL86" s="14" t="str">
        <f>_xlfn.IFNA(SQRT((VLOOKUP(CL$1,DATA!$A$3:$F$301,2,FALSE)-VLOOKUP($A86,DATA!$A$3:$F$301,2,FALSE))^2+(VLOOKUP(CL$1,DATA!$A$3:$F$301,3,FALSE)-VLOOKUP($A86,DATA!$A$3:$F$301,3,FALSE))^2),"")</f>
        <v/>
      </c>
      <c r="CM86" s="14" t="str">
        <f>_xlfn.IFNA(SQRT((VLOOKUP(CM$1,DATA!$A$3:$F$301,2,FALSE)-VLOOKUP($A86,DATA!$A$3:$F$301,2,FALSE))^2+(VLOOKUP(CM$1,DATA!$A$3:$F$301,3,FALSE)-VLOOKUP($A86,DATA!$A$3:$F$301,3,FALSE))^2),"")</f>
        <v/>
      </c>
      <c r="CN86" s="14" t="str">
        <f>_xlfn.IFNA(SQRT((VLOOKUP(CN$1,DATA!$A$3:$F$301,2,FALSE)-VLOOKUP($A86,DATA!$A$3:$F$301,2,FALSE))^2+(VLOOKUP(CN$1,DATA!$A$3:$F$301,3,FALSE)-VLOOKUP($A86,DATA!$A$3:$F$301,3,FALSE))^2),"")</f>
        <v/>
      </c>
      <c r="CO86" s="14" t="str">
        <f>_xlfn.IFNA(SQRT((VLOOKUP(CO$1,DATA!$A$3:$F$301,2,FALSE)-VLOOKUP($A86,DATA!$A$3:$F$301,2,FALSE))^2+(VLOOKUP(CO$1,DATA!$A$3:$F$301,3,FALSE)-VLOOKUP($A86,DATA!$A$3:$F$301,3,FALSE))^2),"")</f>
        <v/>
      </c>
      <c r="CP86" s="14" t="str">
        <f>_xlfn.IFNA(SQRT((VLOOKUP(CP$1,DATA!$A$3:$F$301,2,FALSE)-VLOOKUP($A86,DATA!$A$3:$F$301,2,FALSE))^2+(VLOOKUP(CP$1,DATA!$A$3:$F$301,3,FALSE)-VLOOKUP($A86,DATA!$A$3:$F$301,3,FALSE))^2),"")</f>
        <v/>
      </c>
      <c r="CQ86" s="14" t="str">
        <f>_xlfn.IFNA(SQRT((VLOOKUP(CQ$1,DATA!$A$3:$F$301,2,FALSE)-VLOOKUP($A86,DATA!$A$3:$F$301,2,FALSE))^2+(VLOOKUP(CQ$1,DATA!$A$3:$F$301,3,FALSE)-VLOOKUP($A86,DATA!$A$3:$F$301,3,FALSE))^2),"")</f>
        <v/>
      </c>
      <c r="CR86" s="14" t="str">
        <f>_xlfn.IFNA(SQRT((VLOOKUP(CR$1,DATA!$A$3:$F$301,2,FALSE)-VLOOKUP($A86,DATA!$A$3:$F$301,2,FALSE))^2+(VLOOKUP(CR$1,DATA!$A$3:$F$301,3,FALSE)-VLOOKUP($A86,DATA!$A$3:$F$301,3,FALSE))^2),"")</f>
        <v/>
      </c>
      <c r="CS86" s="14" t="str">
        <f>_xlfn.IFNA(SQRT((VLOOKUP(CS$1,DATA!$A$3:$F$301,2,FALSE)-VLOOKUP($A86,DATA!$A$3:$F$301,2,FALSE))^2+(VLOOKUP(CS$1,DATA!$A$3:$F$301,3,FALSE)-VLOOKUP($A86,DATA!$A$3:$F$301,3,FALSE))^2),"")</f>
        <v/>
      </c>
      <c r="CT86" s="14" t="str">
        <f>_xlfn.IFNA(SQRT((VLOOKUP(CT$1,DATA!$A$3:$F$301,2,FALSE)-VLOOKUP($A86,DATA!$A$3:$F$301,2,FALSE))^2+(VLOOKUP(CT$1,DATA!$A$3:$F$301,3,FALSE)-VLOOKUP($A86,DATA!$A$3:$F$301,3,FALSE))^2),"")</f>
        <v/>
      </c>
      <c r="CU86" s="14" t="str">
        <f>_xlfn.IFNA(SQRT((VLOOKUP(CU$1,DATA!$A$3:$F$301,2,FALSE)-VLOOKUP($A86,DATA!$A$3:$F$301,2,FALSE))^2+(VLOOKUP(CU$1,DATA!$A$3:$F$301,3,FALSE)-VLOOKUP($A86,DATA!$A$3:$F$301,3,FALSE))^2),"")</f>
        <v/>
      </c>
      <c r="CV86" s="14" t="str">
        <f>_xlfn.IFNA(SQRT((VLOOKUP(CV$1,DATA!$A$3:$F$301,2,FALSE)-VLOOKUP($A86,DATA!$A$3:$F$301,2,FALSE))^2+(VLOOKUP(CV$1,DATA!$A$3:$F$301,3,FALSE)-VLOOKUP($A86,DATA!$A$3:$F$301,3,FALSE))^2),"")</f>
        <v/>
      </c>
      <c r="CW86" s="14" t="str">
        <f>_xlfn.IFNA(SQRT((VLOOKUP(CW$1,DATA!$A$3:$F$301,2,FALSE)-VLOOKUP($A86,DATA!$A$3:$F$301,2,FALSE))^2+(VLOOKUP(CW$1,DATA!$A$3:$F$301,3,FALSE)-VLOOKUP($A86,DATA!$A$3:$F$301,3,FALSE))^2),"")</f>
        <v/>
      </c>
      <c r="CX86" s="14" t="str">
        <f>_xlfn.IFNA(SQRT((VLOOKUP(CX$1,DATA!$A$3:$F$301,2,FALSE)-VLOOKUP($A86,DATA!$A$3:$F$301,2,FALSE))^2+(VLOOKUP(CX$1,DATA!$A$3:$F$301,3,FALSE)-VLOOKUP($A86,DATA!$A$3:$F$301,3,FALSE))^2),"")</f>
        <v/>
      </c>
    </row>
    <row r="87" spans="1:102">
      <c r="A87" s="13">
        <v>86</v>
      </c>
      <c r="B87" s="14" t="str">
        <f>_xlfn.IFNA(SQRT((VLOOKUP(B$1,DATA!$A$3:$F$301,2,FALSE)-VLOOKUP($A87,DATA!$A$3:$F$301,2,FALSE))^2+(VLOOKUP(B$1,DATA!$A$3:$F$301,3,FALSE)-VLOOKUP($A87,DATA!$A$3:$F$301,3,FALSE))^2),"")</f>
        <v/>
      </c>
      <c r="C87" s="14" t="str">
        <f>_xlfn.IFNA(SQRT((VLOOKUP(C$1,DATA!$A$3:$F$301,2,FALSE)-VLOOKUP($A87,DATA!$A$3:$F$301,2,FALSE))^2+(VLOOKUP(C$1,DATA!$A$3:$F$301,3,FALSE)-VLOOKUP($A87,DATA!$A$3:$F$301,3,FALSE))^2),"")</f>
        <v/>
      </c>
      <c r="D87" s="14" t="str">
        <f>_xlfn.IFNA(SQRT((VLOOKUP(D$1,DATA!$A$3:$F$301,2,FALSE)-VLOOKUP($A87,DATA!$A$3:$F$301,2,FALSE))^2+(VLOOKUP(D$1,DATA!$A$3:$F$301,3,FALSE)-VLOOKUP($A87,DATA!$A$3:$F$301,3,FALSE))^2),"")</f>
        <v/>
      </c>
      <c r="E87" s="14" t="str">
        <f>_xlfn.IFNA(SQRT((VLOOKUP(E$1,DATA!$A$3:$F$301,2,FALSE)-VLOOKUP($A87,DATA!$A$3:$F$301,2,FALSE))^2+(VLOOKUP(E$1,DATA!$A$3:$F$301,3,FALSE)-VLOOKUP($A87,DATA!$A$3:$F$301,3,FALSE))^2),"")</f>
        <v/>
      </c>
      <c r="F87" s="14" t="str">
        <f>_xlfn.IFNA(SQRT((VLOOKUP(F$1,DATA!$A$3:$F$301,2,FALSE)-VLOOKUP($A87,DATA!$A$3:$F$301,2,FALSE))^2+(VLOOKUP(F$1,DATA!$A$3:$F$301,3,FALSE)-VLOOKUP($A87,DATA!$A$3:$F$301,3,FALSE))^2),"")</f>
        <v/>
      </c>
      <c r="G87" s="14" t="str">
        <f>_xlfn.IFNA(SQRT((VLOOKUP(G$1,DATA!$A$3:$F$301,2,FALSE)-VLOOKUP($A87,DATA!$A$3:$F$301,2,FALSE))^2+(VLOOKUP(G$1,DATA!$A$3:$F$301,3,FALSE)-VLOOKUP($A87,DATA!$A$3:$F$301,3,FALSE))^2),"")</f>
        <v/>
      </c>
      <c r="H87" s="14" t="str">
        <f>_xlfn.IFNA(SQRT((VLOOKUP(H$1,DATA!$A$3:$F$301,2,FALSE)-VLOOKUP($A87,DATA!$A$3:$F$301,2,FALSE))^2+(VLOOKUP(H$1,DATA!$A$3:$F$301,3,FALSE)-VLOOKUP($A87,DATA!$A$3:$F$301,3,FALSE))^2),"")</f>
        <v/>
      </c>
      <c r="I87" s="14" t="str">
        <f>_xlfn.IFNA(SQRT((VLOOKUP(I$1,DATA!$A$3:$F$301,2,FALSE)-VLOOKUP($A87,DATA!$A$3:$F$301,2,FALSE))^2+(VLOOKUP(I$1,DATA!$A$3:$F$301,3,FALSE)-VLOOKUP($A87,DATA!$A$3:$F$301,3,FALSE))^2),"")</f>
        <v/>
      </c>
      <c r="J87" s="14" t="str">
        <f>_xlfn.IFNA(SQRT((VLOOKUP(J$1,DATA!$A$3:$F$301,2,FALSE)-VLOOKUP($A87,DATA!$A$3:$F$301,2,FALSE))^2+(VLOOKUP(J$1,DATA!$A$3:$F$301,3,FALSE)-VLOOKUP($A87,DATA!$A$3:$F$301,3,FALSE))^2),"")</f>
        <v/>
      </c>
      <c r="K87" s="14" t="str">
        <f>_xlfn.IFNA(SQRT((VLOOKUP(K$1,DATA!$A$3:$F$301,2,FALSE)-VLOOKUP($A87,DATA!$A$3:$F$301,2,FALSE))^2+(VLOOKUP(K$1,DATA!$A$3:$F$301,3,FALSE)-VLOOKUP($A87,DATA!$A$3:$F$301,3,FALSE))^2),"")</f>
        <v/>
      </c>
      <c r="L87" s="14" t="str">
        <f>_xlfn.IFNA(SQRT((VLOOKUP(L$1,DATA!$A$3:$F$301,2,FALSE)-VLOOKUP($A87,DATA!$A$3:$F$301,2,FALSE))^2+(VLOOKUP(L$1,DATA!$A$3:$F$301,3,FALSE)-VLOOKUP($A87,DATA!$A$3:$F$301,3,FALSE))^2),"")</f>
        <v/>
      </c>
      <c r="M87" s="14" t="str">
        <f>_xlfn.IFNA(SQRT((VLOOKUP(M$1,DATA!$A$3:$F$301,2,FALSE)-VLOOKUP($A87,DATA!$A$3:$F$301,2,FALSE))^2+(VLOOKUP(M$1,DATA!$A$3:$F$301,3,FALSE)-VLOOKUP($A87,DATA!$A$3:$F$301,3,FALSE))^2),"")</f>
        <v/>
      </c>
      <c r="N87" s="14" t="str">
        <f>_xlfn.IFNA(SQRT((VLOOKUP(N$1,DATA!$A$3:$F$301,2,FALSE)-VLOOKUP($A87,DATA!$A$3:$F$301,2,FALSE))^2+(VLOOKUP(N$1,DATA!$A$3:$F$301,3,FALSE)-VLOOKUP($A87,DATA!$A$3:$F$301,3,FALSE))^2),"")</f>
        <v/>
      </c>
      <c r="O87" s="14" t="str">
        <f>_xlfn.IFNA(SQRT((VLOOKUP(O$1,DATA!$A$3:$F$301,2,FALSE)-VLOOKUP($A87,DATA!$A$3:$F$301,2,FALSE))^2+(VLOOKUP(O$1,DATA!$A$3:$F$301,3,FALSE)-VLOOKUP($A87,DATA!$A$3:$F$301,3,FALSE))^2),"")</f>
        <v/>
      </c>
      <c r="P87" s="14" t="str">
        <f>_xlfn.IFNA(SQRT((VLOOKUP(P$1,DATA!$A$3:$F$301,2,FALSE)-VLOOKUP($A87,DATA!$A$3:$F$301,2,FALSE))^2+(VLOOKUP(P$1,DATA!$A$3:$F$301,3,FALSE)-VLOOKUP($A87,DATA!$A$3:$F$301,3,FALSE))^2),"")</f>
        <v/>
      </c>
      <c r="Q87" s="14" t="str">
        <f>_xlfn.IFNA(SQRT((VLOOKUP(Q$1,DATA!$A$3:$F$301,2,FALSE)-VLOOKUP($A87,DATA!$A$3:$F$301,2,FALSE))^2+(VLOOKUP(Q$1,DATA!$A$3:$F$301,3,FALSE)-VLOOKUP($A87,DATA!$A$3:$F$301,3,FALSE))^2),"")</f>
        <v/>
      </c>
      <c r="R87" s="14" t="str">
        <f>_xlfn.IFNA(SQRT((VLOOKUP(R$1,DATA!$A$3:$F$301,2,FALSE)-VLOOKUP($A87,DATA!$A$3:$F$301,2,FALSE))^2+(VLOOKUP(R$1,DATA!$A$3:$F$301,3,FALSE)-VLOOKUP($A87,DATA!$A$3:$F$301,3,FALSE))^2),"")</f>
        <v/>
      </c>
      <c r="S87" s="14" t="str">
        <f>_xlfn.IFNA(SQRT((VLOOKUP(S$1,DATA!$A$3:$F$301,2,FALSE)-VLOOKUP($A87,DATA!$A$3:$F$301,2,FALSE))^2+(VLOOKUP(S$1,DATA!$A$3:$F$301,3,FALSE)-VLOOKUP($A87,DATA!$A$3:$F$301,3,FALSE))^2),"")</f>
        <v/>
      </c>
      <c r="T87" s="14" t="str">
        <f>_xlfn.IFNA(SQRT((VLOOKUP(T$1,DATA!$A$3:$F$301,2,FALSE)-VLOOKUP($A87,DATA!$A$3:$F$301,2,FALSE))^2+(VLOOKUP(T$1,DATA!$A$3:$F$301,3,FALSE)-VLOOKUP($A87,DATA!$A$3:$F$301,3,FALSE))^2),"")</f>
        <v/>
      </c>
      <c r="U87" s="14" t="str">
        <f>_xlfn.IFNA(SQRT((VLOOKUP(U$1,DATA!$A$3:$F$301,2,FALSE)-VLOOKUP($A87,DATA!$A$3:$F$301,2,FALSE))^2+(VLOOKUP(U$1,DATA!$A$3:$F$301,3,FALSE)-VLOOKUP($A87,DATA!$A$3:$F$301,3,FALSE))^2),"")</f>
        <v/>
      </c>
      <c r="V87" s="14" t="str">
        <f>_xlfn.IFNA(SQRT((VLOOKUP(V$1,DATA!$A$3:$F$301,2,FALSE)-VLOOKUP($A87,DATA!$A$3:$F$301,2,FALSE))^2+(VLOOKUP(V$1,DATA!$A$3:$F$301,3,FALSE)-VLOOKUP($A87,DATA!$A$3:$F$301,3,FALSE))^2),"")</f>
        <v/>
      </c>
      <c r="W87" s="14" t="str">
        <f>_xlfn.IFNA(SQRT((VLOOKUP(W$1,DATA!$A$3:$F$301,2,FALSE)-VLOOKUP($A87,DATA!$A$3:$F$301,2,FALSE))^2+(VLOOKUP(W$1,DATA!$A$3:$F$301,3,FALSE)-VLOOKUP($A87,DATA!$A$3:$F$301,3,FALSE))^2),"")</f>
        <v/>
      </c>
      <c r="X87" s="14" t="str">
        <f>_xlfn.IFNA(SQRT((VLOOKUP(X$1,DATA!$A$3:$F$301,2,FALSE)-VLOOKUP($A87,DATA!$A$3:$F$301,2,FALSE))^2+(VLOOKUP(X$1,DATA!$A$3:$F$301,3,FALSE)-VLOOKUP($A87,DATA!$A$3:$F$301,3,FALSE))^2),"")</f>
        <v/>
      </c>
      <c r="Y87" s="14" t="str">
        <f>_xlfn.IFNA(SQRT((VLOOKUP(Y$1,DATA!$A$3:$F$301,2,FALSE)-VLOOKUP($A87,DATA!$A$3:$F$301,2,FALSE))^2+(VLOOKUP(Y$1,DATA!$A$3:$F$301,3,FALSE)-VLOOKUP($A87,DATA!$A$3:$F$301,3,FALSE))^2),"")</f>
        <v/>
      </c>
      <c r="Z87" s="14" t="str">
        <f>_xlfn.IFNA(SQRT((VLOOKUP(Z$1,DATA!$A$3:$F$301,2,FALSE)-VLOOKUP($A87,DATA!$A$3:$F$301,2,FALSE))^2+(VLOOKUP(Z$1,DATA!$A$3:$F$301,3,FALSE)-VLOOKUP($A87,DATA!$A$3:$F$301,3,FALSE))^2),"")</f>
        <v/>
      </c>
      <c r="AA87" s="14" t="str">
        <f>_xlfn.IFNA(SQRT((VLOOKUP(AA$1,DATA!$A$3:$F$301,2,FALSE)-VLOOKUP($A87,DATA!$A$3:$F$301,2,FALSE))^2+(VLOOKUP(AA$1,DATA!$A$3:$F$301,3,FALSE)-VLOOKUP($A87,DATA!$A$3:$F$301,3,FALSE))^2),"")</f>
        <v/>
      </c>
      <c r="AB87" s="14" t="str">
        <f>_xlfn.IFNA(SQRT((VLOOKUP(AB$1,DATA!$A$3:$F$301,2,FALSE)-VLOOKUP($A87,DATA!$A$3:$F$301,2,FALSE))^2+(VLOOKUP(AB$1,DATA!$A$3:$F$301,3,FALSE)-VLOOKUP($A87,DATA!$A$3:$F$301,3,FALSE))^2),"")</f>
        <v/>
      </c>
      <c r="AC87" s="14" t="str">
        <f>_xlfn.IFNA(SQRT((VLOOKUP(AC$1,DATA!$A$3:$F$301,2,FALSE)-VLOOKUP($A87,DATA!$A$3:$F$301,2,FALSE))^2+(VLOOKUP(AC$1,DATA!$A$3:$F$301,3,FALSE)-VLOOKUP($A87,DATA!$A$3:$F$301,3,FALSE))^2),"")</f>
        <v/>
      </c>
      <c r="AD87" s="14" t="str">
        <f>_xlfn.IFNA(SQRT((VLOOKUP(AD$1,DATA!$A$3:$F$301,2,FALSE)-VLOOKUP($A87,DATA!$A$3:$F$301,2,FALSE))^2+(VLOOKUP(AD$1,DATA!$A$3:$F$301,3,FALSE)-VLOOKUP($A87,DATA!$A$3:$F$301,3,FALSE))^2),"")</f>
        <v/>
      </c>
      <c r="AE87" s="14" t="str">
        <f>_xlfn.IFNA(SQRT((VLOOKUP(AE$1,DATA!$A$3:$F$301,2,FALSE)-VLOOKUP($A87,DATA!$A$3:$F$301,2,FALSE))^2+(VLOOKUP(AE$1,DATA!$A$3:$F$301,3,FALSE)-VLOOKUP($A87,DATA!$A$3:$F$301,3,FALSE))^2),"")</f>
        <v/>
      </c>
      <c r="AF87" s="14" t="str">
        <f>_xlfn.IFNA(SQRT((VLOOKUP(AF$1,DATA!$A$3:$F$301,2,FALSE)-VLOOKUP($A87,DATA!$A$3:$F$301,2,FALSE))^2+(VLOOKUP(AF$1,DATA!$A$3:$F$301,3,FALSE)-VLOOKUP($A87,DATA!$A$3:$F$301,3,FALSE))^2),"")</f>
        <v/>
      </c>
      <c r="AG87" s="14" t="str">
        <f>_xlfn.IFNA(SQRT((VLOOKUP(AG$1,DATA!$A$3:$F$301,2,FALSE)-VLOOKUP($A87,DATA!$A$3:$F$301,2,FALSE))^2+(VLOOKUP(AG$1,DATA!$A$3:$F$301,3,FALSE)-VLOOKUP($A87,DATA!$A$3:$F$301,3,FALSE))^2),"")</f>
        <v/>
      </c>
      <c r="AH87" s="14" t="str">
        <f>_xlfn.IFNA(SQRT((VLOOKUP(AH$1,DATA!$A$3:$F$301,2,FALSE)-VLOOKUP($A87,DATA!$A$3:$F$301,2,FALSE))^2+(VLOOKUP(AH$1,DATA!$A$3:$F$301,3,FALSE)-VLOOKUP($A87,DATA!$A$3:$F$301,3,FALSE))^2),"")</f>
        <v/>
      </c>
      <c r="AI87" s="14" t="str">
        <f>_xlfn.IFNA(SQRT((VLOOKUP(AI$1,DATA!$A$3:$F$301,2,FALSE)-VLOOKUP($A87,DATA!$A$3:$F$301,2,FALSE))^2+(VLOOKUP(AI$1,DATA!$A$3:$F$301,3,FALSE)-VLOOKUP($A87,DATA!$A$3:$F$301,3,FALSE))^2),"")</f>
        <v/>
      </c>
      <c r="AJ87" s="14" t="str">
        <f>_xlfn.IFNA(SQRT((VLOOKUP(AJ$1,DATA!$A$3:$F$301,2,FALSE)-VLOOKUP($A87,DATA!$A$3:$F$301,2,FALSE))^2+(VLOOKUP(AJ$1,DATA!$A$3:$F$301,3,FALSE)-VLOOKUP($A87,DATA!$A$3:$F$301,3,FALSE))^2),"")</f>
        <v/>
      </c>
      <c r="AK87" s="14" t="str">
        <f>_xlfn.IFNA(SQRT((VLOOKUP(AK$1,DATA!$A$3:$F$301,2,FALSE)-VLOOKUP($A87,DATA!$A$3:$F$301,2,FALSE))^2+(VLOOKUP(AK$1,DATA!$A$3:$F$301,3,FALSE)-VLOOKUP($A87,DATA!$A$3:$F$301,3,FALSE))^2),"")</f>
        <v/>
      </c>
      <c r="AL87" s="14" t="str">
        <f>_xlfn.IFNA(SQRT((VLOOKUP(AL$1,DATA!$A$3:$F$301,2,FALSE)-VLOOKUP($A87,DATA!$A$3:$F$301,2,FALSE))^2+(VLOOKUP(AL$1,DATA!$A$3:$F$301,3,FALSE)-VLOOKUP($A87,DATA!$A$3:$F$301,3,FALSE))^2),"")</f>
        <v/>
      </c>
      <c r="AM87" s="14" t="str">
        <f>_xlfn.IFNA(SQRT((VLOOKUP(AM$1,DATA!$A$3:$F$301,2,FALSE)-VLOOKUP($A87,DATA!$A$3:$F$301,2,FALSE))^2+(VLOOKUP(AM$1,DATA!$A$3:$F$301,3,FALSE)-VLOOKUP($A87,DATA!$A$3:$F$301,3,FALSE))^2),"")</f>
        <v/>
      </c>
      <c r="AN87" s="14" t="str">
        <f>_xlfn.IFNA(SQRT((VLOOKUP(AN$1,DATA!$A$3:$F$301,2,FALSE)-VLOOKUP($A87,DATA!$A$3:$F$301,2,FALSE))^2+(VLOOKUP(AN$1,DATA!$A$3:$F$301,3,FALSE)-VLOOKUP($A87,DATA!$A$3:$F$301,3,FALSE))^2),"")</f>
        <v/>
      </c>
      <c r="AO87" s="14" t="str">
        <f>_xlfn.IFNA(SQRT((VLOOKUP(AO$1,DATA!$A$3:$F$301,2,FALSE)-VLOOKUP($A87,DATA!$A$3:$F$301,2,FALSE))^2+(VLOOKUP(AO$1,DATA!$A$3:$F$301,3,FALSE)-VLOOKUP($A87,DATA!$A$3:$F$301,3,FALSE))^2),"")</f>
        <v/>
      </c>
      <c r="AP87" s="14" t="str">
        <f>_xlfn.IFNA(SQRT((VLOOKUP(AP$1,DATA!$A$3:$F$301,2,FALSE)-VLOOKUP($A87,DATA!$A$3:$F$301,2,FALSE))^2+(VLOOKUP(AP$1,DATA!$A$3:$F$301,3,FALSE)-VLOOKUP($A87,DATA!$A$3:$F$301,3,FALSE))^2),"")</f>
        <v/>
      </c>
      <c r="AQ87" s="14" t="str">
        <f>_xlfn.IFNA(SQRT((VLOOKUP(AQ$1,DATA!$A$3:$F$301,2,FALSE)-VLOOKUP($A87,DATA!$A$3:$F$301,2,FALSE))^2+(VLOOKUP(AQ$1,DATA!$A$3:$F$301,3,FALSE)-VLOOKUP($A87,DATA!$A$3:$F$301,3,FALSE))^2),"")</f>
        <v/>
      </c>
      <c r="AR87" s="14" t="str">
        <f>_xlfn.IFNA(SQRT((VLOOKUP(AR$1,DATA!$A$3:$F$301,2,FALSE)-VLOOKUP($A87,DATA!$A$3:$F$301,2,FALSE))^2+(VLOOKUP(AR$1,DATA!$A$3:$F$301,3,FALSE)-VLOOKUP($A87,DATA!$A$3:$F$301,3,FALSE))^2),"")</f>
        <v/>
      </c>
      <c r="AS87" s="14" t="str">
        <f>_xlfn.IFNA(SQRT((VLOOKUP(AS$1,DATA!$A$3:$F$301,2,FALSE)-VLOOKUP($A87,DATA!$A$3:$F$301,2,FALSE))^2+(VLOOKUP(AS$1,DATA!$A$3:$F$301,3,FALSE)-VLOOKUP($A87,DATA!$A$3:$F$301,3,FALSE))^2),"")</f>
        <v/>
      </c>
      <c r="AT87" s="14" t="str">
        <f>_xlfn.IFNA(SQRT((VLOOKUP(AT$1,DATA!$A$3:$F$301,2,FALSE)-VLOOKUP($A87,DATA!$A$3:$F$301,2,FALSE))^2+(VLOOKUP(AT$1,DATA!$A$3:$F$301,3,FALSE)-VLOOKUP($A87,DATA!$A$3:$F$301,3,FALSE))^2),"")</f>
        <v/>
      </c>
      <c r="AU87" s="14" t="str">
        <f>_xlfn.IFNA(SQRT((VLOOKUP(AU$1,DATA!$A$3:$F$301,2,FALSE)-VLOOKUP($A87,DATA!$A$3:$F$301,2,FALSE))^2+(VLOOKUP(AU$1,DATA!$A$3:$F$301,3,FALSE)-VLOOKUP($A87,DATA!$A$3:$F$301,3,FALSE))^2),"")</f>
        <v/>
      </c>
      <c r="AV87" s="14" t="str">
        <f>_xlfn.IFNA(SQRT((VLOOKUP(AV$1,DATA!$A$3:$F$301,2,FALSE)-VLOOKUP($A87,DATA!$A$3:$F$301,2,FALSE))^2+(VLOOKUP(AV$1,DATA!$A$3:$F$301,3,FALSE)-VLOOKUP($A87,DATA!$A$3:$F$301,3,FALSE))^2),"")</f>
        <v/>
      </c>
      <c r="AW87" s="14" t="str">
        <f>_xlfn.IFNA(SQRT((VLOOKUP(AW$1,DATA!$A$3:$F$301,2,FALSE)-VLOOKUP($A87,DATA!$A$3:$F$301,2,FALSE))^2+(VLOOKUP(AW$1,DATA!$A$3:$F$301,3,FALSE)-VLOOKUP($A87,DATA!$A$3:$F$301,3,FALSE))^2),"")</f>
        <v/>
      </c>
      <c r="AX87" s="14" t="str">
        <f>_xlfn.IFNA(SQRT((VLOOKUP(AX$1,DATA!$A$3:$F$301,2,FALSE)-VLOOKUP($A87,DATA!$A$3:$F$301,2,FALSE))^2+(VLOOKUP(AX$1,DATA!$A$3:$F$301,3,FALSE)-VLOOKUP($A87,DATA!$A$3:$F$301,3,FALSE))^2),"")</f>
        <v/>
      </c>
      <c r="AY87" s="14" t="str">
        <f>_xlfn.IFNA(SQRT((VLOOKUP(AY$1,DATA!$A$3:$F$301,2,FALSE)-VLOOKUP($A87,DATA!$A$3:$F$301,2,FALSE))^2+(VLOOKUP(AY$1,DATA!$A$3:$F$301,3,FALSE)-VLOOKUP($A87,DATA!$A$3:$F$301,3,FALSE))^2),"")</f>
        <v/>
      </c>
      <c r="AZ87" s="14" t="str">
        <f>_xlfn.IFNA(SQRT((VLOOKUP(AZ$1,DATA!$A$3:$F$301,2,FALSE)-VLOOKUP($A87,DATA!$A$3:$F$301,2,FALSE))^2+(VLOOKUP(AZ$1,DATA!$A$3:$F$301,3,FALSE)-VLOOKUP($A87,DATA!$A$3:$F$301,3,FALSE))^2),"")</f>
        <v/>
      </c>
      <c r="BA87" s="14" t="str">
        <f>_xlfn.IFNA(SQRT((VLOOKUP(BA$1,DATA!$A$3:$F$301,2,FALSE)-VLOOKUP($A87,DATA!$A$3:$F$301,2,FALSE))^2+(VLOOKUP(BA$1,DATA!$A$3:$F$301,3,FALSE)-VLOOKUP($A87,DATA!$A$3:$F$301,3,FALSE))^2),"")</f>
        <v/>
      </c>
      <c r="BB87" s="14" t="str">
        <f>_xlfn.IFNA(SQRT((VLOOKUP(BB$1,DATA!$A$3:$F$301,2,FALSE)-VLOOKUP($A87,DATA!$A$3:$F$301,2,FALSE))^2+(VLOOKUP(BB$1,DATA!$A$3:$F$301,3,FALSE)-VLOOKUP($A87,DATA!$A$3:$F$301,3,FALSE))^2),"")</f>
        <v/>
      </c>
      <c r="BC87" s="14" t="str">
        <f>_xlfn.IFNA(SQRT((VLOOKUP(BC$1,DATA!$A$3:$F$301,2,FALSE)-VLOOKUP($A87,DATA!$A$3:$F$301,2,FALSE))^2+(VLOOKUP(BC$1,DATA!$A$3:$F$301,3,FALSE)-VLOOKUP($A87,DATA!$A$3:$F$301,3,FALSE))^2),"")</f>
        <v/>
      </c>
      <c r="BD87" s="14" t="str">
        <f>_xlfn.IFNA(SQRT((VLOOKUP(BD$1,DATA!$A$3:$F$301,2,FALSE)-VLOOKUP($A87,DATA!$A$3:$F$301,2,FALSE))^2+(VLOOKUP(BD$1,DATA!$A$3:$F$301,3,FALSE)-VLOOKUP($A87,DATA!$A$3:$F$301,3,FALSE))^2),"")</f>
        <v/>
      </c>
      <c r="BE87" s="14" t="str">
        <f>_xlfn.IFNA(SQRT((VLOOKUP(BE$1,DATA!$A$3:$F$301,2,FALSE)-VLOOKUP($A87,DATA!$A$3:$F$301,2,FALSE))^2+(VLOOKUP(BE$1,DATA!$A$3:$F$301,3,FALSE)-VLOOKUP($A87,DATA!$A$3:$F$301,3,FALSE))^2),"")</f>
        <v/>
      </c>
      <c r="BF87" s="14" t="str">
        <f>_xlfn.IFNA(SQRT((VLOOKUP(BF$1,DATA!$A$3:$F$301,2,FALSE)-VLOOKUP($A87,DATA!$A$3:$F$301,2,FALSE))^2+(VLOOKUP(BF$1,DATA!$A$3:$F$301,3,FALSE)-VLOOKUP($A87,DATA!$A$3:$F$301,3,FALSE))^2),"")</f>
        <v/>
      </c>
      <c r="BG87" s="14" t="str">
        <f>_xlfn.IFNA(SQRT((VLOOKUP(BG$1,DATA!$A$3:$F$301,2,FALSE)-VLOOKUP($A87,DATA!$A$3:$F$301,2,FALSE))^2+(VLOOKUP(BG$1,DATA!$A$3:$F$301,3,FALSE)-VLOOKUP($A87,DATA!$A$3:$F$301,3,FALSE))^2),"")</f>
        <v/>
      </c>
      <c r="BH87" s="14" t="str">
        <f>_xlfn.IFNA(SQRT((VLOOKUP(BH$1,DATA!$A$3:$F$301,2,FALSE)-VLOOKUP($A87,DATA!$A$3:$F$301,2,FALSE))^2+(VLOOKUP(BH$1,DATA!$A$3:$F$301,3,FALSE)-VLOOKUP($A87,DATA!$A$3:$F$301,3,FALSE))^2),"")</f>
        <v/>
      </c>
      <c r="BI87" s="14" t="str">
        <f>_xlfn.IFNA(SQRT((VLOOKUP(BI$1,DATA!$A$3:$F$301,2,FALSE)-VLOOKUP($A87,DATA!$A$3:$F$301,2,FALSE))^2+(VLOOKUP(BI$1,DATA!$A$3:$F$301,3,FALSE)-VLOOKUP($A87,DATA!$A$3:$F$301,3,FALSE))^2),"")</f>
        <v/>
      </c>
      <c r="BJ87" s="14" t="str">
        <f>_xlfn.IFNA(SQRT((VLOOKUP(BJ$1,DATA!$A$3:$F$301,2,FALSE)-VLOOKUP($A87,DATA!$A$3:$F$301,2,FALSE))^2+(VLOOKUP(BJ$1,DATA!$A$3:$F$301,3,FALSE)-VLOOKUP($A87,DATA!$A$3:$F$301,3,FALSE))^2),"")</f>
        <v/>
      </c>
      <c r="BK87" s="14" t="str">
        <f>_xlfn.IFNA(SQRT((VLOOKUP(BK$1,DATA!$A$3:$F$301,2,FALSE)-VLOOKUP($A87,DATA!$A$3:$F$301,2,FALSE))^2+(VLOOKUP(BK$1,DATA!$A$3:$F$301,3,FALSE)-VLOOKUP($A87,DATA!$A$3:$F$301,3,FALSE))^2),"")</f>
        <v/>
      </c>
      <c r="BL87" s="14" t="str">
        <f>_xlfn.IFNA(SQRT((VLOOKUP(BL$1,DATA!$A$3:$F$301,2,FALSE)-VLOOKUP($A87,DATA!$A$3:$F$301,2,FALSE))^2+(VLOOKUP(BL$1,DATA!$A$3:$F$301,3,FALSE)-VLOOKUP($A87,DATA!$A$3:$F$301,3,FALSE))^2),"")</f>
        <v/>
      </c>
      <c r="BM87" s="14" t="str">
        <f>_xlfn.IFNA(SQRT((VLOOKUP(BM$1,DATA!$A$3:$F$301,2,FALSE)-VLOOKUP($A87,DATA!$A$3:$F$301,2,FALSE))^2+(VLOOKUP(BM$1,DATA!$A$3:$F$301,3,FALSE)-VLOOKUP($A87,DATA!$A$3:$F$301,3,FALSE))^2),"")</f>
        <v/>
      </c>
      <c r="BN87" s="14" t="str">
        <f>_xlfn.IFNA(SQRT((VLOOKUP(BN$1,DATA!$A$3:$F$301,2,FALSE)-VLOOKUP($A87,DATA!$A$3:$F$301,2,FALSE))^2+(VLOOKUP(BN$1,DATA!$A$3:$F$301,3,FALSE)-VLOOKUP($A87,DATA!$A$3:$F$301,3,FALSE))^2),"")</f>
        <v/>
      </c>
      <c r="BO87" s="14" t="str">
        <f>_xlfn.IFNA(SQRT((VLOOKUP(BO$1,DATA!$A$3:$F$301,2,FALSE)-VLOOKUP($A87,DATA!$A$3:$F$301,2,FALSE))^2+(VLOOKUP(BO$1,DATA!$A$3:$F$301,3,FALSE)-VLOOKUP($A87,DATA!$A$3:$F$301,3,FALSE))^2),"")</f>
        <v/>
      </c>
      <c r="BP87" s="14" t="str">
        <f>_xlfn.IFNA(SQRT((VLOOKUP(BP$1,DATA!$A$3:$F$301,2,FALSE)-VLOOKUP($A87,DATA!$A$3:$F$301,2,FALSE))^2+(VLOOKUP(BP$1,DATA!$A$3:$F$301,3,FALSE)-VLOOKUP($A87,DATA!$A$3:$F$301,3,FALSE))^2),"")</f>
        <v/>
      </c>
      <c r="BQ87" s="14" t="str">
        <f>_xlfn.IFNA(SQRT((VLOOKUP(BQ$1,DATA!$A$3:$F$301,2,FALSE)-VLOOKUP($A87,DATA!$A$3:$F$301,2,FALSE))^2+(VLOOKUP(BQ$1,DATA!$A$3:$F$301,3,FALSE)-VLOOKUP($A87,DATA!$A$3:$F$301,3,FALSE))^2),"")</f>
        <v/>
      </c>
      <c r="BR87" s="14" t="str">
        <f>_xlfn.IFNA(SQRT((VLOOKUP(BR$1,DATA!$A$3:$F$301,2,FALSE)-VLOOKUP($A87,DATA!$A$3:$F$301,2,FALSE))^2+(VLOOKUP(BR$1,DATA!$A$3:$F$301,3,FALSE)-VLOOKUP($A87,DATA!$A$3:$F$301,3,FALSE))^2),"")</f>
        <v/>
      </c>
      <c r="BS87" s="14" t="str">
        <f>_xlfn.IFNA(SQRT((VLOOKUP(BS$1,DATA!$A$3:$F$301,2,FALSE)-VLOOKUP($A87,DATA!$A$3:$F$301,2,FALSE))^2+(VLOOKUP(BS$1,DATA!$A$3:$F$301,3,FALSE)-VLOOKUP($A87,DATA!$A$3:$F$301,3,FALSE))^2),"")</f>
        <v/>
      </c>
      <c r="BT87" s="14" t="str">
        <f>_xlfn.IFNA(SQRT((VLOOKUP(BT$1,DATA!$A$3:$F$301,2,FALSE)-VLOOKUP($A87,DATA!$A$3:$F$301,2,FALSE))^2+(VLOOKUP(BT$1,DATA!$A$3:$F$301,3,FALSE)-VLOOKUP($A87,DATA!$A$3:$F$301,3,FALSE))^2),"")</f>
        <v/>
      </c>
      <c r="BU87" s="14" t="str">
        <f>_xlfn.IFNA(SQRT((VLOOKUP(BU$1,DATA!$A$3:$F$301,2,FALSE)-VLOOKUP($A87,DATA!$A$3:$F$301,2,FALSE))^2+(VLOOKUP(BU$1,DATA!$A$3:$F$301,3,FALSE)-VLOOKUP($A87,DATA!$A$3:$F$301,3,FALSE))^2),"")</f>
        <v/>
      </c>
      <c r="BV87" s="14" t="str">
        <f>_xlfn.IFNA(SQRT((VLOOKUP(BV$1,DATA!$A$3:$F$301,2,FALSE)-VLOOKUP($A87,DATA!$A$3:$F$301,2,FALSE))^2+(VLOOKUP(BV$1,DATA!$A$3:$F$301,3,FALSE)-VLOOKUP($A87,DATA!$A$3:$F$301,3,FALSE))^2),"")</f>
        <v/>
      </c>
      <c r="BW87" s="14" t="str">
        <f>_xlfn.IFNA(SQRT((VLOOKUP(BW$1,DATA!$A$3:$F$301,2,FALSE)-VLOOKUP($A87,DATA!$A$3:$F$301,2,FALSE))^2+(VLOOKUP(BW$1,DATA!$A$3:$F$301,3,FALSE)-VLOOKUP($A87,DATA!$A$3:$F$301,3,FALSE))^2),"")</f>
        <v/>
      </c>
      <c r="BX87" s="14" t="str">
        <f>_xlfn.IFNA(SQRT((VLOOKUP(BX$1,DATA!$A$3:$F$301,2,FALSE)-VLOOKUP($A87,DATA!$A$3:$F$301,2,FALSE))^2+(VLOOKUP(BX$1,DATA!$A$3:$F$301,3,FALSE)-VLOOKUP($A87,DATA!$A$3:$F$301,3,FALSE))^2),"")</f>
        <v/>
      </c>
      <c r="BY87" s="14" t="str">
        <f>_xlfn.IFNA(SQRT((VLOOKUP(BY$1,DATA!$A$3:$F$301,2,FALSE)-VLOOKUP($A87,DATA!$A$3:$F$301,2,FALSE))^2+(VLOOKUP(BY$1,DATA!$A$3:$F$301,3,FALSE)-VLOOKUP($A87,DATA!$A$3:$F$301,3,FALSE))^2),"")</f>
        <v/>
      </c>
      <c r="BZ87" s="14" t="str">
        <f>_xlfn.IFNA(SQRT((VLOOKUP(BZ$1,DATA!$A$3:$F$301,2,FALSE)-VLOOKUP($A87,DATA!$A$3:$F$301,2,FALSE))^2+(VLOOKUP(BZ$1,DATA!$A$3:$F$301,3,FALSE)-VLOOKUP($A87,DATA!$A$3:$F$301,3,FALSE))^2),"")</f>
        <v/>
      </c>
      <c r="CA87" s="14" t="str">
        <f>_xlfn.IFNA(SQRT((VLOOKUP(CA$1,DATA!$A$3:$F$301,2,FALSE)-VLOOKUP($A87,DATA!$A$3:$F$301,2,FALSE))^2+(VLOOKUP(CA$1,DATA!$A$3:$F$301,3,FALSE)-VLOOKUP($A87,DATA!$A$3:$F$301,3,FALSE))^2),"")</f>
        <v/>
      </c>
      <c r="CB87" s="14" t="str">
        <f>_xlfn.IFNA(SQRT((VLOOKUP(CB$1,DATA!$A$3:$F$301,2,FALSE)-VLOOKUP($A87,DATA!$A$3:$F$301,2,FALSE))^2+(VLOOKUP(CB$1,DATA!$A$3:$F$301,3,FALSE)-VLOOKUP($A87,DATA!$A$3:$F$301,3,FALSE))^2),"")</f>
        <v/>
      </c>
      <c r="CC87" s="14" t="str">
        <f>_xlfn.IFNA(SQRT((VLOOKUP(CC$1,DATA!$A$3:$F$301,2,FALSE)-VLOOKUP($A87,DATA!$A$3:$F$301,2,FALSE))^2+(VLOOKUP(CC$1,DATA!$A$3:$F$301,3,FALSE)-VLOOKUP($A87,DATA!$A$3:$F$301,3,FALSE))^2),"")</f>
        <v/>
      </c>
      <c r="CD87" s="14" t="str">
        <f>_xlfn.IFNA(SQRT((VLOOKUP(CD$1,DATA!$A$3:$F$301,2,FALSE)-VLOOKUP($A87,DATA!$A$3:$F$301,2,FALSE))^2+(VLOOKUP(CD$1,DATA!$A$3:$F$301,3,FALSE)-VLOOKUP($A87,DATA!$A$3:$F$301,3,FALSE))^2),"")</f>
        <v/>
      </c>
      <c r="CE87" s="14" t="str">
        <f>_xlfn.IFNA(SQRT((VLOOKUP(CE$1,DATA!$A$3:$F$301,2,FALSE)-VLOOKUP($A87,DATA!$A$3:$F$301,2,FALSE))^2+(VLOOKUP(CE$1,DATA!$A$3:$F$301,3,FALSE)-VLOOKUP($A87,DATA!$A$3:$F$301,3,FALSE))^2),"")</f>
        <v/>
      </c>
      <c r="CF87" s="14" t="str">
        <f>_xlfn.IFNA(SQRT((VLOOKUP(CF$1,DATA!$A$3:$F$301,2,FALSE)-VLOOKUP($A87,DATA!$A$3:$F$301,2,FALSE))^2+(VLOOKUP(CF$1,DATA!$A$3:$F$301,3,FALSE)-VLOOKUP($A87,DATA!$A$3:$F$301,3,FALSE))^2),"")</f>
        <v/>
      </c>
      <c r="CG87" s="14" t="str">
        <f>_xlfn.IFNA(SQRT((VLOOKUP(CG$1,DATA!$A$3:$F$301,2,FALSE)-VLOOKUP($A87,DATA!$A$3:$F$301,2,FALSE))^2+(VLOOKUP(CG$1,DATA!$A$3:$F$301,3,FALSE)-VLOOKUP($A87,DATA!$A$3:$F$301,3,FALSE))^2),"")</f>
        <v/>
      </c>
      <c r="CH87" s="14" t="str">
        <f>_xlfn.IFNA(SQRT((VLOOKUP(CH$1,DATA!$A$3:$F$301,2,FALSE)-VLOOKUP($A87,DATA!$A$3:$F$301,2,FALSE))^2+(VLOOKUP(CH$1,DATA!$A$3:$F$301,3,FALSE)-VLOOKUP($A87,DATA!$A$3:$F$301,3,FALSE))^2),"")</f>
        <v/>
      </c>
      <c r="CI87" s="14" t="str">
        <f>_xlfn.IFNA(SQRT((VLOOKUP(CI$1,DATA!$A$3:$F$301,2,FALSE)-VLOOKUP($A87,DATA!$A$3:$F$301,2,FALSE))^2+(VLOOKUP(CI$1,DATA!$A$3:$F$301,3,FALSE)-VLOOKUP($A87,DATA!$A$3:$F$301,3,FALSE))^2),"")</f>
        <v/>
      </c>
      <c r="CJ87" s="14" t="str">
        <f>_xlfn.IFNA(SQRT((VLOOKUP(CJ$1,DATA!$A$3:$F$301,2,FALSE)-VLOOKUP($A87,DATA!$A$3:$F$301,2,FALSE))^2+(VLOOKUP(CJ$1,DATA!$A$3:$F$301,3,FALSE)-VLOOKUP($A87,DATA!$A$3:$F$301,3,FALSE))^2),"")</f>
        <v/>
      </c>
      <c r="CK87" s="14" t="str">
        <f>_xlfn.IFNA(SQRT((VLOOKUP(CK$1,DATA!$A$3:$F$301,2,FALSE)-VLOOKUP($A87,DATA!$A$3:$F$301,2,FALSE))^2+(VLOOKUP(CK$1,DATA!$A$3:$F$301,3,FALSE)-VLOOKUP($A87,DATA!$A$3:$F$301,3,FALSE))^2),"")</f>
        <v/>
      </c>
      <c r="CL87" s="14" t="str">
        <f>_xlfn.IFNA(SQRT((VLOOKUP(CL$1,DATA!$A$3:$F$301,2,FALSE)-VLOOKUP($A87,DATA!$A$3:$F$301,2,FALSE))^2+(VLOOKUP(CL$1,DATA!$A$3:$F$301,3,FALSE)-VLOOKUP($A87,DATA!$A$3:$F$301,3,FALSE))^2),"")</f>
        <v/>
      </c>
      <c r="CM87" s="14" t="str">
        <f>_xlfn.IFNA(SQRT((VLOOKUP(CM$1,DATA!$A$3:$F$301,2,FALSE)-VLOOKUP($A87,DATA!$A$3:$F$301,2,FALSE))^2+(VLOOKUP(CM$1,DATA!$A$3:$F$301,3,FALSE)-VLOOKUP($A87,DATA!$A$3:$F$301,3,FALSE))^2),"")</f>
        <v/>
      </c>
      <c r="CN87" s="14" t="str">
        <f>_xlfn.IFNA(SQRT((VLOOKUP(CN$1,DATA!$A$3:$F$301,2,FALSE)-VLOOKUP($A87,DATA!$A$3:$F$301,2,FALSE))^2+(VLOOKUP(CN$1,DATA!$A$3:$F$301,3,FALSE)-VLOOKUP($A87,DATA!$A$3:$F$301,3,FALSE))^2),"")</f>
        <v/>
      </c>
      <c r="CO87" s="14" t="str">
        <f>_xlfn.IFNA(SQRT((VLOOKUP(CO$1,DATA!$A$3:$F$301,2,FALSE)-VLOOKUP($A87,DATA!$A$3:$F$301,2,FALSE))^2+(VLOOKUP(CO$1,DATA!$A$3:$F$301,3,FALSE)-VLOOKUP($A87,DATA!$A$3:$F$301,3,FALSE))^2),"")</f>
        <v/>
      </c>
      <c r="CP87" s="14" t="str">
        <f>_xlfn.IFNA(SQRT((VLOOKUP(CP$1,DATA!$A$3:$F$301,2,FALSE)-VLOOKUP($A87,DATA!$A$3:$F$301,2,FALSE))^2+(VLOOKUP(CP$1,DATA!$A$3:$F$301,3,FALSE)-VLOOKUP($A87,DATA!$A$3:$F$301,3,FALSE))^2),"")</f>
        <v/>
      </c>
      <c r="CQ87" s="14" t="str">
        <f>_xlfn.IFNA(SQRT((VLOOKUP(CQ$1,DATA!$A$3:$F$301,2,FALSE)-VLOOKUP($A87,DATA!$A$3:$F$301,2,FALSE))^2+(VLOOKUP(CQ$1,DATA!$A$3:$F$301,3,FALSE)-VLOOKUP($A87,DATA!$A$3:$F$301,3,FALSE))^2),"")</f>
        <v/>
      </c>
      <c r="CR87" s="14" t="str">
        <f>_xlfn.IFNA(SQRT((VLOOKUP(CR$1,DATA!$A$3:$F$301,2,FALSE)-VLOOKUP($A87,DATA!$A$3:$F$301,2,FALSE))^2+(VLOOKUP(CR$1,DATA!$A$3:$F$301,3,FALSE)-VLOOKUP($A87,DATA!$A$3:$F$301,3,FALSE))^2),"")</f>
        <v/>
      </c>
      <c r="CS87" s="14" t="str">
        <f>_xlfn.IFNA(SQRT((VLOOKUP(CS$1,DATA!$A$3:$F$301,2,FALSE)-VLOOKUP($A87,DATA!$A$3:$F$301,2,FALSE))^2+(VLOOKUP(CS$1,DATA!$A$3:$F$301,3,FALSE)-VLOOKUP($A87,DATA!$A$3:$F$301,3,FALSE))^2),"")</f>
        <v/>
      </c>
      <c r="CT87" s="14" t="str">
        <f>_xlfn.IFNA(SQRT((VLOOKUP(CT$1,DATA!$A$3:$F$301,2,FALSE)-VLOOKUP($A87,DATA!$A$3:$F$301,2,FALSE))^2+(VLOOKUP(CT$1,DATA!$A$3:$F$301,3,FALSE)-VLOOKUP($A87,DATA!$A$3:$F$301,3,FALSE))^2),"")</f>
        <v/>
      </c>
      <c r="CU87" s="14" t="str">
        <f>_xlfn.IFNA(SQRT((VLOOKUP(CU$1,DATA!$A$3:$F$301,2,FALSE)-VLOOKUP($A87,DATA!$A$3:$F$301,2,FALSE))^2+(VLOOKUP(CU$1,DATA!$A$3:$F$301,3,FALSE)-VLOOKUP($A87,DATA!$A$3:$F$301,3,FALSE))^2),"")</f>
        <v/>
      </c>
      <c r="CV87" s="14" t="str">
        <f>_xlfn.IFNA(SQRT((VLOOKUP(CV$1,DATA!$A$3:$F$301,2,FALSE)-VLOOKUP($A87,DATA!$A$3:$F$301,2,FALSE))^2+(VLOOKUP(CV$1,DATA!$A$3:$F$301,3,FALSE)-VLOOKUP($A87,DATA!$A$3:$F$301,3,FALSE))^2),"")</f>
        <v/>
      </c>
      <c r="CW87" s="14" t="str">
        <f>_xlfn.IFNA(SQRT((VLOOKUP(CW$1,DATA!$A$3:$F$301,2,FALSE)-VLOOKUP($A87,DATA!$A$3:$F$301,2,FALSE))^2+(VLOOKUP(CW$1,DATA!$A$3:$F$301,3,FALSE)-VLOOKUP($A87,DATA!$A$3:$F$301,3,FALSE))^2),"")</f>
        <v/>
      </c>
      <c r="CX87" s="14" t="str">
        <f>_xlfn.IFNA(SQRT((VLOOKUP(CX$1,DATA!$A$3:$F$301,2,FALSE)-VLOOKUP($A87,DATA!$A$3:$F$301,2,FALSE))^2+(VLOOKUP(CX$1,DATA!$A$3:$F$301,3,FALSE)-VLOOKUP($A87,DATA!$A$3:$F$301,3,FALSE))^2),"")</f>
        <v/>
      </c>
    </row>
    <row r="88" spans="1:102">
      <c r="A88" s="13">
        <v>87</v>
      </c>
      <c r="B88" s="14" t="str">
        <f>_xlfn.IFNA(SQRT((VLOOKUP(B$1,DATA!$A$3:$F$301,2,FALSE)-VLOOKUP($A88,DATA!$A$3:$F$301,2,FALSE))^2+(VLOOKUP(B$1,DATA!$A$3:$F$301,3,FALSE)-VLOOKUP($A88,DATA!$A$3:$F$301,3,FALSE))^2),"")</f>
        <v/>
      </c>
      <c r="C88" s="14" t="str">
        <f>_xlfn.IFNA(SQRT((VLOOKUP(C$1,DATA!$A$3:$F$301,2,FALSE)-VLOOKUP($A88,DATA!$A$3:$F$301,2,FALSE))^2+(VLOOKUP(C$1,DATA!$A$3:$F$301,3,FALSE)-VLOOKUP($A88,DATA!$A$3:$F$301,3,FALSE))^2),"")</f>
        <v/>
      </c>
      <c r="D88" s="14" t="str">
        <f>_xlfn.IFNA(SQRT((VLOOKUP(D$1,DATA!$A$3:$F$301,2,FALSE)-VLOOKUP($A88,DATA!$A$3:$F$301,2,FALSE))^2+(VLOOKUP(D$1,DATA!$A$3:$F$301,3,FALSE)-VLOOKUP($A88,DATA!$A$3:$F$301,3,FALSE))^2),"")</f>
        <v/>
      </c>
      <c r="E88" s="14" t="str">
        <f>_xlfn.IFNA(SQRT((VLOOKUP(E$1,DATA!$A$3:$F$301,2,FALSE)-VLOOKUP($A88,DATA!$A$3:$F$301,2,FALSE))^2+(VLOOKUP(E$1,DATA!$A$3:$F$301,3,FALSE)-VLOOKUP($A88,DATA!$A$3:$F$301,3,FALSE))^2),"")</f>
        <v/>
      </c>
      <c r="F88" s="14" t="str">
        <f>_xlfn.IFNA(SQRT((VLOOKUP(F$1,DATA!$A$3:$F$301,2,FALSE)-VLOOKUP($A88,DATA!$A$3:$F$301,2,FALSE))^2+(VLOOKUP(F$1,DATA!$A$3:$F$301,3,FALSE)-VLOOKUP($A88,DATA!$A$3:$F$301,3,FALSE))^2),"")</f>
        <v/>
      </c>
      <c r="G88" s="14" t="str">
        <f>_xlfn.IFNA(SQRT((VLOOKUP(G$1,DATA!$A$3:$F$301,2,FALSE)-VLOOKUP($A88,DATA!$A$3:$F$301,2,FALSE))^2+(VLOOKUP(G$1,DATA!$A$3:$F$301,3,FALSE)-VLOOKUP($A88,DATA!$A$3:$F$301,3,FALSE))^2),"")</f>
        <v/>
      </c>
      <c r="H88" s="14" t="str">
        <f>_xlfn.IFNA(SQRT((VLOOKUP(H$1,DATA!$A$3:$F$301,2,FALSE)-VLOOKUP($A88,DATA!$A$3:$F$301,2,FALSE))^2+(VLOOKUP(H$1,DATA!$A$3:$F$301,3,FALSE)-VLOOKUP($A88,DATA!$A$3:$F$301,3,FALSE))^2),"")</f>
        <v/>
      </c>
      <c r="I88" s="14" t="str">
        <f>_xlfn.IFNA(SQRT((VLOOKUP(I$1,DATA!$A$3:$F$301,2,FALSE)-VLOOKUP($A88,DATA!$A$3:$F$301,2,FALSE))^2+(VLOOKUP(I$1,DATA!$A$3:$F$301,3,FALSE)-VLOOKUP($A88,DATA!$A$3:$F$301,3,FALSE))^2),"")</f>
        <v/>
      </c>
      <c r="J88" s="14" t="str">
        <f>_xlfn.IFNA(SQRT((VLOOKUP(J$1,DATA!$A$3:$F$301,2,FALSE)-VLOOKUP($A88,DATA!$A$3:$F$301,2,FALSE))^2+(VLOOKUP(J$1,DATA!$A$3:$F$301,3,FALSE)-VLOOKUP($A88,DATA!$A$3:$F$301,3,FALSE))^2),"")</f>
        <v/>
      </c>
      <c r="K88" s="14" t="str">
        <f>_xlfn.IFNA(SQRT((VLOOKUP(K$1,DATA!$A$3:$F$301,2,FALSE)-VLOOKUP($A88,DATA!$A$3:$F$301,2,FALSE))^2+(VLOOKUP(K$1,DATA!$A$3:$F$301,3,FALSE)-VLOOKUP($A88,DATA!$A$3:$F$301,3,FALSE))^2),"")</f>
        <v/>
      </c>
      <c r="L88" s="14" t="str">
        <f>_xlfn.IFNA(SQRT((VLOOKUP(L$1,DATA!$A$3:$F$301,2,FALSE)-VLOOKUP($A88,DATA!$A$3:$F$301,2,FALSE))^2+(VLOOKUP(L$1,DATA!$A$3:$F$301,3,FALSE)-VLOOKUP($A88,DATA!$A$3:$F$301,3,FALSE))^2),"")</f>
        <v/>
      </c>
      <c r="M88" s="14" t="str">
        <f>_xlfn.IFNA(SQRT((VLOOKUP(M$1,DATA!$A$3:$F$301,2,FALSE)-VLOOKUP($A88,DATA!$A$3:$F$301,2,FALSE))^2+(VLOOKUP(M$1,DATA!$A$3:$F$301,3,FALSE)-VLOOKUP($A88,DATA!$A$3:$F$301,3,FALSE))^2),"")</f>
        <v/>
      </c>
      <c r="N88" s="14" t="str">
        <f>_xlfn.IFNA(SQRT((VLOOKUP(N$1,DATA!$A$3:$F$301,2,FALSE)-VLOOKUP($A88,DATA!$A$3:$F$301,2,FALSE))^2+(VLOOKUP(N$1,DATA!$A$3:$F$301,3,FALSE)-VLOOKUP($A88,DATA!$A$3:$F$301,3,FALSE))^2),"")</f>
        <v/>
      </c>
      <c r="O88" s="14" t="str">
        <f>_xlfn.IFNA(SQRT((VLOOKUP(O$1,DATA!$A$3:$F$301,2,FALSE)-VLOOKUP($A88,DATA!$A$3:$F$301,2,FALSE))^2+(VLOOKUP(O$1,DATA!$A$3:$F$301,3,FALSE)-VLOOKUP($A88,DATA!$A$3:$F$301,3,FALSE))^2),"")</f>
        <v/>
      </c>
      <c r="P88" s="14" t="str">
        <f>_xlfn.IFNA(SQRT((VLOOKUP(P$1,DATA!$A$3:$F$301,2,FALSE)-VLOOKUP($A88,DATA!$A$3:$F$301,2,FALSE))^2+(VLOOKUP(P$1,DATA!$A$3:$F$301,3,FALSE)-VLOOKUP($A88,DATA!$A$3:$F$301,3,FALSE))^2),"")</f>
        <v/>
      </c>
      <c r="Q88" s="14" t="str">
        <f>_xlfn.IFNA(SQRT((VLOOKUP(Q$1,DATA!$A$3:$F$301,2,FALSE)-VLOOKUP($A88,DATA!$A$3:$F$301,2,FALSE))^2+(VLOOKUP(Q$1,DATA!$A$3:$F$301,3,FALSE)-VLOOKUP($A88,DATA!$A$3:$F$301,3,FALSE))^2),"")</f>
        <v/>
      </c>
      <c r="R88" s="14" t="str">
        <f>_xlfn.IFNA(SQRT((VLOOKUP(R$1,DATA!$A$3:$F$301,2,FALSE)-VLOOKUP($A88,DATA!$A$3:$F$301,2,FALSE))^2+(VLOOKUP(R$1,DATA!$A$3:$F$301,3,FALSE)-VLOOKUP($A88,DATA!$A$3:$F$301,3,FALSE))^2),"")</f>
        <v/>
      </c>
      <c r="S88" s="14" t="str">
        <f>_xlfn.IFNA(SQRT((VLOOKUP(S$1,DATA!$A$3:$F$301,2,FALSE)-VLOOKUP($A88,DATA!$A$3:$F$301,2,FALSE))^2+(VLOOKUP(S$1,DATA!$A$3:$F$301,3,FALSE)-VLOOKUP($A88,DATA!$A$3:$F$301,3,FALSE))^2),"")</f>
        <v/>
      </c>
      <c r="T88" s="14" t="str">
        <f>_xlfn.IFNA(SQRT((VLOOKUP(T$1,DATA!$A$3:$F$301,2,FALSE)-VLOOKUP($A88,DATA!$A$3:$F$301,2,FALSE))^2+(VLOOKUP(T$1,DATA!$A$3:$F$301,3,FALSE)-VLOOKUP($A88,DATA!$A$3:$F$301,3,FALSE))^2),"")</f>
        <v/>
      </c>
      <c r="U88" s="14" t="str">
        <f>_xlfn.IFNA(SQRT((VLOOKUP(U$1,DATA!$A$3:$F$301,2,FALSE)-VLOOKUP($A88,DATA!$A$3:$F$301,2,FALSE))^2+(VLOOKUP(U$1,DATA!$A$3:$F$301,3,FALSE)-VLOOKUP($A88,DATA!$A$3:$F$301,3,FALSE))^2),"")</f>
        <v/>
      </c>
      <c r="V88" s="14" t="str">
        <f>_xlfn.IFNA(SQRT((VLOOKUP(V$1,DATA!$A$3:$F$301,2,FALSE)-VLOOKUP($A88,DATA!$A$3:$F$301,2,FALSE))^2+(VLOOKUP(V$1,DATA!$A$3:$F$301,3,FALSE)-VLOOKUP($A88,DATA!$A$3:$F$301,3,FALSE))^2),"")</f>
        <v/>
      </c>
      <c r="W88" s="14" t="str">
        <f>_xlfn.IFNA(SQRT((VLOOKUP(W$1,DATA!$A$3:$F$301,2,FALSE)-VLOOKUP($A88,DATA!$A$3:$F$301,2,FALSE))^2+(VLOOKUP(W$1,DATA!$A$3:$F$301,3,FALSE)-VLOOKUP($A88,DATA!$A$3:$F$301,3,FALSE))^2),"")</f>
        <v/>
      </c>
      <c r="X88" s="14" t="str">
        <f>_xlfn.IFNA(SQRT((VLOOKUP(X$1,DATA!$A$3:$F$301,2,FALSE)-VLOOKUP($A88,DATA!$A$3:$F$301,2,FALSE))^2+(VLOOKUP(X$1,DATA!$A$3:$F$301,3,FALSE)-VLOOKUP($A88,DATA!$A$3:$F$301,3,FALSE))^2),"")</f>
        <v/>
      </c>
      <c r="Y88" s="14" t="str">
        <f>_xlfn.IFNA(SQRT((VLOOKUP(Y$1,DATA!$A$3:$F$301,2,FALSE)-VLOOKUP($A88,DATA!$A$3:$F$301,2,FALSE))^2+(VLOOKUP(Y$1,DATA!$A$3:$F$301,3,FALSE)-VLOOKUP($A88,DATA!$A$3:$F$301,3,FALSE))^2),"")</f>
        <v/>
      </c>
      <c r="Z88" s="14" t="str">
        <f>_xlfn.IFNA(SQRT((VLOOKUP(Z$1,DATA!$A$3:$F$301,2,FALSE)-VLOOKUP($A88,DATA!$A$3:$F$301,2,FALSE))^2+(VLOOKUP(Z$1,DATA!$A$3:$F$301,3,FALSE)-VLOOKUP($A88,DATA!$A$3:$F$301,3,FALSE))^2),"")</f>
        <v/>
      </c>
      <c r="AA88" s="14" t="str">
        <f>_xlfn.IFNA(SQRT((VLOOKUP(AA$1,DATA!$A$3:$F$301,2,FALSE)-VLOOKUP($A88,DATA!$A$3:$F$301,2,FALSE))^2+(VLOOKUP(AA$1,DATA!$A$3:$F$301,3,FALSE)-VLOOKUP($A88,DATA!$A$3:$F$301,3,FALSE))^2),"")</f>
        <v/>
      </c>
      <c r="AB88" s="14" t="str">
        <f>_xlfn.IFNA(SQRT((VLOOKUP(AB$1,DATA!$A$3:$F$301,2,FALSE)-VLOOKUP($A88,DATA!$A$3:$F$301,2,FALSE))^2+(VLOOKUP(AB$1,DATA!$A$3:$F$301,3,FALSE)-VLOOKUP($A88,DATA!$A$3:$F$301,3,FALSE))^2),"")</f>
        <v/>
      </c>
      <c r="AC88" s="14" t="str">
        <f>_xlfn.IFNA(SQRT((VLOOKUP(AC$1,DATA!$A$3:$F$301,2,FALSE)-VLOOKUP($A88,DATA!$A$3:$F$301,2,FALSE))^2+(VLOOKUP(AC$1,DATA!$A$3:$F$301,3,FALSE)-VLOOKUP($A88,DATA!$A$3:$F$301,3,FALSE))^2),"")</f>
        <v/>
      </c>
      <c r="AD88" s="14" t="str">
        <f>_xlfn.IFNA(SQRT((VLOOKUP(AD$1,DATA!$A$3:$F$301,2,FALSE)-VLOOKUP($A88,DATA!$A$3:$F$301,2,FALSE))^2+(VLOOKUP(AD$1,DATA!$A$3:$F$301,3,FALSE)-VLOOKUP($A88,DATA!$A$3:$F$301,3,FALSE))^2),"")</f>
        <v/>
      </c>
      <c r="AE88" s="14" t="str">
        <f>_xlfn.IFNA(SQRT((VLOOKUP(AE$1,DATA!$A$3:$F$301,2,FALSE)-VLOOKUP($A88,DATA!$A$3:$F$301,2,FALSE))^2+(VLOOKUP(AE$1,DATA!$A$3:$F$301,3,FALSE)-VLOOKUP($A88,DATA!$A$3:$F$301,3,FALSE))^2),"")</f>
        <v/>
      </c>
      <c r="AF88" s="14" t="str">
        <f>_xlfn.IFNA(SQRT((VLOOKUP(AF$1,DATA!$A$3:$F$301,2,FALSE)-VLOOKUP($A88,DATA!$A$3:$F$301,2,FALSE))^2+(VLOOKUP(AF$1,DATA!$A$3:$F$301,3,FALSE)-VLOOKUP($A88,DATA!$A$3:$F$301,3,FALSE))^2),"")</f>
        <v/>
      </c>
      <c r="AG88" s="14" t="str">
        <f>_xlfn.IFNA(SQRT((VLOOKUP(AG$1,DATA!$A$3:$F$301,2,FALSE)-VLOOKUP($A88,DATA!$A$3:$F$301,2,FALSE))^2+(VLOOKUP(AG$1,DATA!$A$3:$F$301,3,FALSE)-VLOOKUP($A88,DATA!$A$3:$F$301,3,FALSE))^2),"")</f>
        <v/>
      </c>
      <c r="AH88" s="14" t="str">
        <f>_xlfn.IFNA(SQRT((VLOOKUP(AH$1,DATA!$A$3:$F$301,2,FALSE)-VLOOKUP($A88,DATA!$A$3:$F$301,2,FALSE))^2+(VLOOKUP(AH$1,DATA!$A$3:$F$301,3,FALSE)-VLOOKUP($A88,DATA!$A$3:$F$301,3,FALSE))^2),"")</f>
        <v/>
      </c>
      <c r="AI88" s="14" t="str">
        <f>_xlfn.IFNA(SQRT((VLOOKUP(AI$1,DATA!$A$3:$F$301,2,FALSE)-VLOOKUP($A88,DATA!$A$3:$F$301,2,FALSE))^2+(VLOOKUP(AI$1,DATA!$A$3:$F$301,3,FALSE)-VLOOKUP($A88,DATA!$A$3:$F$301,3,FALSE))^2),"")</f>
        <v/>
      </c>
      <c r="AJ88" s="14" t="str">
        <f>_xlfn.IFNA(SQRT((VLOOKUP(AJ$1,DATA!$A$3:$F$301,2,FALSE)-VLOOKUP($A88,DATA!$A$3:$F$301,2,FALSE))^2+(VLOOKUP(AJ$1,DATA!$A$3:$F$301,3,FALSE)-VLOOKUP($A88,DATA!$A$3:$F$301,3,FALSE))^2),"")</f>
        <v/>
      </c>
      <c r="AK88" s="14" t="str">
        <f>_xlfn.IFNA(SQRT((VLOOKUP(AK$1,DATA!$A$3:$F$301,2,FALSE)-VLOOKUP($A88,DATA!$A$3:$F$301,2,FALSE))^2+(VLOOKUP(AK$1,DATA!$A$3:$F$301,3,FALSE)-VLOOKUP($A88,DATA!$A$3:$F$301,3,FALSE))^2),"")</f>
        <v/>
      </c>
      <c r="AL88" s="14" t="str">
        <f>_xlfn.IFNA(SQRT((VLOOKUP(AL$1,DATA!$A$3:$F$301,2,FALSE)-VLOOKUP($A88,DATA!$A$3:$F$301,2,FALSE))^2+(VLOOKUP(AL$1,DATA!$A$3:$F$301,3,FALSE)-VLOOKUP($A88,DATA!$A$3:$F$301,3,FALSE))^2),"")</f>
        <v/>
      </c>
      <c r="AM88" s="14" t="str">
        <f>_xlfn.IFNA(SQRT((VLOOKUP(AM$1,DATA!$A$3:$F$301,2,FALSE)-VLOOKUP($A88,DATA!$A$3:$F$301,2,FALSE))^2+(VLOOKUP(AM$1,DATA!$A$3:$F$301,3,FALSE)-VLOOKUP($A88,DATA!$A$3:$F$301,3,FALSE))^2),"")</f>
        <v/>
      </c>
      <c r="AN88" s="14" t="str">
        <f>_xlfn.IFNA(SQRT((VLOOKUP(AN$1,DATA!$A$3:$F$301,2,FALSE)-VLOOKUP($A88,DATA!$A$3:$F$301,2,FALSE))^2+(VLOOKUP(AN$1,DATA!$A$3:$F$301,3,FALSE)-VLOOKUP($A88,DATA!$A$3:$F$301,3,FALSE))^2),"")</f>
        <v/>
      </c>
      <c r="AO88" s="14" t="str">
        <f>_xlfn.IFNA(SQRT((VLOOKUP(AO$1,DATA!$A$3:$F$301,2,FALSE)-VLOOKUP($A88,DATA!$A$3:$F$301,2,FALSE))^2+(VLOOKUP(AO$1,DATA!$A$3:$F$301,3,FALSE)-VLOOKUP($A88,DATA!$A$3:$F$301,3,FALSE))^2),"")</f>
        <v/>
      </c>
      <c r="AP88" s="14" t="str">
        <f>_xlfn.IFNA(SQRT((VLOOKUP(AP$1,DATA!$A$3:$F$301,2,FALSE)-VLOOKUP($A88,DATA!$A$3:$F$301,2,FALSE))^2+(VLOOKUP(AP$1,DATA!$A$3:$F$301,3,FALSE)-VLOOKUP($A88,DATA!$A$3:$F$301,3,FALSE))^2),"")</f>
        <v/>
      </c>
      <c r="AQ88" s="14" t="str">
        <f>_xlfn.IFNA(SQRT((VLOOKUP(AQ$1,DATA!$A$3:$F$301,2,FALSE)-VLOOKUP($A88,DATA!$A$3:$F$301,2,FALSE))^2+(VLOOKUP(AQ$1,DATA!$A$3:$F$301,3,FALSE)-VLOOKUP($A88,DATA!$A$3:$F$301,3,FALSE))^2),"")</f>
        <v/>
      </c>
      <c r="AR88" s="14" t="str">
        <f>_xlfn.IFNA(SQRT((VLOOKUP(AR$1,DATA!$A$3:$F$301,2,FALSE)-VLOOKUP($A88,DATA!$A$3:$F$301,2,FALSE))^2+(VLOOKUP(AR$1,DATA!$A$3:$F$301,3,FALSE)-VLOOKUP($A88,DATA!$A$3:$F$301,3,FALSE))^2),"")</f>
        <v/>
      </c>
      <c r="AS88" s="14" t="str">
        <f>_xlfn.IFNA(SQRT((VLOOKUP(AS$1,DATA!$A$3:$F$301,2,FALSE)-VLOOKUP($A88,DATA!$A$3:$F$301,2,FALSE))^2+(VLOOKUP(AS$1,DATA!$A$3:$F$301,3,FALSE)-VLOOKUP($A88,DATA!$A$3:$F$301,3,FALSE))^2),"")</f>
        <v/>
      </c>
      <c r="AT88" s="14" t="str">
        <f>_xlfn.IFNA(SQRT((VLOOKUP(AT$1,DATA!$A$3:$F$301,2,FALSE)-VLOOKUP($A88,DATA!$A$3:$F$301,2,FALSE))^2+(VLOOKUP(AT$1,DATA!$A$3:$F$301,3,FALSE)-VLOOKUP($A88,DATA!$A$3:$F$301,3,FALSE))^2),"")</f>
        <v/>
      </c>
      <c r="AU88" s="14" t="str">
        <f>_xlfn.IFNA(SQRT((VLOOKUP(AU$1,DATA!$A$3:$F$301,2,FALSE)-VLOOKUP($A88,DATA!$A$3:$F$301,2,FALSE))^2+(VLOOKUP(AU$1,DATA!$A$3:$F$301,3,FALSE)-VLOOKUP($A88,DATA!$A$3:$F$301,3,FALSE))^2),"")</f>
        <v/>
      </c>
      <c r="AV88" s="14" t="str">
        <f>_xlfn.IFNA(SQRT((VLOOKUP(AV$1,DATA!$A$3:$F$301,2,FALSE)-VLOOKUP($A88,DATA!$A$3:$F$301,2,FALSE))^2+(VLOOKUP(AV$1,DATA!$A$3:$F$301,3,FALSE)-VLOOKUP($A88,DATA!$A$3:$F$301,3,FALSE))^2),"")</f>
        <v/>
      </c>
      <c r="AW88" s="14" t="str">
        <f>_xlfn.IFNA(SQRT((VLOOKUP(AW$1,DATA!$A$3:$F$301,2,FALSE)-VLOOKUP($A88,DATA!$A$3:$F$301,2,FALSE))^2+(VLOOKUP(AW$1,DATA!$A$3:$F$301,3,FALSE)-VLOOKUP($A88,DATA!$A$3:$F$301,3,FALSE))^2),"")</f>
        <v/>
      </c>
      <c r="AX88" s="14" t="str">
        <f>_xlfn.IFNA(SQRT((VLOOKUP(AX$1,DATA!$A$3:$F$301,2,FALSE)-VLOOKUP($A88,DATA!$A$3:$F$301,2,FALSE))^2+(VLOOKUP(AX$1,DATA!$A$3:$F$301,3,FALSE)-VLOOKUP($A88,DATA!$A$3:$F$301,3,FALSE))^2),"")</f>
        <v/>
      </c>
      <c r="AY88" s="14" t="str">
        <f>_xlfn.IFNA(SQRT((VLOOKUP(AY$1,DATA!$A$3:$F$301,2,FALSE)-VLOOKUP($A88,DATA!$A$3:$F$301,2,FALSE))^2+(VLOOKUP(AY$1,DATA!$A$3:$F$301,3,FALSE)-VLOOKUP($A88,DATA!$A$3:$F$301,3,FALSE))^2),"")</f>
        <v/>
      </c>
      <c r="AZ88" s="14" t="str">
        <f>_xlfn.IFNA(SQRT((VLOOKUP(AZ$1,DATA!$A$3:$F$301,2,FALSE)-VLOOKUP($A88,DATA!$A$3:$F$301,2,FALSE))^2+(VLOOKUP(AZ$1,DATA!$A$3:$F$301,3,FALSE)-VLOOKUP($A88,DATA!$A$3:$F$301,3,FALSE))^2),"")</f>
        <v/>
      </c>
      <c r="BA88" s="14" t="str">
        <f>_xlfn.IFNA(SQRT((VLOOKUP(BA$1,DATA!$A$3:$F$301,2,FALSE)-VLOOKUP($A88,DATA!$A$3:$F$301,2,FALSE))^2+(VLOOKUP(BA$1,DATA!$A$3:$F$301,3,FALSE)-VLOOKUP($A88,DATA!$A$3:$F$301,3,FALSE))^2),"")</f>
        <v/>
      </c>
      <c r="BB88" s="14" t="str">
        <f>_xlfn.IFNA(SQRT((VLOOKUP(BB$1,DATA!$A$3:$F$301,2,FALSE)-VLOOKUP($A88,DATA!$A$3:$F$301,2,FALSE))^2+(VLOOKUP(BB$1,DATA!$A$3:$F$301,3,FALSE)-VLOOKUP($A88,DATA!$A$3:$F$301,3,FALSE))^2),"")</f>
        <v/>
      </c>
      <c r="BC88" s="14" t="str">
        <f>_xlfn.IFNA(SQRT((VLOOKUP(BC$1,DATA!$A$3:$F$301,2,FALSE)-VLOOKUP($A88,DATA!$A$3:$F$301,2,FALSE))^2+(VLOOKUP(BC$1,DATA!$A$3:$F$301,3,FALSE)-VLOOKUP($A88,DATA!$A$3:$F$301,3,FALSE))^2),"")</f>
        <v/>
      </c>
      <c r="BD88" s="14" t="str">
        <f>_xlfn.IFNA(SQRT((VLOOKUP(BD$1,DATA!$A$3:$F$301,2,FALSE)-VLOOKUP($A88,DATA!$A$3:$F$301,2,FALSE))^2+(VLOOKUP(BD$1,DATA!$A$3:$F$301,3,FALSE)-VLOOKUP($A88,DATA!$A$3:$F$301,3,FALSE))^2),"")</f>
        <v/>
      </c>
      <c r="BE88" s="14" t="str">
        <f>_xlfn.IFNA(SQRT((VLOOKUP(BE$1,DATA!$A$3:$F$301,2,FALSE)-VLOOKUP($A88,DATA!$A$3:$F$301,2,FALSE))^2+(VLOOKUP(BE$1,DATA!$A$3:$F$301,3,FALSE)-VLOOKUP($A88,DATA!$A$3:$F$301,3,FALSE))^2),"")</f>
        <v/>
      </c>
      <c r="BF88" s="14" t="str">
        <f>_xlfn.IFNA(SQRT((VLOOKUP(BF$1,DATA!$A$3:$F$301,2,FALSE)-VLOOKUP($A88,DATA!$A$3:$F$301,2,FALSE))^2+(VLOOKUP(BF$1,DATA!$A$3:$F$301,3,FALSE)-VLOOKUP($A88,DATA!$A$3:$F$301,3,FALSE))^2),"")</f>
        <v/>
      </c>
      <c r="BG88" s="14" t="str">
        <f>_xlfn.IFNA(SQRT((VLOOKUP(BG$1,DATA!$A$3:$F$301,2,FALSE)-VLOOKUP($A88,DATA!$A$3:$F$301,2,FALSE))^2+(VLOOKUP(BG$1,DATA!$A$3:$F$301,3,FALSE)-VLOOKUP($A88,DATA!$A$3:$F$301,3,FALSE))^2),"")</f>
        <v/>
      </c>
      <c r="BH88" s="14" t="str">
        <f>_xlfn.IFNA(SQRT((VLOOKUP(BH$1,DATA!$A$3:$F$301,2,FALSE)-VLOOKUP($A88,DATA!$A$3:$F$301,2,FALSE))^2+(VLOOKUP(BH$1,DATA!$A$3:$F$301,3,FALSE)-VLOOKUP($A88,DATA!$A$3:$F$301,3,FALSE))^2),"")</f>
        <v/>
      </c>
      <c r="BI88" s="14" t="str">
        <f>_xlfn.IFNA(SQRT((VLOOKUP(BI$1,DATA!$A$3:$F$301,2,FALSE)-VLOOKUP($A88,DATA!$A$3:$F$301,2,FALSE))^2+(VLOOKUP(BI$1,DATA!$A$3:$F$301,3,FALSE)-VLOOKUP($A88,DATA!$A$3:$F$301,3,FALSE))^2),"")</f>
        <v/>
      </c>
      <c r="BJ88" s="14" t="str">
        <f>_xlfn.IFNA(SQRT((VLOOKUP(BJ$1,DATA!$A$3:$F$301,2,FALSE)-VLOOKUP($A88,DATA!$A$3:$F$301,2,FALSE))^2+(VLOOKUP(BJ$1,DATA!$A$3:$F$301,3,FALSE)-VLOOKUP($A88,DATA!$A$3:$F$301,3,FALSE))^2),"")</f>
        <v/>
      </c>
      <c r="BK88" s="14" t="str">
        <f>_xlfn.IFNA(SQRT((VLOOKUP(BK$1,DATA!$A$3:$F$301,2,FALSE)-VLOOKUP($A88,DATA!$A$3:$F$301,2,FALSE))^2+(VLOOKUP(BK$1,DATA!$A$3:$F$301,3,FALSE)-VLOOKUP($A88,DATA!$A$3:$F$301,3,FALSE))^2),"")</f>
        <v/>
      </c>
      <c r="BL88" s="14" t="str">
        <f>_xlfn.IFNA(SQRT((VLOOKUP(BL$1,DATA!$A$3:$F$301,2,FALSE)-VLOOKUP($A88,DATA!$A$3:$F$301,2,FALSE))^2+(VLOOKUP(BL$1,DATA!$A$3:$F$301,3,FALSE)-VLOOKUP($A88,DATA!$A$3:$F$301,3,FALSE))^2),"")</f>
        <v/>
      </c>
      <c r="BM88" s="14" t="str">
        <f>_xlfn.IFNA(SQRT((VLOOKUP(BM$1,DATA!$A$3:$F$301,2,FALSE)-VLOOKUP($A88,DATA!$A$3:$F$301,2,FALSE))^2+(VLOOKUP(BM$1,DATA!$A$3:$F$301,3,FALSE)-VLOOKUP($A88,DATA!$A$3:$F$301,3,FALSE))^2),"")</f>
        <v/>
      </c>
      <c r="BN88" s="14" t="str">
        <f>_xlfn.IFNA(SQRT((VLOOKUP(BN$1,DATA!$A$3:$F$301,2,FALSE)-VLOOKUP($A88,DATA!$A$3:$F$301,2,FALSE))^2+(VLOOKUP(BN$1,DATA!$A$3:$F$301,3,FALSE)-VLOOKUP($A88,DATA!$A$3:$F$301,3,FALSE))^2),"")</f>
        <v/>
      </c>
      <c r="BO88" s="14" t="str">
        <f>_xlfn.IFNA(SQRT((VLOOKUP(BO$1,DATA!$A$3:$F$301,2,FALSE)-VLOOKUP($A88,DATA!$A$3:$F$301,2,FALSE))^2+(VLOOKUP(BO$1,DATA!$A$3:$F$301,3,FALSE)-VLOOKUP($A88,DATA!$A$3:$F$301,3,FALSE))^2),"")</f>
        <v/>
      </c>
      <c r="BP88" s="14" t="str">
        <f>_xlfn.IFNA(SQRT((VLOOKUP(BP$1,DATA!$A$3:$F$301,2,FALSE)-VLOOKUP($A88,DATA!$A$3:$F$301,2,FALSE))^2+(VLOOKUP(BP$1,DATA!$A$3:$F$301,3,FALSE)-VLOOKUP($A88,DATA!$A$3:$F$301,3,FALSE))^2),"")</f>
        <v/>
      </c>
      <c r="BQ88" s="14" t="str">
        <f>_xlfn.IFNA(SQRT((VLOOKUP(BQ$1,DATA!$A$3:$F$301,2,FALSE)-VLOOKUP($A88,DATA!$A$3:$F$301,2,FALSE))^2+(VLOOKUP(BQ$1,DATA!$A$3:$F$301,3,FALSE)-VLOOKUP($A88,DATA!$A$3:$F$301,3,FALSE))^2),"")</f>
        <v/>
      </c>
      <c r="BR88" s="14" t="str">
        <f>_xlfn.IFNA(SQRT((VLOOKUP(BR$1,DATA!$A$3:$F$301,2,FALSE)-VLOOKUP($A88,DATA!$A$3:$F$301,2,FALSE))^2+(VLOOKUP(BR$1,DATA!$A$3:$F$301,3,FALSE)-VLOOKUP($A88,DATA!$A$3:$F$301,3,FALSE))^2),"")</f>
        <v/>
      </c>
      <c r="BS88" s="14" t="str">
        <f>_xlfn.IFNA(SQRT((VLOOKUP(BS$1,DATA!$A$3:$F$301,2,FALSE)-VLOOKUP($A88,DATA!$A$3:$F$301,2,FALSE))^2+(VLOOKUP(BS$1,DATA!$A$3:$F$301,3,FALSE)-VLOOKUP($A88,DATA!$A$3:$F$301,3,FALSE))^2),"")</f>
        <v/>
      </c>
      <c r="BT88" s="14" t="str">
        <f>_xlfn.IFNA(SQRT((VLOOKUP(BT$1,DATA!$A$3:$F$301,2,FALSE)-VLOOKUP($A88,DATA!$A$3:$F$301,2,FALSE))^2+(VLOOKUP(BT$1,DATA!$A$3:$F$301,3,FALSE)-VLOOKUP($A88,DATA!$A$3:$F$301,3,FALSE))^2),"")</f>
        <v/>
      </c>
      <c r="BU88" s="14" t="str">
        <f>_xlfn.IFNA(SQRT((VLOOKUP(BU$1,DATA!$A$3:$F$301,2,FALSE)-VLOOKUP($A88,DATA!$A$3:$F$301,2,FALSE))^2+(VLOOKUP(BU$1,DATA!$A$3:$F$301,3,FALSE)-VLOOKUP($A88,DATA!$A$3:$F$301,3,FALSE))^2),"")</f>
        <v/>
      </c>
      <c r="BV88" s="14" t="str">
        <f>_xlfn.IFNA(SQRT((VLOOKUP(BV$1,DATA!$A$3:$F$301,2,FALSE)-VLOOKUP($A88,DATA!$A$3:$F$301,2,FALSE))^2+(VLOOKUP(BV$1,DATA!$A$3:$F$301,3,FALSE)-VLOOKUP($A88,DATA!$A$3:$F$301,3,FALSE))^2),"")</f>
        <v/>
      </c>
      <c r="BW88" s="14" t="str">
        <f>_xlfn.IFNA(SQRT((VLOOKUP(BW$1,DATA!$A$3:$F$301,2,FALSE)-VLOOKUP($A88,DATA!$A$3:$F$301,2,FALSE))^2+(VLOOKUP(BW$1,DATA!$A$3:$F$301,3,FALSE)-VLOOKUP($A88,DATA!$A$3:$F$301,3,FALSE))^2),"")</f>
        <v/>
      </c>
      <c r="BX88" s="14" t="str">
        <f>_xlfn.IFNA(SQRT((VLOOKUP(BX$1,DATA!$A$3:$F$301,2,FALSE)-VLOOKUP($A88,DATA!$A$3:$F$301,2,FALSE))^2+(VLOOKUP(BX$1,DATA!$A$3:$F$301,3,FALSE)-VLOOKUP($A88,DATA!$A$3:$F$301,3,FALSE))^2),"")</f>
        <v/>
      </c>
      <c r="BY88" s="14" t="str">
        <f>_xlfn.IFNA(SQRT((VLOOKUP(BY$1,DATA!$A$3:$F$301,2,FALSE)-VLOOKUP($A88,DATA!$A$3:$F$301,2,FALSE))^2+(VLOOKUP(BY$1,DATA!$A$3:$F$301,3,FALSE)-VLOOKUP($A88,DATA!$A$3:$F$301,3,FALSE))^2),"")</f>
        <v/>
      </c>
      <c r="BZ88" s="14" t="str">
        <f>_xlfn.IFNA(SQRT((VLOOKUP(BZ$1,DATA!$A$3:$F$301,2,FALSE)-VLOOKUP($A88,DATA!$A$3:$F$301,2,FALSE))^2+(VLOOKUP(BZ$1,DATA!$A$3:$F$301,3,FALSE)-VLOOKUP($A88,DATA!$A$3:$F$301,3,FALSE))^2),"")</f>
        <v/>
      </c>
      <c r="CA88" s="14" t="str">
        <f>_xlfn.IFNA(SQRT((VLOOKUP(CA$1,DATA!$A$3:$F$301,2,FALSE)-VLOOKUP($A88,DATA!$A$3:$F$301,2,FALSE))^2+(VLOOKUP(CA$1,DATA!$A$3:$F$301,3,FALSE)-VLOOKUP($A88,DATA!$A$3:$F$301,3,FALSE))^2),"")</f>
        <v/>
      </c>
      <c r="CB88" s="14" t="str">
        <f>_xlfn.IFNA(SQRT((VLOOKUP(CB$1,DATA!$A$3:$F$301,2,FALSE)-VLOOKUP($A88,DATA!$A$3:$F$301,2,FALSE))^2+(VLOOKUP(CB$1,DATA!$A$3:$F$301,3,FALSE)-VLOOKUP($A88,DATA!$A$3:$F$301,3,FALSE))^2),"")</f>
        <v/>
      </c>
      <c r="CC88" s="14" t="str">
        <f>_xlfn.IFNA(SQRT((VLOOKUP(CC$1,DATA!$A$3:$F$301,2,FALSE)-VLOOKUP($A88,DATA!$A$3:$F$301,2,FALSE))^2+(VLOOKUP(CC$1,DATA!$A$3:$F$301,3,FALSE)-VLOOKUP($A88,DATA!$A$3:$F$301,3,FALSE))^2),"")</f>
        <v/>
      </c>
      <c r="CD88" s="14" t="str">
        <f>_xlfn.IFNA(SQRT((VLOOKUP(CD$1,DATA!$A$3:$F$301,2,FALSE)-VLOOKUP($A88,DATA!$A$3:$F$301,2,FALSE))^2+(VLOOKUP(CD$1,DATA!$A$3:$F$301,3,FALSE)-VLOOKUP($A88,DATA!$A$3:$F$301,3,FALSE))^2),"")</f>
        <v/>
      </c>
      <c r="CE88" s="14" t="str">
        <f>_xlfn.IFNA(SQRT((VLOOKUP(CE$1,DATA!$A$3:$F$301,2,FALSE)-VLOOKUP($A88,DATA!$A$3:$F$301,2,FALSE))^2+(VLOOKUP(CE$1,DATA!$A$3:$F$301,3,FALSE)-VLOOKUP($A88,DATA!$A$3:$F$301,3,FALSE))^2),"")</f>
        <v/>
      </c>
      <c r="CF88" s="14" t="str">
        <f>_xlfn.IFNA(SQRT((VLOOKUP(CF$1,DATA!$A$3:$F$301,2,FALSE)-VLOOKUP($A88,DATA!$A$3:$F$301,2,FALSE))^2+(VLOOKUP(CF$1,DATA!$A$3:$F$301,3,FALSE)-VLOOKUP($A88,DATA!$A$3:$F$301,3,FALSE))^2),"")</f>
        <v/>
      </c>
      <c r="CG88" s="14" t="str">
        <f>_xlfn.IFNA(SQRT((VLOOKUP(CG$1,DATA!$A$3:$F$301,2,FALSE)-VLOOKUP($A88,DATA!$A$3:$F$301,2,FALSE))^2+(VLOOKUP(CG$1,DATA!$A$3:$F$301,3,FALSE)-VLOOKUP($A88,DATA!$A$3:$F$301,3,FALSE))^2),"")</f>
        <v/>
      </c>
      <c r="CH88" s="14" t="str">
        <f>_xlfn.IFNA(SQRT((VLOOKUP(CH$1,DATA!$A$3:$F$301,2,FALSE)-VLOOKUP($A88,DATA!$A$3:$F$301,2,FALSE))^2+(VLOOKUP(CH$1,DATA!$A$3:$F$301,3,FALSE)-VLOOKUP($A88,DATA!$A$3:$F$301,3,FALSE))^2),"")</f>
        <v/>
      </c>
      <c r="CI88" s="14" t="str">
        <f>_xlfn.IFNA(SQRT((VLOOKUP(CI$1,DATA!$A$3:$F$301,2,FALSE)-VLOOKUP($A88,DATA!$A$3:$F$301,2,FALSE))^2+(VLOOKUP(CI$1,DATA!$A$3:$F$301,3,FALSE)-VLOOKUP($A88,DATA!$A$3:$F$301,3,FALSE))^2),"")</f>
        <v/>
      </c>
      <c r="CJ88" s="14" t="str">
        <f>_xlfn.IFNA(SQRT((VLOOKUP(CJ$1,DATA!$A$3:$F$301,2,FALSE)-VLOOKUP($A88,DATA!$A$3:$F$301,2,FALSE))^2+(VLOOKUP(CJ$1,DATA!$A$3:$F$301,3,FALSE)-VLOOKUP($A88,DATA!$A$3:$F$301,3,FALSE))^2),"")</f>
        <v/>
      </c>
      <c r="CK88" s="14" t="str">
        <f>_xlfn.IFNA(SQRT((VLOOKUP(CK$1,DATA!$A$3:$F$301,2,FALSE)-VLOOKUP($A88,DATA!$A$3:$F$301,2,FALSE))^2+(VLOOKUP(CK$1,DATA!$A$3:$F$301,3,FALSE)-VLOOKUP($A88,DATA!$A$3:$F$301,3,FALSE))^2),"")</f>
        <v/>
      </c>
      <c r="CL88" s="14" t="str">
        <f>_xlfn.IFNA(SQRT((VLOOKUP(CL$1,DATA!$A$3:$F$301,2,FALSE)-VLOOKUP($A88,DATA!$A$3:$F$301,2,FALSE))^2+(VLOOKUP(CL$1,DATA!$A$3:$F$301,3,FALSE)-VLOOKUP($A88,DATA!$A$3:$F$301,3,FALSE))^2),"")</f>
        <v/>
      </c>
      <c r="CM88" s="14" t="str">
        <f>_xlfn.IFNA(SQRT((VLOOKUP(CM$1,DATA!$A$3:$F$301,2,FALSE)-VLOOKUP($A88,DATA!$A$3:$F$301,2,FALSE))^2+(VLOOKUP(CM$1,DATA!$A$3:$F$301,3,FALSE)-VLOOKUP($A88,DATA!$A$3:$F$301,3,FALSE))^2),"")</f>
        <v/>
      </c>
      <c r="CN88" s="14" t="str">
        <f>_xlfn.IFNA(SQRT((VLOOKUP(CN$1,DATA!$A$3:$F$301,2,FALSE)-VLOOKUP($A88,DATA!$A$3:$F$301,2,FALSE))^2+(VLOOKUP(CN$1,DATA!$A$3:$F$301,3,FALSE)-VLOOKUP($A88,DATA!$A$3:$F$301,3,FALSE))^2),"")</f>
        <v/>
      </c>
      <c r="CO88" s="14" t="str">
        <f>_xlfn.IFNA(SQRT((VLOOKUP(CO$1,DATA!$A$3:$F$301,2,FALSE)-VLOOKUP($A88,DATA!$A$3:$F$301,2,FALSE))^2+(VLOOKUP(CO$1,DATA!$A$3:$F$301,3,FALSE)-VLOOKUP($A88,DATA!$A$3:$F$301,3,FALSE))^2),"")</f>
        <v/>
      </c>
      <c r="CP88" s="14" t="str">
        <f>_xlfn.IFNA(SQRT((VLOOKUP(CP$1,DATA!$A$3:$F$301,2,FALSE)-VLOOKUP($A88,DATA!$A$3:$F$301,2,FALSE))^2+(VLOOKUP(CP$1,DATA!$A$3:$F$301,3,FALSE)-VLOOKUP($A88,DATA!$A$3:$F$301,3,FALSE))^2),"")</f>
        <v/>
      </c>
      <c r="CQ88" s="14" t="str">
        <f>_xlfn.IFNA(SQRT((VLOOKUP(CQ$1,DATA!$A$3:$F$301,2,FALSE)-VLOOKUP($A88,DATA!$A$3:$F$301,2,FALSE))^2+(VLOOKUP(CQ$1,DATA!$A$3:$F$301,3,FALSE)-VLOOKUP($A88,DATA!$A$3:$F$301,3,FALSE))^2),"")</f>
        <v/>
      </c>
      <c r="CR88" s="14" t="str">
        <f>_xlfn.IFNA(SQRT((VLOOKUP(CR$1,DATA!$A$3:$F$301,2,FALSE)-VLOOKUP($A88,DATA!$A$3:$F$301,2,FALSE))^2+(VLOOKUP(CR$1,DATA!$A$3:$F$301,3,FALSE)-VLOOKUP($A88,DATA!$A$3:$F$301,3,FALSE))^2),"")</f>
        <v/>
      </c>
      <c r="CS88" s="14" t="str">
        <f>_xlfn.IFNA(SQRT((VLOOKUP(CS$1,DATA!$A$3:$F$301,2,FALSE)-VLOOKUP($A88,DATA!$A$3:$F$301,2,FALSE))^2+(VLOOKUP(CS$1,DATA!$A$3:$F$301,3,FALSE)-VLOOKUP($A88,DATA!$A$3:$F$301,3,FALSE))^2),"")</f>
        <v/>
      </c>
      <c r="CT88" s="14" t="str">
        <f>_xlfn.IFNA(SQRT((VLOOKUP(CT$1,DATA!$A$3:$F$301,2,FALSE)-VLOOKUP($A88,DATA!$A$3:$F$301,2,FALSE))^2+(VLOOKUP(CT$1,DATA!$A$3:$F$301,3,FALSE)-VLOOKUP($A88,DATA!$A$3:$F$301,3,FALSE))^2),"")</f>
        <v/>
      </c>
      <c r="CU88" s="14" t="str">
        <f>_xlfn.IFNA(SQRT((VLOOKUP(CU$1,DATA!$A$3:$F$301,2,FALSE)-VLOOKUP($A88,DATA!$A$3:$F$301,2,FALSE))^2+(VLOOKUP(CU$1,DATA!$A$3:$F$301,3,FALSE)-VLOOKUP($A88,DATA!$A$3:$F$301,3,FALSE))^2),"")</f>
        <v/>
      </c>
      <c r="CV88" s="14" t="str">
        <f>_xlfn.IFNA(SQRT((VLOOKUP(CV$1,DATA!$A$3:$F$301,2,FALSE)-VLOOKUP($A88,DATA!$A$3:$F$301,2,FALSE))^2+(VLOOKUP(CV$1,DATA!$A$3:$F$301,3,FALSE)-VLOOKUP($A88,DATA!$A$3:$F$301,3,FALSE))^2),"")</f>
        <v/>
      </c>
      <c r="CW88" s="14" t="str">
        <f>_xlfn.IFNA(SQRT((VLOOKUP(CW$1,DATA!$A$3:$F$301,2,FALSE)-VLOOKUP($A88,DATA!$A$3:$F$301,2,FALSE))^2+(VLOOKUP(CW$1,DATA!$A$3:$F$301,3,FALSE)-VLOOKUP($A88,DATA!$A$3:$F$301,3,FALSE))^2),"")</f>
        <v/>
      </c>
      <c r="CX88" s="14" t="str">
        <f>_xlfn.IFNA(SQRT((VLOOKUP(CX$1,DATA!$A$3:$F$301,2,FALSE)-VLOOKUP($A88,DATA!$A$3:$F$301,2,FALSE))^2+(VLOOKUP(CX$1,DATA!$A$3:$F$301,3,FALSE)-VLOOKUP($A88,DATA!$A$3:$F$301,3,FALSE))^2),"")</f>
        <v/>
      </c>
    </row>
    <row r="89" spans="1:102">
      <c r="A89" s="13">
        <v>88</v>
      </c>
      <c r="B89" s="14" t="str">
        <f>_xlfn.IFNA(SQRT((VLOOKUP(B$1,DATA!$A$3:$F$301,2,FALSE)-VLOOKUP($A89,DATA!$A$3:$F$301,2,FALSE))^2+(VLOOKUP(B$1,DATA!$A$3:$F$301,3,FALSE)-VLOOKUP($A89,DATA!$A$3:$F$301,3,FALSE))^2),"")</f>
        <v/>
      </c>
      <c r="C89" s="14" t="str">
        <f>_xlfn.IFNA(SQRT((VLOOKUP(C$1,DATA!$A$3:$F$301,2,FALSE)-VLOOKUP($A89,DATA!$A$3:$F$301,2,FALSE))^2+(VLOOKUP(C$1,DATA!$A$3:$F$301,3,FALSE)-VLOOKUP($A89,DATA!$A$3:$F$301,3,FALSE))^2),"")</f>
        <v/>
      </c>
      <c r="D89" s="14" t="str">
        <f>_xlfn.IFNA(SQRT((VLOOKUP(D$1,DATA!$A$3:$F$301,2,FALSE)-VLOOKUP($A89,DATA!$A$3:$F$301,2,FALSE))^2+(VLOOKUP(D$1,DATA!$A$3:$F$301,3,FALSE)-VLOOKUP($A89,DATA!$A$3:$F$301,3,FALSE))^2),"")</f>
        <v/>
      </c>
      <c r="E89" s="14" t="str">
        <f>_xlfn.IFNA(SQRT((VLOOKUP(E$1,DATA!$A$3:$F$301,2,FALSE)-VLOOKUP($A89,DATA!$A$3:$F$301,2,FALSE))^2+(VLOOKUP(E$1,DATA!$A$3:$F$301,3,FALSE)-VLOOKUP($A89,DATA!$A$3:$F$301,3,FALSE))^2),"")</f>
        <v/>
      </c>
      <c r="F89" s="14" t="str">
        <f>_xlfn.IFNA(SQRT((VLOOKUP(F$1,DATA!$A$3:$F$301,2,FALSE)-VLOOKUP($A89,DATA!$A$3:$F$301,2,FALSE))^2+(VLOOKUP(F$1,DATA!$A$3:$F$301,3,FALSE)-VLOOKUP($A89,DATA!$A$3:$F$301,3,FALSE))^2),"")</f>
        <v/>
      </c>
      <c r="G89" s="14" t="str">
        <f>_xlfn.IFNA(SQRT((VLOOKUP(G$1,DATA!$A$3:$F$301,2,FALSE)-VLOOKUP($A89,DATA!$A$3:$F$301,2,FALSE))^2+(VLOOKUP(G$1,DATA!$A$3:$F$301,3,FALSE)-VLOOKUP($A89,DATA!$A$3:$F$301,3,FALSE))^2),"")</f>
        <v/>
      </c>
      <c r="H89" s="14" t="str">
        <f>_xlfn.IFNA(SQRT((VLOOKUP(H$1,DATA!$A$3:$F$301,2,FALSE)-VLOOKUP($A89,DATA!$A$3:$F$301,2,FALSE))^2+(VLOOKUP(H$1,DATA!$A$3:$F$301,3,FALSE)-VLOOKUP($A89,DATA!$A$3:$F$301,3,FALSE))^2),"")</f>
        <v/>
      </c>
      <c r="I89" s="14" t="str">
        <f>_xlfn.IFNA(SQRT((VLOOKUP(I$1,DATA!$A$3:$F$301,2,FALSE)-VLOOKUP($A89,DATA!$A$3:$F$301,2,FALSE))^2+(VLOOKUP(I$1,DATA!$A$3:$F$301,3,FALSE)-VLOOKUP($A89,DATA!$A$3:$F$301,3,FALSE))^2),"")</f>
        <v/>
      </c>
      <c r="J89" s="14" t="str">
        <f>_xlfn.IFNA(SQRT((VLOOKUP(J$1,DATA!$A$3:$F$301,2,FALSE)-VLOOKUP($A89,DATA!$A$3:$F$301,2,FALSE))^2+(VLOOKUP(J$1,DATA!$A$3:$F$301,3,FALSE)-VLOOKUP($A89,DATA!$A$3:$F$301,3,FALSE))^2),"")</f>
        <v/>
      </c>
      <c r="K89" s="14" t="str">
        <f>_xlfn.IFNA(SQRT((VLOOKUP(K$1,DATA!$A$3:$F$301,2,FALSE)-VLOOKUP($A89,DATA!$A$3:$F$301,2,FALSE))^2+(VLOOKUP(K$1,DATA!$A$3:$F$301,3,FALSE)-VLOOKUP($A89,DATA!$A$3:$F$301,3,FALSE))^2),"")</f>
        <v/>
      </c>
      <c r="L89" s="14" t="str">
        <f>_xlfn.IFNA(SQRT((VLOOKUP(L$1,DATA!$A$3:$F$301,2,FALSE)-VLOOKUP($A89,DATA!$A$3:$F$301,2,FALSE))^2+(VLOOKUP(L$1,DATA!$A$3:$F$301,3,FALSE)-VLOOKUP($A89,DATA!$A$3:$F$301,3,FALSE))^2),"")</f>
        <v/>
      </c>
      <c r="M89" s="14" t="str">
        <f>_xlfn.IFNA(SQRT((VLOOKUP(M$1,DATA!$A$3:$F$301,2,FALSE)-VLOOKUP($A89,DATA!$A$3:$F$301,2,FALSE))^2+(VLOOKUP(M$1,DATA!$A$3:$F$301,3,FALSE)-VLOOKUP($A89,DATA!$A$3:$F$301,3,FALSE))^2),"")</f>
        <v/>
      </c>
      <c r="N89" s="14" t="str">
        <f>_xlfn.IFNA(SQRT((VLOOKUP(N$1,DATA!$A$3:$F$301,2,FALSE)-VLOOKUP($A89,DATA!$A$3:$F$301,2,FALSE))^2+(VLOOKUP(N$1,DATA!$A$3:$F$301,3,FALSE)-VLOOKUP($A89,DATA!$A$3:$F$301,3,FALSE))^2),"")</f>
        <v/>
      </c>
      <c r="O89" s="14" t="str">
        <f>_xlfn.IFNA(SQRT((VLOOKUP(O$1,DATA!$A$3:$F$301,2,FALSE)-VLOOKUP($A89,DATA!$A$3:$F$301,2,FALSE))^2+(VLOOKUP(O$1,DATA!$A$3:$F$301,3,FALSE)-VLOOKUP($A89,DATA!$A$3:$F$301,3,FALSE))^2),"")</f>
        <v/>
      </c>
      <c r="P89" s="14" t="str">
        <f>_xlfn.IFNA(SQRT((VLOOKUP(P$1,DATA!$A$3:$F$301,2,FALSE)-VLOOKUP($A89,DATA!$A$3:$F$301,2,FALSE))^2+(VLOOKUP(P$1,DATA!$A$3:$F$301,3,FALSE)-VLOOKUP($A89,DATA!$A$3:$F$301,3,FALSE))^2),"")</f>
        <v/>
      </c>
      <c r="Q89" s="14" t="str">
        <f>_xlfn.IFNA(SQRT((VLOOKUP(Q$1,DATA!$A$3:$F$301,2,FALSE)-VLOOKUP($A89,DATA!$A$3:$F$301,2,FALSE))^2+(VLOOKUP(Q$1,DATA!$A$3:$F$301,3,FALSE)-VLOOKUP($A89,DATA!$A$3:$F$301,3,FALSE))^2),"")</f>
        <v/>
      </c>
      <c r="R89" s="14" t="str">
        <f>_xlfn.IFNA(SQRT((VLOOKUP(R$1,DATA!$A$3:$F$301,2,FALSE)-VLOOKUP($A89,DATA!$A$3:$F$301,2,FALSE))^2+(VLOOKUP(R$1,DATA!$A$3:$F$301,3,FALSE)-VLOOKUP($A89,DATA!$A$3:$F$301,3,FALSE))^2),"")</f>
        <v/>
      </c>
      <c r="S89" s="14" t="str">
        <f>_xlfn.IFNA(SQRT((VLOOKUP(S$1,DATA!$A$3:$F$301,2,FALSE)-VLOOKUP($A89,DATA!$A$3:$F$301,2,FALSE))^2+(VLOOKUP(S$1,DATA!$A$3:$F$301,3,FALSE)-VLOOKUP($A89,DATA!$A$3:$F$301,3,FALSE))^2),"")</f>
        <v/>
      </c>
      <c r="T89" s="14" t="str">
        <f>_xlfn.IFNA(SQRT((VLOOKUP(T$1,DATA!$A$3:$F$301,2,FALSE)-VLOOKUP($A89,DATA!$A$3:$F$301,2,FALSE))^2+(VLOOKUP(T$1,DATA!$A$3:$F$301,3,FALSE)-VLOOKUP($A89,DATA!$A$3:$F$301,3,FALSE))^2),"")</f>
        <v/>
      </c>
      <c r="U89" s="14" t="str">
        <f>_xlfn.IFNA(SQRT((VLOOKUP(U$1,DATA!$A$3:$F$301,2,FALSE)-VLOOKUP($A89,DATA!$A$3:$F$301,2,FALSE))^2+(VLOOKUP(U$1,DATA!$A$3:$F$301,3,FALSE)-VLOOKUP($A89,DATA!$A$3:$F$301,3,FALSE))^2),"")</f>
        <v/>
      </c>
      <c r="V89" s="14" t="str">
        <f>_xlfn.IFNA(SQRT((VLOOKUP(V$1,DATA!$A$3:$F$301,2,FALSE)-VLOOKUP($A89,DATA!$A$3:$F$301,2,FALSE))^2+(VLOOKUP(V$1,DATA!$A$3:$F$301,3,FALSE)-VLOOKUP($A89,DATA!$A$3:$F$301,3,FALSE))^2),"")</f>
        <v/>
      </c>
      <c r="W89" s="14" t="str">
        <f>_xlfn.IFNA(SQRT((VLOOKUP(W$1,DATA!$A$3:$F$301,2,FALSE)-VLOOKUP($A89,DATA!$A$3:$F$301,2,FALSE))^2+(VLOOKUP(W$1,DATA!$A$3:$F$301,3,FALSE)-VLOOKUP($A89,DATA!$A$3:$F$301,3,FALSE))^2),"")</f>
        <v/>
      </c>
      <c r="X89" s="14" t="str">
        <f>_xlfn.IFNA(SQRT((VLOOKUP(X$1,DATA!$A$3:$F$301,2,FALSE)-VLOOKUP($A89,DATA!$A$3:$F$301,2,FALSE))^2+(VLOOKUP(X$1,DATA!$A$3:$F$301,3,FALSE)-VLOOKUP($A89,DATA!$A$3:$F$301,3,FALSE))^2),"")</f>
        <v/>
      </c>
      <c r="Y89" s="14" t="str">
        <f>_xlfn.IFNA(SQRT((VLOOKUP(Y$1,DATA!$A$3:$F$301,2,FALSE)-VLOOKUP($A89,DATA!$A$3:$F$301,2,FALSE))^2+(VLOOKUP(Y$1,DATA!$A$3:$F$301,3,FALSE)-VLOOKUP($A89,DATA!$A$3:$F$301,3,FALSE))^2),"")</f>
        <v/>
      </c>
      <c r="Z89" s="14" t="str">
        <f>_xlfn.IFNA(SQRT((VLOOKUP(Z$1,DATA!$A$3:$F$301,2,FALSE)-VLOOKUP($A89,DATA!$A$3:$F$301,2,FALSE))^2+(VLOOKUP(Z$1,DATA!$A$3:$F$301,3,FALSE)-VLOOKUP($A89,DATA!$A$3:$F$301,3,FALSE))^2),"")</f>
        <v/>
      </c>
      <c r="AA89" s="14" t="str">
        <f>_xlfn.IFNA(SQRT((VLOOKUP(AA$1,DATA!$A$3:$F$301,2,FALSE)-VLOOKUP($A89,DATA!$A$3:$F$301,2,FALSE))^2+(VLOOKUP(AA$1,DATA!$A$3:$F$301,3,FALSE)-VLOOKUP($A89,DATA!$A$3:$F$301,3,FALSE))^2),"")</f>
        <v/>
      </c>
      <c r="AB89" s="14" t="str">
        <f>_xlfn.IFNA(SQRT((VLOOKUP(AB$1,DATA!$A$3:$F$301,2,FALSE)-VLOOKUP($A89,DATA!$A$3:$F$301,2,FALSE))^2+(VLOOKUP(AB$1,DATA!$A$3:$F$301,3,FALSE)-VLOOKUP($A89,DATA!$A$3:$F$301,3,FALSE))^2),"")</f>
        <v/>
      </c>
      <c r="AC89" s="14" t="str">
        <f>_xlfn.IFNA(SQRT((VLOOKUP(AC$1,DATA!$A$3:$F$301,2,FALSE)-VLOOKUP($A89,DATA!$A$3:$F$301,2,FALSE))^2+(VLOOKUP(AC$1,DATA!$A$3:$F$301,3,FALSE)-VLOOKUP($A89,DATA!$A$3:$F$301,3,FALSE))^2),"")</f>
        <v/>
      </c>
      <c r="AD89" s="14" t="str">
        <f>_xlfn.IFNA(SQRT((VLOOKUP(AD$1,DATA!$A$3:$F$301,2,FALSE)-VLOOKUP($A89,DATA!$A$3:$F$301,2,FALSE))^2+(VLOOKUP(AD$1,DATA!$A$3:$F$301,3,FALSE)-VLOOKUP($A89,DATA!$A$3:$F$301,3,FALSE))^2),"")</f>
        <v/>
      </c>
      <c r="AE89" s="14" t="str">
        <f>_xlfn.IFNA(SQRT((VLOOKUP(AE$1,DATA!$A$3:$F$301,2,FALSE)-VLOOKUP($A89,DATA!$A$3:$F$301,2,FALSE))^2+(VLOOKUP(AE$1,DATA!$A$3:$F$301,3,FALSE)-VLOOKUP($A89,DATA!$A$3:$F$301,3,FALSE))^2),"")</f>
        <v/>
      </c>
      <c r="AF89" s="14" t="str">
        <f>_xlfn.IFNA(SQRT((VLOOKUP(AF$1,DATA!$A$3:$F$301,2,FALSE)-VLOOKUP($A89,DATA!$A$3:$F$301,2,FALSE))^2+(VLOOKUP(AF$1,DATA!$A$3:$F$301,3,FALSE)-VLOOKUP($A89,DATA!$A$3:$F$301,3,FALSE))^2),"")</f>
        <v/>
      </c>
      <c r="AG89" s="14" t="str">
        <f>_xlfn.IFNA(SQRT((VLOOKUP(AG$1,DATA!$A$3:$F$301,2,FALSE)-VLOOKUP($A89,DATA!$A$3:$F$301,2,FALSE))^2+(VLOOKUP(AG$1,DATA!$A$3:$F$301,3,FALSE)-VLOOKUP($A89,DATA!$A$3:$F$301,3,FALSE))^2),"")</f>
        <v/>
      </c>
      <c r="AH89" s="14" t="str">
        <f>_xlfn.IFNA(SQRT((VLOOKUP(AH$1,DATA!$A$3:$F$301,2,FALSE)-VLOOKUP($A89,DATA!$A$3:$F$301,2,FALSE))^2+(VLOOKUP(AH$1,DATA!$A$3:$F$301,3,FALSE)-VLOOKUP($A89,DATA!$A$3:$F$301,3,FALSE))^2),"")</f>
        <v/>
      </c>
      <c r="AI89" s="14" t="str">
        <f>_xlfn.IFNA(SQRT((VLOOKUP(AI$1,DATA!$A$3:$F$301,2,FALSE)-VLOOKUP($A89,DATA!$A$3:$F$301,2,FALSE))^2+(VLOOKUP(AI$1,DATA!$A$3:$F$301,3,FALSE)-VLOOKUP($A89,DATA!$A$3:$F$301,3,FALSE))^2),"")</f>
        <v/>
      </c>
      <c r="AJ89" s="14" t="str">
        <f>_xlfn.IFNA(SQRT((VLOOKUP(AJ$1,DATA!$A$3:$F$301,2,FALSE)-VLOOKUP($A89,DATA!$A$3:$F$301,2,FALSE))^2+(VLOOKUP(AJ$1,DATA!$A$3:$F$301,3,FALSE)-VLOOKUP($A89,DATA!$A$3:$F$301,3,FALSE))^2),"")</f>
        <v/>
      </c>
      <c r="AK89" s="14" t="str">
        <f>_xlfn.IFNA(SQRT((VLOOKUP(AK$1,DATA!$A$3:$F$301,2,FALSE)-VLOOKUP($A89,DATA!$A$3:$F$301,2,FALSE))^2+(VLOOKUP(AK$1,DATA!$A$3:$F$301,3,FALSE)-VLOOKUP($A89,DATA!$A$3:$F$301,3,FALSE))^2),"")</f>
        <v/>
      </c>
      <c r="AL89" s="14" t="str">
        <f>_xlfn.IFNA(SQRT((VLOOKUP(AL$1,DATA!$A$3:$F$301,2,FALSE)-VLOOKUP($A89,DATA!$A$3:$F$301,2,FALSE))^2+(VLOOKUP(AL$1,DATA!$A$3:$F$301,3,FALSE)-VLOOKUP($A89,DATA!$A$3:$F$301,3,FALSE))^2),"")</f>
        <v/>
      </c>
      <c r="AM89" s="14" t="str">
        <f>_xlfn.IFNA(SQRT((VLOOKUP(AM$1,DATA!$A$3:$F$301,2,FALSE)-VLOOKUP($A89,DATA!$A$3:$F$301,2,FALSE))^2+(VLOOKUP(AM$1,DATA!$A$3:$F$301,3,FALSE)-VLOOKUP($A89,DATA!$A$3:$F$301,3,FALSE))^2),"")</f>
        <v/>
      </c>
      <c r="AN89" s="14" t="str">
        <f>_xlfn.IFNA(SQRT((VLOOKUP(AN$1,DATA!$A$3:$F$301,2,FALSE)-VLOOKUP($A89,DATA!$A$3:$F$301,2,FALSE))^2+(VLOOKUP(AN$1,DATA!$A$3:$F$301,3,FALSE)-VLOOKUP($A89,DATA!$A$3:$F$301,3,FALSE))^2),"")</f>
        <v/>
      </c>
      <c r="AO89" s="14" t="str">
        <f>_xlfn.IFNA(SQRT((VLOOKUP(AO$1,DATA!$A$3:$F$301,2,FALSE)-VLOOKUP($A89,DATA!$A$3:$F$301,2,FALSE))^2+(VLOOKUP(AO$1,DATA!$A$3:$F$301,3,FALSE)-VLOOKUP($A89,DATA!$A$3:$F$301,3,FALSE))^2),"")</f>
        <v/>
      </c>
      <c r="AP89" s="14" t="str">
        <f>_xlfn.IFNA(SQRT((VLOOKUP(AP$1,DATA!$A$3:$F$301,2,FALSE)-VLOOKUP($A89,DATA!$A$3:$F$301,2,FALSE))^2+(VLOOKUP(AP$1,DATA!$A$3:$F$301,3,FALSE)-VLOOKUP($A89,DATA!$A$3:$F$301,3,FALSE))^2),"")</f>
        <v/>
      </c>
      <c r="AQ89" s="14" t="str">
        <f>_xlfn.IFNA(SQRT((VLOOKUP(AQ$1,DATA!$A$3:$F$301,2,FALSE)-VLOOKUP($A89,DATA!$A$3:$F$301,2,FALSE))^2+(VLOOKUP(AQ$1,DATA!$A$3:$F$301,3,FALSE)-VLOOKUP($A89,DATA!$A$3:$F$301,3,FALSE))^2),"")</f>
        <v/>
      </c>
      <c r="AR89" s="14" t="str">
        <f>_xlfn.IFNA(SQRT((VLOOKUP(AR$1,DATA!$A$3:$F$301,2,FALSE)-VLOOKUP($A89,DATA!$A$3:$F$301,2,FALSE))^2+(VLOOKUP(AR$1,DATA!$A$3:$F$301,3,FALSE)-VLOOKUP($A89,DATA!$A$3:$F$301,3,FALSE))^2),"")</f>
        <v/>
      </c>
      <c r="AS89" s="14" t="str">
        <f>_xlfn.IFNA(SQRT((VLOOKUP(AS$1,DATA!$A$3:$F$301,2,FALSE)-VLOOKUP($A89,DATA!$A$3:$F$301,2,FALSE))^2+(VLOOKUP(AS$1,DATA!$A$3:$F$301,3,FALSE)-VLOOKUP($A89,DATA!$A$3:$F$301,3,FALSE))^2),"")</f>
        <v/>
      </c>
      <c r="AT89" s="14" t="str">
        <f>_xlfn.IFNA(SQRT((VLOOKUP(AT$1,DATA!$A$3:$F$301,2,FALSE)-VLOOKUP($A89,DATA!$A$3:$F$301,2,FALSE))^2+(VLOOKUP(AT$1,DATA!$A$3:$F$301,3,FALSE)-VLOOKUP($A89,DATA!$A$3:$F$301,3,FALSE))^2),"")</f>
        <v/>
      </c>
      <c r="AU89" s="14" t="str">
        <f>_xlfn.IFNA(SQRT((VLOOKUP(AU$1,DATA!$A$3:$F$301,2,FALSE)-VLOOKUP($A89,DATA!$A$3:$F$301,2,FALSE))^2+(VLOOKUP(AU$1,DATA!$A$3:$F$301,3,FALSE)-VLOOKUP($A89,DATA!$A$3:$F$301,3,FALSE))^2),"")</f>
        <v/>
      </c>
      <c r="AV89" s="14" t="str">
        <f>_xlfn.IFNA(SQRT((VLOOKUP(AV$1,DATA!$A$3:$F$301,2,FALSE)-VLOOKUP($A89,DATA!$A$3:$F$301,2,FALSE))^2+(VLOOKUP(AV$1,DATA!$A$3:$F$301,3,FALSE)-VLOOKUP($A89,DATA!$A$3:$F$301,3,FALSE))^2),"")</f>
        <v/>
      </c>
      <c r="AW89" s="14" t="str">
        <f>_xlfn.IFNA(SQRT((VLOOKUP(AW$1,DATA!$A$3:$F$301,2,FALSE)-VLOOKUP($A89,DATA!$A$3:$F$301,2,FALSE))^2+(VLOOKUP(AW$1,DATA!$A$3:$F$301,3,FALSE)-VLOOKUP($A89,DATA!$A$3:$F$301,3,FALSE))^2),"")</f>
        <v/>
      </c>
      <c r="AX89" s="14" t="str">
        <f>_xlfn.IFNA(SQRT((VLOOKUP(AX$1,DATA!$A$3:$F$301,2,FALSE)-VLOOKUP($A89,DATA!$A$3:$F$301,2,FALSE))^2+(VLOOKUP(AX$1,DATA!$A$3:$F$301,3,FALSE)-VLOOKUP($A89,DATA!$A$3:$F$301,3,FALSE))^2),"")</f>
        <v/>
      </c>
      <c r="AY89" s="14" t="str">
        <f>_xlfn.IFNA(SQRT((VLOOKUP(AY$1,DATA!$A$3:$F$301,2,FALSE)-VLOOKUP($A89,DATA!$A$3:$F$301,2,FALSE))^2+(VLOOKUP(AY$1,DATA!$A$3:$F$301,3,FALSE)-VLOOKUP($A89,DATA!$A$3:$F$301,3,FALSE))^2),"")</f>
        <v/>
      </c>
      <c r="AZ89" s="14" t="str">
        <f>_xlfn.IFNA(SQRT((VLOOKUP(AZ$1,DATA!$A$3:$F$301,2,FALSE)-VLOOKUP($A89,DATA!$A$3:$F$301,2,FALSE))^2+(VLOOKUP(AZ$1,DATA!$A$3:$F$301,3,FALSE)-VLOOKUP($A89,DATA!$A$3:$F$301,3,FALSE))^2),"")</f>
        <v/>
      </c>
      <c r="BA89" s="14" t="str">
        <f>_xlfn.IFNA(SQRT((VLOOKUP(BA$1,DATA!$A$3:$F$301,2,FALSE)-VLOOKUP($A89,DATA!$A$3:$F$301,2,FALSE))^2+(VLOOKUP(BA$1,DATA!$A$3:$F$301,3,FALSE)-VLOOKUP($A89,DATA!$A$3:$F$301,3,FALSE))^2),"")</f>
        <v/>
      </c>
      <c r="BB89" s="14" t="str">
        <f>_xlfn.IFNA(SQRT((VLOOKUP(BB$1,DATA!$A$3:$F$301,2,FALSE)-VLOOKUP($A89,DATA!$A$3:$F$301,2,FALSE))^2+(VLOOKUP(BB$1,DATA!$A$3:$F$301,3,FALSE)-VLOOKUP($A89,DATA!$A$3:$F$301,3,FALSE))^2),"")</f>
        <v/>
      </c>
      <c r="BC89" s="14" t="str">
        <f>_xlfn.IFNA(SQRT((VLOOKUP(BC$1,DATA!$A$3:$F$301,2,FALSE)-VLOOKUP($A89,DATA!$A$3:$F$301,2,FALSE))^2+(VLOOKUP(BC$1,DATA!$A$3:$F$301,3,FALSE)-VLOOKUP($A89,DATA!$A$3:$F$301,3,FALSE))^2),"")</f>
        <v/>
      </c>
      <c r="BD89" s="14" t="str">
        <f>_xlfn.IFNA(SQRT((VLOOKUP(BD$1,DATA!$A$3:$F$301,2,FALSE)-VLOOKUP($A89,DATA!$A$3:$F$301,2,FALSE))^2+(VLOOKUP(BD$1,DATA!$A$3:$F$301,3,FALSE)-VLOOKUP($A89,DATA!$A$3:$F$301,3,FALSE))^2),"")</f>
        <v/>
      </c>
      <c r="BE89" s="14" t="str">
        <f>_xlfn.IFNA(SQRT((VLOOKUP(BE$1,DATA!$A$3:$F$301,2,FALSE)-VLOOKUP($A89,DATA!$A$3:$F$301,2,FALSE))^2+(VLOOKUP(BE$1,DATA!$A$3:$F$301,3,FALSE)-VLOOKUP($A89,DATA!$A$3:$F$301,3,FALSE))^2),"")</f>
        <v/>
      </c>
      <c r="BF89" s="14" t="str">
        <f>_xlfn.IFNA(SQRT((VLOOKUP(BF$1,DATA!$A$3:$F$301,2,FALSE)-VLOOKUP($A89,DATA!$A$3:$F$301,2,FALSE))^2+(VLOOKUP(BF$1,DATA!$A$3:$F$301,3,FALSE)-VLOOKUP($A89,DATA!$A$3:$F$301,3,FALSE))^2),"")</f>
        <v/>
      </c>
      <c r="BG89" s="14" t="str">
        <f>_xlfn.IFNA(SQRT((VLOOKUP(BG$1,DATA!$A$3:$F$301,2,FALSE)-VLOOKUP($A89,DATA!$A$3:$F$301,2,FALSE))^2+(VLOOKUP(BG$1,DATA!$A$3:$F$301,3,FALSE)-VLOOKUP($A89,DATA!$A$3:$F$301,3,FALSE))^2),"")</f>
        <v/>
      </c>
      <c r="BH89" s="14" t="str">
        <f>_xlfn.IFNA(SQRT((VLOOKUP(BH$1,DATA!$A$3:$F$301,2,FALSE)-VLOOKUP($A89,DATA!$A$3:$F$301,2,FALSE))^2+(VLOOKUP(BH$1,DATA!$A$3:$F$301,3,FALSE)-VLOOKUP($A89,DATA!$A$3:$F$301,3,FALSE))^2),"")</f>
        <v/>
      </c>
      <c r="BI89" s="14" t="str">
        <f>_xlfn.IFNA(SQRT((VLOOKUP(BI$1,DATA!$A$3:$F$301,2,FALSE)-VLOOKUP($A89,DATA!$A$3:$F$301,2,FALSE))^2+(VLOOKUP(BI$1,DATA!$A$3:$F$301,3,FALSE)-VLOOKUP($A89,DATA!$A$3:$F$301,3,FALSE))^2),"")</f>
        <v/>
      </c>
      <c r="BJ89" s="14" t="str">
        <f>_xlfn.IFNA(SQRT((VLOOKUP(BJ$1,DATA!$A$3:$F$301,2,FALSE)-VLOOKUP($A89,DATA!$A$3:$F$301,2,FALSE))^2+(VLOOKUP(BJ$1,DATA!$A$3:$F$301,3,FALSE)-VLOOKUP($A89,DATA!$A$3:$F$301,3,FALSE))^2),"")</f>
        <v/>
      </c>
      <c r="BK89" s="14" t="str">
        <f>_xlfn.IFNA(SQRT((VLOOKUP(BK$1,DATA!$A$3:$F$301,2,FALSE)-VLOOKUP($A89,DATA!$A$3:$F$301,2,FALSE))^2+(VLOOKUP(BK$1,DATA!$A$3:$F$301,3,FALSE)-VLOOKUP($A89,DATA!$A$3:$F$301,3,FALSE))^2),"")</f>
        <v/>
      </c>
      <c r="BL89" s="14" t="str">
        <f>_xlfn.IFNA(SQRT((VLOOKUP(BL$1,DATA!$A$3:$F$301,2,FALSE)-VLOOKUP($A89,DATA!$A$3:$F$301,2,FALSE))^2+(VLOOKUP(BL$1,DATA!$A$3:$F$301,3,FALSE)-VLOOKUP($A89,DATA!$A$3:$F$301,3,FALSE))^2),"")</f>
        <v/>
      </c>
      <c r="BM89" s="14" t="str">
        <f>_xlfn.IFNA(SQRT((VLOOKUP(BM$1,DATA!$A$3:$F$301,2,FALSE)-VLOOKUP($A89,DATA!$A$3:$F$301,2,FALSE))^2+(VLOOKUP(BM$1,DATA!$A$3:$F$301,3,FALSE)-VLOOKUP($A89,DATA!$A$3:$F$301,3,FALSE))^2),"")</f>
        <v/>
      </c>
      <c r="BN89" s="14" t="str">
        <f>_xlfn.IFNA(SQRT((VLOOKUP(BN$1,DATA!$A$3:$F$301,2,FALSE)-VLOOKUP($A89,DATA!$A$3:$F$301,2,FALSE))^2+(VLOOKUP(BN$1,DATA!$A$3:$F$301,3,FALSE)-VLOOKUP($A89,DATA!$A$3:$F$301,3,FALSE))^2),"")</f>
        <v/>
      </c>
      <c r="BO89" s="14" t="str">
        <f>_xlfn.IFNA(SQRT((VLOOKUP(BO$1,DATA!$A$3:$F$301,2,FALSE)-VLOOKUP($A89,DATA!$A$3:$F$301,2,FALSE))^2+(VLOOKUP(BO$1,DATA!$A$3:$F$301,3,FALSE)-VLOOKUP($A89,DATA!$A$3:$F$301,3,FALSE))^2),"")</f>
        <v/>
      </c>
      <c r="BP89" s="14" t="str">
        <f>_xlfn.IFNA(SQRT((VLOOKUP(BP$1,DATA!$A$3:$F$301,2,FALSE)-VLOOKUP($A89,DATA!$A$3:$F$301,2,FALSE))^2+(VLOOKUP(BP$1,DATA!$A$3:$F$301,3,FALSE)-VLOOKUP($A89,DATA!$A$3:$F$301,3,FALSE))^2),"")</f>
        <v/>
      </c>
      <c r="BQ89" s="14" t="str">
        <f>_xlfn.IFNA(SQRT((VLOOKUP(BQ$1,DATA!$A$3:$F$301,2,FALSE)-VLOOKUP($A89,DATA!$A$3:$F$301,2,FALSE))^2+(VLOOKUP(BQ$1,DATA!$A$3:$F$301,3,FALSE)-VLOOKUP($A89,DATA!$A$3:$F$301,3,FALSE))^2),"")</f>
        <v/>
      </c>
      <c r="BR89" s="14" t="str">
        <f>_xlfn.IFNA(SQRT((VLOOKUP(BR$1,DATA!$A$3:$F$301,2,FALSE)-VLOOKUP($A89,DATA!$A$3:$F$301,2,FALSE))^2+(VLOOKUP(BR$1,DATA!$A$3:$F$301,3,FALSE)-VLOOKUP($A89,DATA!$A$3:$F$301,3,FALSE))^2),"")</f>
        <v/>
      </c>
      <c r="BS89" s="14" t="str">
        <f>_xlfn.IFNA(SQRT((VLOOKUP(BS$1,DATA!$A$3:$F$301,2,FALSE)-VLOOKUP($A89,DATA!$A$3:$F$301,2,FALSE))^2+(VLOOKUP(BS$1,DATA!$A$3:$F$301,3,FALSE)-VLOOKUP($A89,DATA!$A$3:$F$301,3,FALSE))^2),"")</f>
        <v/>
      </c>
      <c r="BT89" s="14" t="str">
        <f>_xlfn.IFNA(SQRT((VLOOKUP(BT$1,DATA!$A$3:$F$301,2,FALSE)-VLOOKUP($A89,DATA!$A$3:$F$301,2,FALSE))^2+(VLOOKUP(BT$1,DATA!$A$3:$F$301,3,FALSE)-VLOOKUP($A89,DATA!$A$3:$F$301,3,FALSE))^2),"")</f>
        <v/>
      </c>
      <c r="BU89" s="14" t="str">
        <f>_xlfn.IFNA(SQRT((VLOOKUP(BU$1,DATA!$A$3:$F$301,2,FALSE)-VLOOKUP($A89,DATA!$A$3:$F$301,2,FALSE))^2+(VLOOKUP(BU$1,DATA!$A$3:$F$301,3,FALSE)-VLOOKUP($A89,DATA!$A$3:$F$301,3,FALSE))^2),"")</f>
        <v/>
      </c>
      <c r="BV89" s="14" t="str">
        <f>_xlfn.IFNA(SQRT((VLOOKUP(BV$1,DATA!$A$3:$F$301,2,FALSE)-VLOOKUP($A89,DATA!$A$3:$F$301,2,FALSE))^2+(VLOOKUP(BV$1,DATA!$A$3:$F$301,3,FALSE)-VLOOKUP($A89,DATA!$A$3:$F$301,3,FALSE))^2),"")</f>
        <v/>
      </c>
      <c r="BW89" s="14" t="str">
        <f>_xlfn.IFNA(SQRT((VLOOKUP(BW$1,DATA!$A$3:$F$301,2,FALSE)-VLOOKUP($A89,DATA!$A$3:$F$301,2,FALSE))^2+(VLOOKUP(BW$1,DATA!$A$3:$F$301,3,FALSE)-VLOOKUP($A89,DATA!$A$3:$F$301,3,FALSE))^2),"")</f>
        <v/>
      </c>
      <c r="BX89" s="14" t="str">
        <f>_xlfn.IFNA(SQRT((VLOOKUP(BX$1,DATA!$A$3:$F$301,2,FALSE)-VLOOKUP($A89,DATA!$A$3:$F$301,2,FALSE))^2+(VLOOKUP(BX$1,DATA!$A$3:$F$301,3,FALSE)-VLOOKUP($A89,DATA!$A$3:$F$301,3,FALSE))^2),"")</f>
        <v/>
      </c>
      <c r="BY89" s="14" t="str">
        <f>_xlfn.IFNA(SQRT((VLOOKUP(BY$1,DATA!$A$3:$F$301,2,FALSE)-VLOOKUP($A89,DATA!$A$3:$F$301,2,FALSE))^2+(VLOOKUP(BY$1,DATA!$A$3:$F$301,3,FALSE)-VLOOKUP($A89,DATA!$A$3:$F$301,3,FALSE))^2),"")</f>
        <v/>
      </c>
      <c r="BZ89" s="14" t="str">
        <f>_xlfn.IFNA(SQRT((VLOOKUP(BZ$1,DATA!$A$3:$F$301,2,FALSE)-VLOOKUP($A89,DATA!$A$3:$F$301,2,FALSE))^2+(VLOOKUP(BZ$1,DATA!$A$3:$F$301,3,FALSE)-VLOOKUP($A89,DATA!$A$3:$F$301,3,FALSE))^2),"")</f>
        <v/>
      </c>
      <c r="CA89" s="14" t="str">
        <f>_xlfn.IFNA(SQRT((VLOOKUP(CA$1,DATA!$A$3:$F$301,2,FALSE)-VLOOKUP($A89,DATA!$A$3:$F$301,2,FALSE))^2+(VLOOKUP(CA$1,DATA!$A$3:$F$301,3,FALSE)-VLOOKUP($A89,DATA!$A$3:$F$301,3,FALSE))^2),"")</f>
        <v/>
      </c>
      <c r="CB89" s="14" t="str">
        <f>_xlfn.IFNA(SQRT((VLOOKUP(CB$1,DATA!$A$3:$F$301,2,FALSE)-VLOOKUP($A89,DATA!$A$3:$F$301,2,FALSE))^2+(VLOOKUP(CB$1,DATA!$A$3:$F$301,3,FALSE)-VLOOKUP($A89,DATA!$A$3:$F$301,3,FALSE))^2),"")</f>
        <v/>
      </c>
      <c r="CC89" s="14" t="str">
        <f>_xlfn.IFNA(SQRT((VLOOKUP(CC$1,DATA!$A$3:$F$301,2,FALSE)-VLOOKUP($A89,DATA!$A$3:$F$301,2,FALSE))^2+(VLOOKUP(CC$1,DATA!$A$3:$F$301,3,FALSE)-VLOOKUP($A89,DATA!$A$3:$F$301,3,FALSE))^2),"")</f>
        <v/>
      </c>
      <c r="CD89" s="14" t="str">
        <f>_xlfn.IFNA(SQRT((VLOOKUP(CD$1,DATA!$A$3:$F$301,2,FALSE)-VLOOKUP($A89,DATA!$A$3:$F$301,2,FALSE))^2+(VLOOKUP(CD$1,DATA!$A$3:$F$301,3,FALSE)-VLOOKUP($A89,DATA!$A$3:$F$301,3,FALSE))^2),"")</f>
        <v/>
      </c>
      <c r="CE89" s="14" t="str">
        <f>_xlfn.IFNA(SQRT((VLOOKUP(CE$1,DATA!$A$3:$F$301,2,FALSE)-VLOOKUP($A89,DATA!$A$3:$F$301,2,FALSE))^2+(VLOOKUP(CE$1,DATA!$A$3:$F$301,3,FALSE)-VLOOKUP($A89,DATA!$A$3:$F$301,3,FALSE))^2),"")</f>
        <v/>
      </c>
      <c r="CF89" s="14" t="str">
        <f>_xlfn.IFNA(SQRT((VLOOKUP(CF$1,DATA!$A$3:$F$301,2,FALSE)-VLOOKUP($A89,DATA!$A$3:$F$301,2,FALSE))^2+(VLOOKUP(CF$1,DATA!$A$3:$F$301,3,FALSE)-VLOOKUP($A89,DATA!$A$3:$F$301,3,FALSE))^2),"")</f>
        <v/>
      </c>
      <c r="CG89" s="14" t="str">
        <f>_xlfn.IFNA(SQRT((VLOOKUP(CG$1,DATA!$A$3:$F$301,2,FALSE)-VLOOKUP($A89,DATA!$A$3:$F$301,2,FALSE))^2+(VLOOKUP(CG$1,DATA!$A$3:$F$301,3,FALSE)-VLOOKUP($A89,DATA!$A$3:$F$301,3,FALSE))^2),"")</f>
        <v/>
      </c>
      <c r="CH89" s="14" t="str">
        <f>_xlfn.IFNA(SQRT((VLOOKUP(CH$1,DATA!$A$3:$F$301,2,FALSE)-VLOOKUP($A89,DATA!$A$3:$F$301,2,FALSE))^2+(VLOOKUP(CH$1,DATA!$A$3:$F$301,3,FALSE)-VLOOKUP($A89,DATA!$A$3:$F$301,3,FALSE))^2),"")</f>
        <v/>
      </c>
      <c r="CI89" s="14" t="str">
        <f>_xlfn.IFNA(SQRT((VLOOKUP(CI$1,DATA!$A$3:$F$301,2,FALSE)-VLOOKUP($A89,DATA!$A$3:$F$301,2,FALSE))^2+(VLOOKUP(CI$1,DATA!$A$3:$F$301,3,FALSE)-VLOOKUP($A89,DATA!$A$3:$F$301,3,FALSE))^2),"")</f>
        <v/>
      </c>
      <c r="CJ89" s="14" t="str">
        <f>_xlfn.IFNA(SQRT((VLOOKUP(CJ$1,DATA!$A$3:$F$301,2,FALSE)-VLOOKUP($A89,DATA!$A$3:$F$301,2,FALSE))^2+(VLOOKUP(CJ$1,DATA!$A$3:$F$301,3,FALSE)-VLOOKUP($A89,DATA!$A$3:$F$301,3,FALSE))^2),"")</f>
        <v/>
      </c>
      <c r="CK89" s="14" t="str">
        <f>_xlfn.IFNA(SQRT((VLOOKUP(CK$1,DATA!$A$3:$F$301,2,FALSE)-VLOOKUP($A89,DATA!$A$3:$F$301,2,FALSE))^2+(VLOOKUP(CK$1,DATA!$A$3:$F$301,3,FALSE)-VLOOKUP($A89,DATA!$A$3:$F$301,3,FALSE))^2),"")</f>
        <v/>
      </c>
      <c r="CL89" s="14" t="str">
        <f>_xlfn.IFNA(SQRT((VLOOKUP(CL$1,DATA!$A$3:$F$301,2,FALSE)-VLOOKUP($A89,DATA!$A$3:$F$301,2,FALSE))^2+(VLOOKUP(CL$1,DATA!$A$3:$F$301,3,FALSE)-VLOOKUP($A89,DATA!$A$3:$F$301,3,FALSE))^2),"")</f>
        <v/>
      </c>
      <c r="CM89" s="14" t="str">
        <f>_xlfn.IFNA(SQRT((VLOOKUP(CM$1,DATA!$A$3:$F$301,2,FALSE)-VLOOKUP($A89,DATA!$A$3:$F$301,2,FALSE))^2+(VLOOKUP(CM$1,DATA!$A$3:$F$301,3,FALSE)-VLOOKUP($A89,DATA!$A$3:$F$301,3,FALSE))^2),"")</f>
        <v/>
      </c>
      <c r="CN89" s="14" t="str">
        <f>_xlfn.IFNA(SQRT((VLOOKUP(CN$1,DATA!$A$3:$F$301,2,FALSE)-VLOOKUP($A89,DATA!$A$3:$F$301,2,FALSE))^2+(VLOOKUP(CN$1,DATA!$A$3:$F$301,3,FALSE)-VLOOKUP($A89,DATA!$A$3:$F$301,3,FALSE))^2),"")</f>
        <v/>
      </c>
      <c r="CO89" s="14" t="str">
        <f>_xlfn.IFNA(SQRT((VLOOKUP(CO$1,DATA!$A$3:$F$301,2,FALSE)-VLOOKUP($A89,DATA!$A$3:$F$301,2,FALSE))^2+(VLOOKUP(CO$1,DATA!$A$3:$F$301,3,FALSE)-VLOOKUP($A89,DATA!$A$3:$F$301,3,FALSE))^2),"")</f>
        <v/>
      </c>
      <c r="CP89" s="14" t="str">
        <f>_xlfn.IFNA(SQRT((VLOOKUP(CP$1,DATA!$A$3:$F$301,2,FALSE)-VLOOKUP($A89,DATA!$A$3:$F$301,2,FALSE))^2+(VLOOKUP(CP$1,DATA!$A$3:$F$301,3,FALSE)-VLOOKUP($A89,DATA!$A$3:$F$301,3,FALSE))^2),"")</f>
        <v/>
      </c>
      <c r="CQ89" s="14" t="str">
        <f>_xlfn.IFNA(SQRT((VLOOKUP(CQ$1,DATA!$A$3:$F$301,2,FALSE)-VLOOKUP($A89,DATA!$A$3:$F$301,2,FALSE))^2+(VLOOKUP(CQ$1,DATA!$A$3:$F$301,3,FALSE)-VLOOKUP($A89,DATA!$A$3:$F$301,3,FALSE))^2),"")</f>
        <v/>
      </c>
      <c r="CR89" s="14" t="str">
        <f>_xlfn.IFNA(SQRT((VLOOKUP(CR$1,DATA!$A$3:$F$301,2,FALSE)-VLOOKUP($A89,DATA!$A$3:$F$301,2,FALSE))^2+(VLOOKUP(CR$1,DATA!$A$3:$F$301,3,FALSE)-VLOOKUP($A89,DATA!$A$3:$F$301,3,FALSE))^2),"")</f>
        <v/>
      </c>
      <c r="CS89" s="14" t="str">
        <f>_xlfn.IFNA(SQRT((VLOOKUP(CS$1,DATA!$A$3:$F$301,2,FALSE)-VLOOKUP($A89,DATA!$A$3:$F$301,2,FALSE))^2+(VLOOKUP(CS$1,DATA!$A$3:$F$301,3,FALSE)-VLOOKUP($A89,DATA!$A$3:$F$301,3,FALSE))^2),"")</f>
        <v/>
      </c>
      <c r="CT89" s="14" t="str">
        <f>_xlfn.IFNA(SQRT((VLOOKUP(CT$1,DATA!$A$3:$F$301,2,FALSE)-VLOOKUP($A89,DATA!$A$3:$F$301,2,FALSE))^2+(VLOOKUP(CT$1,DATA!$A$3:$F$301,3,FALSE)-VLOOKUP($A89,DATA!$A$3:$F$301,3,FALSE))^2),"")</f>
        <v/>
      </c>
      <c r="CU89" s="14" t="str">
        <f>_xlfn.IFNA(SQRT((VLOOKUP(CU$1,DATA!$A$3:$F$301,2,FALSE)-VLOOKUP($A89,DATA!$A$3:$F$301,2,FALSE))^2+(VLOOKUP(CU$1,DATA!$A$3:$F$301,3,FALSE)-VLOOKUP($A89,DATA!$A$3:$F$301,3,FALSE))^2),"")</f>
        <v/>
      </c>
      <c r="CV89" s="14" t="str">
        <f>_xlfn.IFNA(SQRT((VLOOKUP(CV$1,DATA!$A$3:$F$301,2,FALSE)-VLOOKUP($A89,DATA!$A$3:$F$301,2,FALSE))^2+(VLOOKUP(CV$1,DATA!$A$3:$F$301,3,FALSE)-VLOOKUP($A89,DATA!$A$3:$F$301,3,FALSE))^2),"")</f>
        <v/>
      </c>
      <c r="CW89" s="14" t="str">
        <f>_xlfn.IFNA(SQRT((VLOOKUP(CW$1,DATA!$A$3:$F$301,2,FALSE)-VLOOKUP($A89,DATA!$A$3:$F$301,2,FALSE))^2+(VLOOKUP(CW$1,DATA!$A$3:$F$301,3,FALSE)-VLOOKUP($A89,DATA!$A$3:$F$301,3,FALSE))^2),"")</f>
        <v/>
      </c>
      <c r="CX89" s="14" t="str">
        <f>_xlfn.IFNA(SQRT((VLOOKUP(CX$1,DATA!$A$3:$F$301,2,FALSE)-VLOOKUP($A89,DATA!$A$3:$F$301,2,FALSE))^2+(VLOOKUP(CX$1,DATA!$A$3:$F$301,3,FALSE)-VLOOKUP($A89,DATA!$A$3:$F$301,3,FALSE))^2),"")</f>
        <v/>
      </c>
    </row>
    <row r="90" spans="1:102">
      <c r="A90" s="13">
        <v>89</v>
      </c>
      <c r="B90" s="14" t="str">
        <f>_xlfn.IFNA(SQRT((VLOOKUP(B$1,DATA!$A$3:$F$301,2,FALSE)-VLOOKUP($A90,DATA!$A$3:$F$301,2,FALSE))^2+(VLOOKUP(B$1,DATA!$A$3:$F$301,3,FALSE)-VLOOKUP($A90,DATA!$A$3:$F$301,3,FALSE))^2),"")</f>
        <v/>
      </c>
      <c r="C90" s="14" t="str">
        <f>_xlfn.IFNA(SQRT((VLOOKUP(C$1,DATA!$A$3:$F$301,2,FALSE)-VLOOKUP($A90,DATA!$A$3:$F$301,2,FALSE))^2+(VLOOKUP(C$1,DATA!$A$3:$F$301,3,FALSE)-VLOOKUP($A90,DATA!$A$3:$F$301,3,FALSE))^2),"")</f>
        <v/>
      </c>
      <c r="D90" s="14" t="str">
        <f>_xlfn.IFNA(SQRT((VLOOKUP(D$1,DATA!$A$3:$F$301,2,FALSE)-VLOOKUP($A90,DATA!$A$3:$F$301,2,FALSE))^2+(VLOOKUP(D$1,DATA!$A$3:$F$301,3,FALSE)-VLOOKUP($A90,DATA!$A$3:$F$301,3,FALSE))^2),"")</f>
        <v/>
      </c>
      <c r="E90" s="14" t="str">
        <f>_xlfn.IFNA(SQRT((VLOOKUP(E$1,DATA!$A$3:$F$301,2,FALSE)-VLOOKUP($A90,DATA!$A$3:$F$301,2,FALSE))^2+(VLOOKUP(E$1,DATA!$A$3:$F$301,3,FALSE)-VLOOKUP($A90,DATA!$A$3:$F$301,3,FALSE))^2),"")</f>
        <v/>
      </c>
      <c r="F90" s="14" t="str">
        <f>_xlfn.IFNA(SQRT((VLOOKUP(F$1,DATA!$A$3:$F$301,2,FALSE)-VLOOKUP($A90,DATA!$A$3:$F$301,2,FALSE))^2+(VLOOKUP(F$1,DATA!$A$3:$F$301,3,FALSE)-VLOOKUP($A90,DATA!$A$3:$F$301,3,FALSE))^2),"")</f>
        <v/>
      </c>
      <c r="G90" s="14" t="str">
        <f>_xlfn.IFNA(SQRT((VLOOKUP(G$1,DATA!$A$3:$F$301,2,FALSE)-VLOOKUP($A90,DATA!$A$3:$F$301,2,FALSE))^2+(VLOOKUP(G$1,DATA!$A$3:$F$301,3,FALSE)-VLOOKUP($A90,DATA!$A$3:$F$301,3,FALSE))^2),"")</f>
        <v/>
      </c>
      <c r="H90" s="14" t="str">
        <f>_xlfn.IFNA(SQRT((VLOOKUP(H$1,DATA!$A$3:$F$301,2,FALSE)-VLOOKUP($A90,DATA!$A$3:$F$301,2,FALSE))^2+(VLOOKUP(H$1,DATA!$A$3:$F$301,3,FALSE)-VLOOKUP($A90,DATA!$A$3:$F$301,3,FALSE))^2),"")</f>
        <v/>
      </c>
      <c r="I90" s="14" t="str">
        <f>_xlfn.IFNA(SQRT((VLOOKUP(I$1,DATA!$A$3:$F$301,2,FALSE)-VLOOKUP($A90,DATA!$A$3:$F$301,2,FALSE))^2+(VLOOKUP(I$1,DATA!$A$3:$F$301,3,FALSE)-VLOOKUP($A90,DATA!$A$3:$F$301,3,FALSE))^2),"")</f>
        <v/>
      </c>
      <c r="J90" s="14" t="str">
        <f>_xlfn.IFNA(SQRT((VLOOKUP(J$1,DATA!$A$3:$F$301,2,FALSE)-VLOOKUP($A90,DATA!$A$3:$F$301,2,FALSE))^2+(VLOOKUP(J$1,DATA!$A$3:$F$301,3,FALSE)-VLOOKUP($A90,DATA!$A$3:$F$301,3,FALSE))^2),"")</f>
        <v/>
      </c>
      <c r="K90" s="14" t="str">
        <f>_xlfn.IFNA(SQRT((VLOOKUP(K$1,DATA!$A$3:$F$301,2,FALSE)-VLOOKUP($A90,DATA!$A$3:$F$301,2,FALSE))^2+(VLOOKUP(K$1,DATA!$A$3:$F$301,3,FALSE)-VLOOKUP($A90,DATA!$A$3:$F$301,3,FALSE))^2),"")</f>
        <v/>
      </c>
      <c r="L90" s="14" t="str">
        <f>_xlfn.IFNA(SQRT((VLOOKUP(L$1,DATA!$A$3:$F$301,2,FALSE)-VLOOKUP($A90,DATA!$A$3:$F$301,2,FALSE))^2+(VLOOKUP(L$1,DATA!$A$3:$F$301,3,FALSE)-VLOOKUP($A90,DATA!$A$3:$F$301,3,FALSE))^2),"")</f>
        <v/>
      </c>
      <c r="M90" s="14" t="str">
        <f>_xlfn.IFNA(SQRT((VLOOKUP(M$1,DATA!$A$3:$F$301,2,FALSE)-VLOOKUP($A90,DATA!$A$3:$F$301,2,FALSE))^2+(VLOOKUP(M$1,DATA!$A$3:$F$301,3,FALSE)-VLOOKUP($A90,DATA!$A$3:$F$301,3,FALSE))^2),"")</f>
        <v/>
      </c>
      <c r="N90" s="14" t="str">
        <f>_xlfn.IFNA(SQRT((VLOOKUP(N$1,DATA!$A$3:$F$301,2,FALSE)-VLOOKUP($A90,DATA!$A$3:$F$301,2,FALSE))^2+(VLOOKUP(N$1,DATA!$A$3:$F$301,3,FALSE)-VLOOKUP($A90,DATA!$A$3:$F$301,3,FALSE))^2),"")</f>
        <v/>
      </c>
      <c r="O90" s="14" t="str">
        <f>_xlfn.IFNA(SQRT((VLOOKUP(O$1,DATA!$A$3:$F$301,2,FALSE)-VLOOKUP($A90,DATA!$A$3:$F$301,2,FALSE))^2+(VLOOKUP(O$1,DATA!$A$3:$F$301,3,FALSE)-VLOOKUP($A90,DATA!$A$3:$F$301,3,FALSE))^2),"")</f>
        <v/>
      </c>
      <c r="P90" s="14" t="str">
        <f>_xlfn.IFNA(SQRT((VLOOKUP(P$1,DATA!$A$3:$F$301,2,FALSE)-VLOOKUP($A90,DATA!$A$3:$F$301,2,FALSE))^2+(VLOOKUP(P$1,DATA!$A$3:$F$301,3,FALSE)-VLOOKUP($A90,DATA!$A$3:$F$301,3,FALSE))^2),"")</f>
        <v/>
      </c>
      <c r="Q90" s="14" t="str">
        <f>_xlfn.IFNA(SQRT((VLOOKUP(Q$1,DATA!$A$3:$F$301,2,FALSE)-VLOOKUP($A90,DATA!$A$3:$F$301,2,FALSE))^2+(VLOOKUP(Q$1,DATA!$A$3:$F$301,3,FALSE)-VLOOKUP($A90,DATA!$A$3:$F$301,3,FALSE))^2),"")</f>
        <v/>
      </c>
      <c r="R90" s="14" t="str">
        <f>_xlfn.IFNA(SQRT((VLOOKUP(R$1,DATA!$A$3:$F$301,2,FALSE)-VLOOKUP($A90,DATA!$A$3:$F$301,2,FALSE))^2+(VLOOKUP(R$1,DATA!$A$3:$F$301,3,FALSE)-VLOOKUP($A90,DATA!$A$3:$F$301,3,FALSE))^2),"")</f>
        <v/>
      </c>
      <c r="S90" s="14" t="str">
        <f>_xlfn.IFNA(SQRT((VLOOKUP(S$1,DATA!$A$3:$F$301,2,FALSE)-VLOOKUP($A90,DATA!$A$3:$F$301,2,FALSE))^2+(VLOOKUP(S$1,DATA!$A$3:$F$301,3,FALSE)-VLOOKUP($A90,DATA!$A$3:$F$301,3,FALSE))^2),"")</f>
        <v/>
      </c>
      <c r="T90" s="14" t="str">
        <f>_xlfn.IFNA(SQRT((VLOOKUP(T$1,DATA!$A$3:$F$301,2,FALSE)-VLOOKUP($A90,DATA!$A$3:$F$301,2,FALSE))^2+(VLOOKUP(T$1,DATA!$A$3:$F$301,3,FALSE)-VLOOKUP($A90,DATA!$A$3:$F$301,3,FALSE))^2),"")</f>
        <v/>
      </c>
      <c r="U90" s="14" t="str">
        <f>_xlfn.IFNA(SQRT((VLOOKUP(U$1,DATA!$A$3:$F$301,2,FALSE)-VLOOKUP($A90,DATA!$A$3:$F$301,2,FALSE))^2+(VLOOKUP(U$1,DATA!$A$3:$F$301,3,FALSE)-VLOOKUP($A90,DATA!$A$3:$F$301,3,FALSE))^2),"")</f>
        <v/>
      </c>
      <c r="V90" s="14" t="str">
        <f>_xlfn.IFNA(SQRT((VLOOKUP(V$1,DATA!$A$3:$F$301,2,FALSE)-VLOOKUP($A90,DATA!$A$3:$F$301,2,FALSE))^2+(VLOOKUP(V$1,DATA!$A$3:$F$301,3,FALSE)-VLOOKUP($A90,DATA!$A$3:$F$301,3,FALSE))^2),"")</f>
        <v/>
      </c>
      <c r="W90" s="14" t="str">
        <f>_xlfn.IFNA(SQRT((VLOOKUP(W$1,DATA!$A$3:$F$301,2,FALSE)-VLOOKUP($A90,DATA!$A$3:$F$301,2,FALSE))^2+(VLOOKUP(W$1,DATA!$A$3:$F$301,3,FALSE)-VLOOKUP($A90,DATA!$A$3:$F$301,3,FALSE))^2),"")</f>
        <v/>
      </c>
      <c r="X90" s="14" t="str">
        <f>_xlfn.IFNA(SQRT((VLOOKUP(X$1,DATA!$A$3:$F$301,2,FALSE)-VLOOKUP($A90,DATA!$A$3:$F$301,2,FALSE))^2+(VLOOKUP(X$1,DATA!$A$3:$F$301,3,FALSE)-VLOOKUP($A90,DATA!$A$3:$F$301,3,FALSE))^2),"")</f>
        <v/>
      </c>
      <c r="Y90" s="14" t="str">
        <f>_xlfn.IFNA(SQRT((VLOOKUP(Y$1,DATA!$A$3:$F$301,2,FALSE)-VLOOKUP($A90,DATA!$A$3:$F$301,2,FALSE))^2+(VLOOKUP(Y$1,DATA!$A$3:$F$301,3,FALSE)-VLOOKUP($A90,DATA!$A$3:$F$301,3,FALSE))^2),"")</f>
        <v/>
      </c>
      <c r="Z90" s="14" t="str">
        <f>_xlfn.IFNA(SQRT((VLOOKUP(Z$1,DATA!$A$3:$F$301,2,FALSE)-VLOOKUP($A90,DATA!$A$3:$F$301,2,FALSE))^2+(VLOOKUP(Z$1,DATA!$A$3:$F$301,3,FALSE)-VLOOKUP($A90,DATA!$A$3:$F$301,3,FALSE))^2),"")</f>
        <v/>
      </c>
      <c r="AA90" s="14" t="str">
        <f>_xlfn.IFNA(SQRT((VLOOKUP(AA$1,DATA!$A$3:$F$301,2,FALSE)-VLOOKUP($A90,DATA!$A$3:$F$301,2,FALSE))^2+(VLOOKUP(AA$1,DATA!$A$3:$F$301,3,FALSE)-VLOOKUP($A90,DATA!$A$3:$F$301,3,FALSE))^2),"")</f>
        <v/>
      </c>
      <c r="AB90" s="14" t="str">
        <f>_xlfn.IFNA(SQRT((VLOOKUP(AB$1,DATA!$A$3:$F$301,2,FALSE)-VLOOKUP($A90,DATA!$A$3:$F$301,2,FALSE))^2+(VLOOKUP(AB$1,DATA!$A$3:$F$301,3,FALSE)-VLOOKUP($A90,DATA!$A$3:$F$301,3,FALSE))^2),"")</f>
        <v/>
      </c>
      <c r="AC90" s="14" t="str">
        <f>_xlfn.IFNA(SQRT((VLOOKUP(AC$1,DATA!$A$3:$F$301,2,FALSE)-VLOOKUP($A90,DATA!$A$3:$F$301,2,FALSE))^2+(VLOOKUP(AC$1,DATA!$A$3:$F$301,3,FALSE)-VLOOKUP($A90,DATA!$A$3:$F$301,3,FALSE))^2),"")</f>
        <v/>
      </c>
      <c r="AD90" s="14" t="str">
        <f>_xlfn.IFNA(SQRT((VLOOKUP(AD$1,DATA!$A$3:$F$301,2,FALSE)-VLOOKUP($A90,DATA!$A$3:$F$301,2,FALSE))^2+(VLOOKUP(AD$1,DATA!$A$3:$F$301,3,FALSE)-VLOOKUP($A90,DATA!$A$3:$F$301,3,FALSE))^2),"")</f>
        <v/>
      </c>
      <c r="AE90" s="14" t="str">
        <f>_xlfn.IFNA(SQRT((VLOOKUP(AE$1,DATA!$A$3:$F$301,2,FALSE)-VLOOKUP($A90,DATA!$A$3:$F$301,2,FALSE))^2+(VLOOKUP(AE$1,DATA!$A$3:$F$301,3,FALSE)-VLOOKUP($A90,DATA!$A$3:$F$301,3,FALSE))^2),"")</f>
        <v/>
      </c>
      <c r="AF90" s="14" t="str">
        <f>_xlfn.IFNA(SQRT((VLOOKUP(AF$1,DATA!$A$3:$F$301,2,FALSE)-VLOOKUP($A90,DATA!$A$3:$F$301,2,FALSE))^2+(VLOOKUP(AF$1,DATA!$A$3:$F$301,3,FALSE)-VLOOKUP($A90,DATA!$A$3:$F$301,3,FALSE))^2),"")</f>
        <v/>
      </c>
      <c r="AG90" s="14" t="str">
        <f>_xlfn.IFNA(SQRT((VLOOKUP(AG$1,DATA!$A$3:$F$301,2,FALSE)-VLOOKUP($A90,DATA!$A$3:$F$301,2,FALSE))^2+(VLOOKUP(AG$1,DATA!$A$3:$F$301,3,FALSE)-VLOOKUP($A90,DATA!$A$3:$F$301,3,FALSE))^2),"")</f>
        <v/>
      </c>
      <c r="AH90" s="14" t="str">
        <f>_xlfn.IFNA(SQRT((VLOOKUP(AH$1,DATA!$A$3:$F$301,2,FALSE)-VLOOKUP($A90,DATA!$A$3:$F$301,2,FALSE))^2+(VLOOKUP(AH$1,DATA!$A$3:$F$301,3,FALSE)-VLOOKUP($A90,DATA!$A$3:$F$301,3,FALSE))^2),"")</f>
        <v/>
      </c>
      <c r="AI90" s="14" t="str">
        <f>_xlfn.IFNA(SQRT((VLOOKUP(AI$1,DATA!$A$3:$F$301,2,FALSE)-VLOOKUP($A90,DATA!$A$3:$F$301,2,FALSE))^2+(VLOOKUP(AI$1,DATA!$A$3:$F$301,3,FALSE)-VLOOKUP($A90,DATA!$A$3:$F$301,3,FALSE))^2),"")</f>
        <v/>
      </c>
      <c r="AJ90" s="14" t="str">
        <f>_xlfn.IFNA(SQRT((VLOOKUP(AJ$1,DATA!$A$3:$F$301,2,FALSE)-VLOOKUP($A90,DATA!$A$3:$F$301,2,FALSE))^2+(VLOOKUP(AJ$1,DATA!$A$3:$F$301,3,FALSE)-VLOOKUP($A90,DATA!$A$3:$F$301,3,FALSE))^2),"")</f>
        <v/>
      </c>
      <c r="AK90" s="14" t="str">
        <f>_xlfn.IFNA(SQRT((VLOOKUP(AK$1,DATA!$A$3:$F$301,2,FALSE)-VLOOKUP($A90,DATA!$A$3:$F$301,2,FALSE))^2+(VLOOKUP(AK$1,DATA!$A$3:$F$301,3,FALSE)-VLOOKUP($A90,DATA!$A$3:$F$301,3,FALSE))^2),"")</f>
        <v/>
      </c>
      <c r="AL90" s="14" t="str">
        <f>_xlfn.IFNA(SQRT((VLOOKUP(AL$1,DATA!$A$3:$F$301,2,FALSE)-VLOOKUP($A90,DATA!$A$3:$F$301,2,FALSE))^2+(VLOOKUP(AL$1,DATA!$A$3:$F$301,3,FALSE)-VLOOKUP($A90,DATA!$A$3:$F$301,3,FALSE))^2),"")</f>
        <v/>
      </c>
      <c r="AM90" s="14" t="str">
        <f>_xlfn.IFNA(SQRT((VLOOKUP(AM$1,DATA!$A$3:$F$301,2,FALSE)-VLOOKUP($A90,DATA!$A$3:$F$301,2,FALSE))^2+(VLOOKUP(AM$1,DATA!$A$3:$F$301,3,FALSE)-VLOOKUP($A90,DATA!$A$3:$F$301,3,FALSE))^2),"")</f>
        <v/>
      </c>
      <c r="AN90" s="14" t="str">
        <f>_xlfn.IFNA(SQRT((VLOOKUP(AN$1,DATA!$A$3:$F$301,2,FALSE)-VLOOKUP($A90,DATA!$A$3:$F$301,2,FALSE))^2+(VLOOKUP(AN$1,DATA!$A$3:$F$301,3,FALSE)-VLOOKUP($A90,DATA!$A$3:$F$301,3,FALSE))^2),"")</f>
        <v/>
      </c>
      <c r="AO90" s="14" t="str">
        <f>_xlfn.IFNA(SQRT((VLOOKUP(AO$1,DATA!$A$3:$F$301,2,FALSE)-VLOOKUP($A90,DATA!$A$3:$F$301,2,FALSE))^2+(VLOOKUP(AO$1,DATA!$A$3:$F$301,3,FALSE)-VLOOKUP($A90,DATA!$A$3:$F$301,3,FALSE))^2),"")</f>
        <v/>
      </c>
      <c r="AP90" s="14" t="str">
        <f>_xlfn.IFNA(SQRT((VLOOKUP(AP$1,DATA!$A$3:$F$301,2,FALSE)-VLOOKUP($A90,DATA!$A$3:$F$301,2,FALSE))^2+(VLOOKUP(AP$1,DATA!$A$3:$F$301,3,FALSE)-VLOOKUP($A90,DATA!$A$3:$F$301,3,FALSE))^2),"")</f>
        <v/>
      </c>
      <c r="AQ90" s="14" t="str">
        <f>_xlfn.IFNA(SQRT((VLOOKUP(AQ$1,DATA!$A$3:$F$301,2,FALSE)-VLOOKUP($A90,DATA!$A$3:$F$301,2,FALSE))^2+(VLOOKUP(AQ$1,DATA!$A$3:$F$301,3,FALSE)-VLOOKUP($A90,DATA!$A$3:$F$301,3,FALSE))^2),"")</f>
        <v/>
      </c>
      <c r="AR90" s="14" t="str">
        <f>_xlfn.IFNA(SQRT((VLOOKUP(AR$1,DATA!$A$3:$F$301,2,FALSE)-VLOOKUP($A90,DATA!$A$3:$F$301,2,FALSE))^2+(VLOOKUP(AR$1,DATA!$A$3:$F$301,3,FALSE)-VLOOKUP($A90,DATA!$A$3:$F$301,3,FALSE))^2),"")</f>
        <v/>
      </c>
      <c r="AS90" s="14" t="str">
        <f>_xlfn.IFNA(SQRT((VLOOKUP(AS$1,DATA!$A$3:$F$301,2,FALSE)-VLOOKUP($A90,DATA!$A$3:$F$301,2,FALSE))^2+(VLOOKUP(AS$1,DATA!$A$3:$F$301,3,FALSE)-VLOOKUP($A90,DATA!$A$3:$F$301,3,FALSE))^2),"")</f>
        <v/>
      </c>
      <c r="AT90" s="14" t="str">
        <f>_xlfn.IFNA(SQRT((VLOOKUP(AT$1,DATA!$A$3:$F$301,2,FALSE)-VLOOKUP($A90,DATA!$A$3:$F$301,2,FALSE))^2+(VLOOKUP(AT$1,DATA!$A$3:$F$301,3,FALSE)-VLOOKUP($A90,DATA!$A$3:$F$301,3,FALSE))^2),"")</f>
        <v/>
      </c>
      <c r="AU90" s="14" t="str">
        <f>_xlfn.IFNA(SQRT((VLOOKUP(AU$1,DATA!$A$3:$F$301,2,FALSE)-VLOOKUP($A90,DATA!$A$3:$F$301,2,FALSE))^2+(VLOOKUP(AU$1,DATA!$A$3:$F$301,3,FALSE)-VLOOKUP($A90,DATA!$A$3:$F$301,3,FALSE))^2),"")</f>
        <v/>
      </c>
      <c r="AV90" s="14" t="str">
        <f>_xlfn.IFNA(SQRT((VLOOKUP(AV$1,DATA!$A$3:$F$301,2,FALSE)-VLOOKUP($A90,DATA!$A$3:$F$301,2,FALSE))^2+(VLOOKUP(AV$1,DATA!$A$3:$F$301,3,FALSE)-VLOOKUP($A90,DATA!$A$3:$F$301,3,FALSE))^2),"")</f>
        <v/>
      </c>
      <c r="AW90" s="14" t="str">
        <f>_xlfn.IFNA(SQRT((VLOOKUP(AW$1,DATA!$A$3:$F$301,2,FALSE)-VLOOKUP($A90,DATA!$A$3:$F$301,2,FALSE))^2+(VLOOKUP(AW$1,DATA!$A$3:$F$301,3,FALSE)-VLOOKUP($A90,DATA!$A$3:$F$301,3,FALSE))^2),"")</f>
        <v/>
      </c>
      <c r="AX90" s="14" t="str">
        <f>_xlfn.IFNA(SQRT((VLOOKUP(AX$1,DATA!$A$3:$F$301,2,FALSE)-VLOOKUP($A90,DATA!$A$3:$F$301,2,FALSE))^2+(VLOOKUP(AX$1,DATA!$A$3:$F$301,3,FALSE)-VLOOKUP($A90,DATA!$A$3:$F$301,3,FALSE))^2),"")</f>
        <v/>
      </c>
      <c r="AY90" s="14" t="str">
        <f>_xlfn.IFNA(SQRT((VLOOKUP(AY$1,DATA!$A$3:$F$301,2,FALSE)-VLOOKUP($A90,DATA!$A$3:$F$301,2,FALSE))^2+(VLOOKUP(AY$1,DATA!$A$3:$F$301,3,FALSE)-VLOOKUP($A90,DATA!$A$3:$F$301,3,FALSE))^2),"")</f>
        <v/>
      </c>
      <c r="AZ90" s="14" t="str">
        <f>_xlfn.IFNA(SQRT((VLOOKUP(AZ$1,DATA!$A$3:$F$301,2,FALSE)-VLOOKUP($A90,DATA!$A$3:$F$301,2,FALSE))^2+(VLOOKUP(AZ$1,DATA!$A$3:$F$301,3,FALSE)-VLOOKUP($A90,DATA!$A$3:$F$301,3,FALSE))^2),"")</f>
        <v/>
      </c>
      <c r="BA90" s="14" t="str">
        <f>_xlfn.IFNA(SQRT((VLOOKUP(BA$1,DATA!$A$3:$F$301,2,FALSE)-VLOOKUP($A90,DATA!$A$3:$F$301,2,FALSE))^2+(VLOOKUP(BA$1,DATA!$A$3:$F$301,3,FALSE)-VLOOKUP($A90,DATA!$A$3:$F$301,3,FALSE))^2),"")</f>
        <v/>
      </c>
      <c r="BB90" s="14" t="str">
        <f>_xlfn.IFNA(SQRT((VLOOKUP(BB$1,DATA!$A$3:$F$301,2,FALSE)-VLOOKUP($A90,DATA!$A$3:$F$301,2,FALSE))^2+(VLOOKUP(BB$1,DATA!$A$3:$F$301,3,FALSE)-VLOOKUP($A90,DATA!$A$3:$F$301,3,FALSE))^2),"")</f>
        <v/>
      </c>
      <c r="BC90" s="14" t="str">
        <f>_xlfn.IFNA(SQRT((VLOOKUP(BC$1,DATA!$A$3:$F$301,2,FALSE)-VLOOKUP($A90,DATA!$A$3:$F$301,2,FALSE))^2+(VLOOKUP(BC$1,DATA!$A$3:$F$301,3,FALSE)-VLOOKUP($A90,DATA!$A$3:$F$301,3,FALSE))^2),"")</f>
        <v/>
      </c>
      <c r="BD90" s="14" t="str">
        <f>_xlfn.IFNA(SQRT((VLOOKUP(BD$1,DATA!$A$3:$F$301,2,FALSE)-VLOOKUP($A90,DATA!$A$3:$F$301,2,FALSE))^2+(VLOOKUP(BD$1,DATA!$A$3:$F$301,3,FALSE)-VLOOKUP($A90,DATA!$A$3:$F$301,3,FALSE))^2),"")</f>
        <v/>
      </c>
      <c r="BE90" s="14" t="str">
        <f>_xlfn.IFNA(SQRT((VLOOKUP(BE$1,DATA!$A$3:$F$301,2,FALSE)-VLOOKUP($A90,DATA!$A$3:$F$301,2,FALSE))^2+(VLOOKUP(BE$1,DATA!$A$3:$F$301,3,FALSE)-VLOOKUP($A90,DATA!$A$3:$F$301,3,FALSE))^2),"")</f>
        <v/>
      </c>
      <c r="BF90" s="14" t="str">
        <f>_xlfn.IFNA(SQRT((VLOOKUP(BF$1,DATA!$A$3:$F$301,2,FALSE)-VLOOKUP($A90,DATA!$A$3:$F$301,2,FALSE))^2+(VLOOKUP(BF$1,DATA!$A$3:$F$301,3,FALSE)-VLOOKUP($A90,DATA!$A$3:$F$301,3,FALSE))^2),"")</f>
        <v/>
      </c>
      <c r="BG90" s="14" t="str">
        <f>_xlfn.IFNA(SQRT((VLOOKUP(BG$1,DATA!$A$3:$F$301,2,FALSE)-VLOOKUP($A90,DATA!$A$3:$F$301,2,FALSE))^2+(VLOOKUP(BG$1,DATA!$A$3:$F$301,3,FALSE)-VLOOKUP($A90,DATA!$A$3:$F$301,3,FALSE))^2),"")</f>
        <v/>
      </c>
      <c r="BH90" s="14" t="str">
        <f>_xlfn.IFNA(SQRT((VLOOKUP(BH$1,DATA!$A$3:$F$301,2,FALSE)-VLOOKUP($A90,DATA!$A$3:$F$301,2,FALSE))^2+(VLOOKUP(BH$1,DATA!$A$3:$F$301,3,FALSE)-VLOOKUP($A90,DATA!$A$3:$F$301,3,FALSE))^2),"")</f>
        <v/>
      </c>
      <c r="BI90" s="14" t="str">
        <f>_xlfn.IFNA(SQRT((VLOOKUP(BI$1,DATA!$A$3:$F$301,2,FALSE)-VLOOKUP($A90,DATA!$A$3:$F$301,2,FALSE))^2+(VLOOKUP(BI$1,DATA!$A$3:$F$301,3,FALSE)-VLOOKUP($A90,DATA!$A$3:$F$301,3,FALSE))^2),"")</f>
        <v/>
      </c>
      <c r="BJ90" s="14" t="str">
        <f>_xlfn.IFNA(SQRT((VLOOKUP(BJ$1,DATA!$A$3:$F$301,2,FALSE)-VLOOKUP($A90,DATA!$A$3:$F$301,2,FALSE))^2+(VLOOKUP(BJ$1,DATA!$A$3:$F$301,3,FALSE)-VLOOKUP($A90,DATA!$A$3:$F$301,3,FALSE))^2),"")</f>
        <v/>
      </c>
      <c r="BK90" s="14" t="str">
        <f>_xlfn.IFNA(SQRT((VLOOKUP(BK$1,DATA!$A$3:$F$301,2,FALSE)-VLOOKUP($A90,DATA!$A$3:$F$301,2,FALSE))^2+(VLOOKUP(BK$1,DATA!$A$3:$F$301,3,FALSE)-VLOOKUP($A90,DATA!$A$3:$F$301,3,FALSE))^2),"")</f>
        <v/>
      </c>
      <c r="BL90" s="14" t="str">
        <f>_xlfn.IFNA(SQRT((VLOOKUP(BL$1,DATA!$A$3:$F$301,2,FALSE)-VLOOKUP($A90,DATA!$A$3:$F$301,2,FALSE))^2+(VLOOKUP(BL$1,DATA!$A$3:$F$301,3,FALSE)-VLOOKUP($A90,DATA!$A$3:$F$301,3,FALSE))^2),"")</f>
        <v/>
      </c>
      <c r="BM90" s="14" t="str">
        <f>_xlfn.IFNA(SQRT((VLOOKUP(BM$1,DATA!$A$3:$F$301,2,FALSE)-VLOOKUP($A90,DATA!$A$3:$F$301,2,FALSE))^2+(VLOOKUP(BM$1,DATA!$A$3:$F$301,3,FALSE)-VLOOKUP($A90,DATA!$A$3:$F$301,3,FALSE))^2),"")</f>
        <v/>
      </c>
      <c r="BN90" s="14" t="str">
        <f>_xlfn.IFNA(SQRT((VLOOKUP(BN$1,DATA!$A$3:$F$301,2,FALSE)-VLOOKUP($A90,DATA!$A$3:$F$301,2,FALSE))^2+(VLOOKUP(BN$1,DATA!$A$3:$F$301,3,FALSE)-VLOOKUP($A90,DATA!$A$3:$F$301,3,FALSE))^2),"")</f>
        <v/>
      </c>
      <c r="BO90" s="14" t="str">
        <f>_xlfn.IFNA(SQRT((VLOOKUP(BO$1,DATA!$A$3:$F$301,2,FALSE)-VLOOKUP($A90,DATA!$A$3:$F$301,2,FALSE))^2+(VLOOKUP(BO$1,DATA!$A$3:$F$301,3,FALSE)-VLOOKUP($A90,DATA!$A$3:$F$301,3,FALSE))^2),"")</f>
        <v/>
      </c>
      <c r="BP90" s="14" t="str">
        <f>_xlfn.IFNA(SQRT((VLOOKUP(BP$1,DATA!$A$3:$F$301,2,FALSE)-VLOOKUP($A90,DATA!$A$3:$F$301,2,FALSE))^2+(VLOOKUP(BP$1,DATA!$A$3:$F$301,3,FALSE)-VLOOKUP($A90,DATA!$A$3:$F$301,3,FALSE))^2),"")</f>
        <v/>
      </c>
      <c r="BQ90" s="14" t="str">
        <f>_xlfn.IFNA(SQRT((VLOOKUP(BQ$1,DATA!$A$3:$F$301,2,FALSE)-VLOOKUP($A90,DATA!$A$3:$F$301,2,FALSE))^2+(VLOOKUP(BQ$1,DATA!$A$3:$F$301,3,FALSE)-VLOOKUP($A90,DATA!$A$3:$F$301,3,FALSE))^2),"")</f>
        <v/>
      </c>
      <c r="BR90" s="14" t="str">
        <f>_xlfn.IFNA(SQRT((VLOOKUP(BR$1,DATA!$A$3:$F$301,2,FALSE)-VLOOKUP($A90,DATA!$A$3:$F$301,2,FALSE))^2+(VLOOKUP(BR$1,DATA!$A$3:$F$301,3,FALSE)-VLOOKUP($A90,DATA!$A$3:$F$301,3,FALSE))^2),"")</f>
        <v/>
      </c>
      <c r="BS90" s="14" t="str">
        <f>_xlfn.IFNA(SQRT((VLOOKUP(BS$1,DATA!$A$3:$F$301,2,FALSE)-VLOOKUP($A90,DATA!$A$3:$F$301,2,FALSE))^2+(VLOOKUP(BS$1,DATA!$A$3:$F$301,3,FALSE)-VLOOKUP($A90,DATA!$A$3:$F$301,3,FALSE))^2),"")</f>
        <v/>
      </c>
      <c r="BT90" s="14" t="str">
        <f>_xlfn.IFNA(SQRT((VLOOKUP(BT$1,DATA!$A$3:$F$301,2,FALSE)-VLOOKUP($A90,DATA!$A$3:$F$301,2,FALSE))^2+(VLOOKUP(BT$1,DATA!$A$3:$F$301,3,FALSE)-VLOOKUP($A90,DATA!$A$3:$F$301,3,FALSE))^2),"")</f>
        <v/>
      </c>
      <c r="BU90" s="14" t="str">
        <f>_xlfn.IFNA(SQRT((VLOOKUP(BU$1,DATA!$A$3:$F$301,2,FALSE)-VLOOKUP($A90,DATA!$A$3:$F$301,2,FALSE))^2+(VLOOKUP(BU$1,DATA!$A$3:$F$301,3,FALSE)-VLOOKUP($A90,DATA!$A$3:$F$301,3,FALSE))^2),"")</f>
        <v/>
      </c>
      <c r="BV90" s="14" t="str">
        <f>_xlfn.IFNA(SQRT((VLOOKUP(BV$1,DATA!$A$3:$F$301,2,FALSE)-VLOOKUP($A90,DATA!$A$3:$F$301,2,FALSE))^2+(VLOOKUP(BV$1,DATA!$A$3:$F$301,3,FALSE)-VLOOKUP($A90,DATA!$A$3:$F$301,3,FALSE))^2),"")</f>
        <v/>
      </c>
      <c r="BW90" s="14" t="str">
        <f>_xlfn.IFNA(SQRT((VLOOKUP(BW$1,DATA!$A$3:$F$301,2,FALSE)-VLOOKUP($A90,DATA!$A$3:$F$301,2,FALSE))^2+(VLOOKUP(BW$1,DATA!$A$3:$F$301,3,FALSE)-VLOOKUP($A90,DATA!$A$3:$F$301,3,FALSE))^2),"")</f>
        <v/>
      </c>
      <c r="BX90" s="14" t="str">
        <f>_xlfn.IFNA(SQRT((VLOOKUP(BX$1,DATA!$A$3:$F$301,2,FALSE)-VLOOKUP($A90,DATA!$A$3:$F$301,2,FALSE))^2+(VLOOKUP(BX$1,DATA!$A$3:$F$301,3,FALSE)-VLOOKUP($A90,DATA!$A$3:$F$301,3,FALSE))^2),"")</f>
        <v/>
      </c>
      <c r="BY90" s="14" t="str">
        <f>_xlfn.IFNA(SQRT((VLOOKUP(BY$1,DATA!$A$3:$F$301,2,FALSE)-VLOOKUP($A90,DATA!$A$3:$F$301,2,FALSE))^2+(VLOOKUP(BY$1,DATA!$A$3:$F$301,3,FALSE)-VLOOKUP($A90,DATA!$A$3:$F$301,3,FALSE))^2),"")</f>
        <v/>
      </c>
      <c r="BZ90" s="14" t="str">
        <f>_xlfn.IFNA(SQRT((VLOOKUP(BZ$1,DATA!$A$3:$F$301,2,FALSE)-VLOOKUP($A90,DATA!$A$3:$F$301,2,FALSE))^2+(VLOOKUP(BZ$1,DATA!$A$3:$F$301,3,FALSE)-VLOOKUP($A90,DATA!$A$3:$F$301,3,FALSE))^2),"")</f>
        <v/>
      </c>
      <c r="CA90" s="14" t="str">
        <f>_xlfn.IFNA(SQRT((VLOOKUP(CA$1,DATA!$A$3:$F$301,2,FALSE)-VLOOKUP($A90,DATA!$A$3:$F$301,2,FALSE))^2+(VLOOKUP(CA$1,DATA!$A$3:$F$301,3,FALSE)-VLOOKUP($A90,DATA!$A$3:$F$301,3,FALSE))^2),"")</f>
        <v/>
      </c>
      <c r="CB90" s="14" t="str">
        <f>_xlfn.IFNA(SQRT((VLOOKUP(CB$1,DATA!$A$3:$F$301,2,FALSE)-VLOOKUP($A90,DATA!$A$3:$F$301,2,FALSE))^2+(VLOOKUP(CB$1,DATA!$A$3:$F$301,3,FALSE)-VLOOKUP($A90,DATA!$A$3:$F$301,3,FALSE))^2),"")</f>
        <v/>
      </c>
      <c r="CC90" s="14" t="str">
        <f>_xlfn.IFNA(SQRT((VLOOKUP(CC$1,DATA!$A$3:$F$301,2,FALSE)-VLOOKUP($A90,DATA!$A$3:$F$301,2,FALSE))^2+(VLOOKUP(CC$1,DATA!$A$3:$F$301,3,FALSE)-VLOOKUP($A90,DATA!$A$3:$F$301,3,FALSE))^2),"")</f>
        <v/>
      </c>
      <c r="CD90" s="14" t="str">
        <f>_xlfn.IFNA(SQRT((VLOOKUP(CD$1,DATA!$A$3:$F$301,2,FALSE)-VLOOKUP($A90,DATA!$A$3:$F$301,2,FALSE))^2+(VLOOKUP(CD$1,DATA!$A$3:$F$301,3,FALSE)-VLOOKUP($A90,DATA!$A$3:$F$301,3,FALSE))^2),"")</f>
        <v/>
      </c>
      <c r="CE90" s="14" t="str">
        <f>_xlfn.IFNA(SQRT((VLOOKUP(CE$1,DATA!$A$3:$F$301,2,FALSE)-VLOOKUP($A90,DATA!$A$3:$F$301,2,FALSE))^2+(VLOOKUP(CE$1,DATA!$A$3:$F$301,3,FALSE)-VLOOKUP($A90,DATA!$A$3:$F$301,3,FALSE))^2),"")</f>
        <v/>
      </c>
      <c r="CF90" s="14" t="str">
        <f>_xlfn.IFNA(SQRT((VLOOKUP(CF$1,DATA!$A$3:$F$301,2,FALSE)-VLOOKUP($A90,DATA!$A$3:$F$301,2,FALSE))^2+(VLOOKUP(CF$1,DATA!$A$3:$F$301,3,FALSE)-VLOOKUP($A90,DATA!$A$3:$F$301,3,FALSE))^2),"")</f>
        <v/>
      </c>
      <c r="CG90" s="14" t="str">
        <f>_xlfn.IFNA(SQRT((VLOOKUP(CG$1,DATA!$A$3:$F$301,2,FALSE)-VLOOKUP($A90,DATA!$A$3:$F$301,2,FALSE))^2+(VLOOKUP(CG$1,DATA!$A$3:$F$301,3,FALSE)-VLOOKUP($A90,DATA!$A$3:$F$301,3,FALSE))^2),"")</f>
        <v/>
      </c>
      <c r="CH90" s="14" t="str">
        <f>_xlfn.IFNA(SQRT((VLOOKUP(CH$1,DATA!$A$3:$F$301,2,FALSE)-VLOOKUP($A90,DATA!$A$3:$F$301,2,FALSE))^2+(VLOOKUP(CH$1,DATA!$A$3:$F$301,3,FALSE)-VLOOKUP($A90,DATA!$A$3:$F$301,3,FALSE))^2),"")</f>
        <v/>
      </c>
      <c r="CI90" s="14" t="str">
        <f>_xlfn.IFNA(SQRT((VLOOKUP(CI$1,DATA!$A$3:$F$301,2,FALSE)-VLOOKUP($A90,DATA!$A$3:$F$301,2,FALSE))^2+(VLOOKUP(CI$1,DATA!$A$3:$F$301,3,FALSE)-VLOOKUP($A90,DATA!$A$3:$F$301,3,FALSE))^2),"")</f>
        <v/>
      </c>
      <c r="CJ90" s="14" t="str">
        <f>_xlfn.IFNA(SQRT((VLOOKUP(CJ$1,DATA!$A$3:$F$301,2,FALSE)-VLOOKUP($A90,DATA!$A$3:$F$301,2,FALSE))^2+(VLOOKUP(CJ$1,DATA!$A$3:$F$301,3,FALSE)-VLOOKUP($A90,DATA!$A$3:$F$301,3,FALSE))^2),"")</f>
        <v/>
      </c>
      <c r="CK90" s="14" t="str">
        <f>_xlfn.IFNA(SQRT((VLOOKUP(CK$1,DATA!$A$3:$F$301,2,FALSE)-VLOOKUP($A90,DATA!$A$3:$F$301,2,FALSE))^2+(VLOOKUP(CK$1,DATA!$A$3:$F$301,3,FALSE)-VLOOKUP($A90,DATA!$A$3:$F$301,3,FALSE))^2),"")</f>
        <v/>
      </c>
      <c r="CL90" s="14" t="str">
        <f>_xlfn.IFNA(SQRT((VLOOKUP(CL$1,DATA!$A$3:$F$301,2,FALSE)-VLOOKUP($A90,DATA!$A$3:$F$301,2,FALSE))^2+(VLOOKUP(CL$1,DATA!$A$3:$F$301,3,FALSE)-VLOOKUP($A90,DATA!$A$3:$F$301,3,FALSE))^2),"")</f>
        <v/>
      </c>
      <c r="CM90" s="14" t="str">
        <f>_xlfn.IFNA(SQRT((VLOOKUP(CM$1,DATA!$A$3:$F$301,2,FALSE)-VLOOKUP($A90,DATA!$A$3:$F$301,2,FALSE))^2+(VLOOKUP(CM$1,DATA!$A$3:$F$301,3,FALSE)-VLOOKUP($A90,DATA!$A$3:$F$301,3,FALSE))^2),"")</f>
        <v/>
      </c>
      <c r="CN90" s="14" t="str">
        <f>_xlfn.IFNA(SQRT((VLOOKUP(CN$1,DATA!$A$3:$F$301,2,FALSE)-VLOOKUP($A90,DATA!$A$3:$F$301,2,FALSE))^2+(VLOOKUP(CN$1,DATA!$A$3:$F$301,3,FALSE)-VLOOKUP($A90,DATA!$A$3:$F$301,3,FALSE))^2),"")</f>
        <v/>
      </c>
      <c r="CO90" s="14" t="str">
        <f>_xlfn.IFNA(SQRT((VLOOKUP(CO$1,DATA!$A$3:$F$301,2,FALSE)-VLOOKUP($A90,DATA!$A$3:$F$301,2,FALSE))^2+(VLOOKUP(CO$1,DATA!$A$3:$F$301,3,FALSE)-VLOOKUP($A90,DATA!$A$3:$F$301,3,FALSE))^2),"")</f>
        <v/>
      </c>
      <c r="CP90" s="14" t="str">
        <f>_xlfn.IFNA(SQRT((VLOOKUP(CP$1,DATA!$A$3:$F$301,2,FALSE)-VLOOKUP($A90,DATA!$A$3:$F$301,2,FALSE))^2+(VLOOKUP(CP$1,DATA!$A$3:$F$301,3,FALSE)-VLOOKUP($A90,DATA!$A$3:$F$301,3,FALSE))^2),"")</f>
        <v/>
      </c>
      <c r="CQ90" s="14" t="str">
        <f>_xlfn.IFNA(SQRT((VLOOKUP(CQ$1,DATA!$A$3:$F$301,2,FALSE)-VLOOKUP($A90,DATA!$A$3:$F$301,2,FALSE))^2+(VLOOKUP(CQ$1,DATA!$A$3:$F$301,3,FALSE)-VLOOKUP($A90,DATA!$A$3:$F$301,3,FALSE))^2),"")</f>
        <v/>
      </c>
      <c r="CR90" s="14" t="str">
        <f>_xlfn.IFNA(SQRT((VLOOKUP(CR$1,DATA!$A$3:$F$301,2,FALSE)-VLOOKUP($A90,DATA!$A$3:$F$301,2,FALSE))^2+(VLOOKUP(CR$1,DATA!$A$3:$F$301,3,FALSE)-VLOOKUP($A90,DATA!$A$3:$F$301,3,FALSE))^2),"")</f>
        <v/>
      </c>
      <c r="CS90" s="14" t="str">
        <f>_xlfn.IFNA(SQRT((VLOOKUP(CS$1,DATA!$A$3:$F$301,2,FALSE)-VLOOKUP($A90,DATA!$A$3:$F$301,2,FALSE))^2+(VLOOKUP(CS$1,DATA!$A$3:$F$301,3,FALSE)-VLOOKUP($A90,DATA!$A$3:$F$301,3,FALSE))^2),"")</f>
        <v/>
      </c>
      <c r="CT90" s="14" t="str">
        <f>_xlfn.IFNA(SQRT((VLOOKUP(CT$1,DATA!$A$3:$F$301,2,FALSE)-VLOOKUP($A90,DATA!$A$3:$F$301,2,FALSE))^2+(VLOOKUP(CT$1,DATA!$A$3:$F$301,3,FALSE)-VLOOKUP($A90,DATA!$A$3:$F$301,3,FALSE))^2),"")</f>
        <v/>
      </c>
      <c r="CU90" s="14" t="str">
        <f>_xlfn.IFNA(SQRT((VLOOKUP(CU$1,DATA!$A$3:$F$301,2,FALSE)-VLOOKUP($A90,DATA!$A$3:$F$301,2,FALSE))^2+(VLOOKUP(CU$1,DATA!$A$3:$F$301,3,FALSE)-VLOOKUP($A90,DATA!$A$3:$F$301,3,FALSE))^2),"")</f>
        <v/>
      </c>
      <c r="CV90" s="14" t="str">
        <f>_xlfn.IFNA(SQRT((VLOOKUP(CV$1,DATA!$A$3:$F$301,2,FALSE)-VLOOKUP($A90,DATA!$A$3:$F$301,2,FALSE))^2+(VLOOKUP(CV$1,DATA!$A$3:$F$301,3,FALSE)-VLOOKUP($A90,DATA!$A$3:$F$301,3,FALSE))^2),"")</f>
        <v/>
      </c>
      <c r="CW90" s="14" t="str">
        <f>_xlfn.IFNA(SQRT((VLOOKUP(CW$1,DATA!$A$3:$F$301,2,FALSE)-VLOOKUP($A90,DATA!$A$3:$F$301,2,FALSE))^2+(VLOOKUP(CW$1,DATA!$A$3:$F$301,3,FALSE)-VLOOKUP($A90,DATA!$A$3:$F$301,3,FALSE))^2),"")</f>
        <v/>
      </c>
      <c r="CX90" s="14" t="str">
        <f>_xlfn.IFNA(SQRT((VLOOKUP(CX$1,DATA!$A$3:$F$301,2,FALSE)-VLOOKUP($A90,DATA!$A$3:$F$301,2,FALSE))^2+(VLOOKUP(CX$1,DATA!$A$3:$F$301,3,FALSE)-VLOOKUP($A90,DATA!$A$3:$F$301,3,FALSE))^2),"")</f>
        <v/>
      </c>
    </row>
    <row r="91" spans="1:102">
      <c r="A91" s="13">
        <v>90</v>
      </c>
      <c r="B91" s="14" t="str">
        <f>_xlfn.IFNA(SQRT((VLOOKUP(B$1,DATA!$A$3:$F$301,2,FALSE)-VLOOKUP($A91,DATA!$A$3:$F$301,2,FALSE))^2+(VLOOKUP(B$1,DATA!$A$3:$F$301,3,FALSE)-VLOOKUP($A91,DATA!$A$3:$F$301,3,FALSE))^2),"")</f>
        <v/>
      </c>
      <c r="C91" s="14" t="str">
        <f>_xlfn.IFNA(SQRT((VLOOKUP(C$1,DATA!$A$3:$F$301,2,FALSE)-VLOOKUP($A91,DATA!$A$3:$F$301,2,FALSE))^2+(VLOOKUP(C$1,DATA!$A$3:$F$301,3,FALSE)-VLOOKUP($A91,DATA!$A$3:$F$301,3,FALSE))^2),"")</f>
        <v/>
      </c>
      <c r="D91" s="14" t="str">
        <f>_xlfn.IFNA(SQRT((VLOOKUP(D$1,DATA!$A$3:$F$301,2,FALSE)-VLOOKUP($A91,DATA!$A$3:$F$301,2,FALSE))^2+(VLOOKUP(D$1,DATA!$A$3:$F$301,3,FALSE)-VLOOKUP($A91,DATA!$A$3:$F$301,3,FALSE))^2),"")</f>
        <v/>
      </c>
      <c r="E91" s="14" t="str">
        <f>_xlfn.IFNA(SQRT((VLOOKUP(E$1,DATA!$A$3:$F$301,2,FALSE)-VLOOKUP($A91,DATA!$A$3:$F$301,2,FALSE))^2+(VLOOKUP(E$1,DATA!$A$3:$F$301,3,FALSE)-VLOOKUP($A91,DATA!$A$3:$F$301,3,FALSE))^2),"")</f>
        <v/>
      </c>
      <c r="F91" s="14" t="str">
        <f>_xlfn.IFNA(SQRT((VLOOKUP(F$1,DATA!$A$3:$F$301,2,FALSE)-VLOOKUP($A91,DATA!$A$3:$F$301,2,FALSE))^2+(VLOOKUP(F$1,DATA!$A$3:$F$301,3,FALSE)-VLOOKUP($A91,DATA!$A$3:$F$301,3,FALSE))^2),"")</f>
        <v/>
      </c>
      <c r="G91" s="14" t="str">
        <f>_xlfn.IFNA(SQRT((VLOOKUP(G$1,DATA!$A$3:$F$301,2,FALSE)-VLOOKUP($A91,DATA!$A$3:$F$301,2,FALSE))^2+(VLOOKUP(G$1,DATA!$A$3:$F$301,3,FALSE)-VLOOKUP($A91,DATA!$A$3:$F$301,3,FALSE))^2),"")</f>
        <v/>
      </c>
      <c r="H91" s="14" t="str">
        <f>_xlfn.IFNA(SQRT((VLOOKUP(H$1,DATA!$A$3:$F$301,2,FALSE)-VLOOKUP($A91,DATA!$A$3:$F$301,2,FALSE))^2+(VLOOKUP(H$1,DATA!$A$3:$F$301,3,FALSE)-VLOOKUP($A91,DATA!$A$3:$F$301,3,FALSE))^2),"")</f>
        <v/>
      </c>
      <c r="I91" s="14" t="str">
        <f>_xlfn.IFNA(SQRT((VLOOKUP(I$1,DATA!$A$3:$F$301,2,FALSE)-VLOOKUP($A91,DATA!$A$3:$F$301,2,FALSE))^2+(VLOOKUP(I$1,DATA!$A$3:$F$301,3,FALSE)-VLOOKUP($A91,DATA!$A$3:$F$301,3,FALSE))^2),"")</f>
        <v/>
      </c>
      <c r="J91" s="14" t="str">
        <f>_xlfn.IFNA(SQRT((VLOOKUP(J$1,DATA!$A$3:$F$301,2,FALSE)-VLOOKUP($A91,DATA!$A$3:$F$301,2,FALSE))^2+(VLOOKUP(J$1,DATA!$A$3:$F$301,3,FALSE)-VLOOKUP($A91,DATA!$A$3:$F$301,3,FALSE))^2),"")</f>
        <v/>
      </c>
      <c r="K91" s="14" t="str">
        <f>_xlfn.IFNA(SQRT((VLOOKUP(K$1,DATA!$A$3:$F$301,2,FALSE)-VLOOKUP($A91,DATA!$A$3:$F$301,2,FALSE))^2+(VLOOKUP(K$1,DATA!$A$3:$F$301,3,FALSE)-VLOOKUP($A91,DATA!$A$3:$F$301,3,FALSE))^2),"")</f>
        <v/>
      </c>
      <c r="L91" s="14" t="str">
        <f>_xlfn.IFNA(SQRT((VLOOKUP(L$1,DATA!$A$3:$F$301,2,FALSE)-VLOOKUP($A91,DATA!$A$3:$F$301,2,FALSE))^2+(VLOOKUP(L$1,DATA!$A$3:$F$301,3,FALSE)-VLOOKUP($A91,DATA!$A$3:$F$301,3,FALSE))^2),"")</f>
        <v/>
      </c>
      <c r="M91" s="14" t="str">
        <f>_xlfn.IFNA(SQRT((VLOOKUP(M$1,DATA!$A$3:$F$301,2,FALSE)-VLOOKUP($A91,DATA!$A$3:$F$301,2,FALSE))^2+(VLOOKUP(M$1,DATA!$A$3:$F$301,3,FALSE)-VLOOKUP($A91,DATA!$A$3:$F$301,3,FALSE))^2),"")</f>
        <v/>
      </c>
      <c r="N91" s="14" t="str">
        <f>_xlfn.IFNA(SQRT((VLOOKUP(N$1,DATA!$A$3:$F$301,2,FALSE)-VLOOKUP($A91,DATA!$A$3:$F$301,2,FALSE))^2+(VLOOKUP(N$1,DATA!$A$3:$F$301,3,FALSE)-VLOOKUP($A91,DATA!$A$3:$F$301,3,FALSE))^2),"")</f>
        <v/>
      </c>
      <c r="O91" s="14" t="str">
        <f>_xlfn.IFNA(SQRT((VLOOKUP(O$1,DATA!$A$3:$F$301,2,FALSE)-VLOOKUP($A91,DATA!$A$3:$F$301,2,FALSE))^2+(VLOOKUP(O$1,DATA!$A$3:$F$301,3,FALSE)-VLOOKUP($A91,DATA!$A$3:$F$301,3,FALSE))^2),"")</f>
        <v/>
      </c>
      <c r="P91" s="14" t="str">
        <f>_xlfn.IFNA(SQRT((VLOOKUP(P$1,DATA!$A$3:$F$301,2,FALSE)-VLOOKUP($A91,DATA!$A$3:$F$301,2,FALSE))^2+(VLOOKUP(P$1,DATA!$A$3:$F$301,3,FALSE)-VLOOKUP($A91,DATA!$A$3:$F$301,3,FALSE))^2),"")</f>
        <v/>
      </c>
      <c r="Q91" s="14" t="str">
        <f>_xlfn.IFNA(SQRT((VLOOKUP(Q$1,DATA!$A$3:$F$301,2,FALSE)-VLOOKUP($A91,DATA!$A$3:$F$301,2,FALSE))^2+(VLOOKUP(Q$1,DATA!$A$3:$F$301,3,FALSE)-VLOOKUP($A91,DATA!$A$3:$F$301,3,FALSE))^2),"")</f>
        <v/>
      </c>
      <c r="R91" s="14" t="str">
        <f>_xlfn.IFNA(SQRT((VLOOKUP(R$1,DATA!$A$3:$F$301,2,FALSE)-VLOOKUP($A91,DATA!$A$3:$F$301,2,FALSE))^2+(VLOOKUP(R$1,DATA!$A$3:$F$301,3,FALSE)-VLOOKUP($A91,DATA!$A$3:$F$301,3,FALSE))^2),"")</f>
        <v/>
      </c>
      <c r="S91" s="14" t="str">
        <f>_xlfn.IFNA(SQRT((VLOOKUP(S$1,DATA!$A$3:$F$301,2,FALSE)-VLOOKUP($A91,DATA!$A$3:$F$301,2,FALSE))^2+(VLOOKUP(S$1,DATA!$A$3:$F$301,3,FALSE)-VLOOKUP($A91,DATA!$A$3:$F$301,3,FALSE))^2),"")</f>
        <v/>
      </c>
      <c r="T91" s="14" t="str">
        <f>_xlfn.IFNA(SQRT((VLOOKUP(T$1,DATA!$A$3:$F$301,2,FALSE)-VLOOKUP($A91,DATA!$A$3:$F$301,2,FALSE))^2+(VLOOKUP(T$1,DATA!$A$3:$F$301,3,FALSE)-VLOOKUP($A91,DATA!$A$3:$F$301,3,FALSE))^2),"")</f>
        <v/>
      </c>
      <c r="U91" s="14" t="str">
        <f>_xlfn.IFNA(SQRT((VLOOKUP(U$1,DATA!$A$3:$F$301,2,FALSE)-VLOOKUP($A91,DATA!$A$3:$F$301,2,FALSE))^2+(VLOOKUP(U$1,DATA!$A$3:$F$301,3,FALSE)-VLOOKUP($A91,DATA!$A$3:$F$301,3,FALSE))^2),"")</f>
        <v/>
      </c>
      <c r="V91" s="14" t="str">
        <f>_xlfn.IFNA(SQRT((VLOOKUP(V$1,DATA!$A$3:$F$301,2,FALSE)-VLOOKUP($A91,DATA!$A$3:$F$301,2,FALSE))^2+(VLOOKUP(V$1,DATA!$A$3:$F$301,3,FALSE)-VLOOKUP($A91,DATA!$A$3:$F$301,3,FALSE))^2),"")</f>
        <v/>
      </c>
      <c r="W91" s="14" t="str">
        <f>_xlfn.IFNA(SQRT((VLOOKUP(W$1,DATA!$A$3:$F$301,2,FALSE)-VLOOKUP($A91,DATA!$A$3:$F$301,2,FALSE))^2+(VLOOKUP(W$1,DATA!$A$3:$F$301,3,FALSE)-VLOOKUP($A91,DATA!$A$3:$F$301,3,FALSE))^2),"")</f>
        <v/>
      </c>
      <c r="X91" s="14" t="str">
        <f>_xlfn.IFNA(SQRT((VLOOKUP(X$1,DATA!$A$3:$F$301,2,FALSE)-VLOOKUP($A91,DATA!$A$3:$F$301,2,FALSE))^2+(VLOOKUP(X$1,DATA!$A$3:$F$301,3,FALSE)-VLOOKUP($A91,DATA!$A$3:$F$301,3,FALSE))^2),"")</f>
        <v/>
      </c>
      <c r="Y91" s="14" t="str">
        <f>_xlfn.IFNA(SQRT((VLOOKUP(Y$1,DATA!$A$3:$F$301,2,FALSE)-VLOOKUP($A91,DATA!$A$3:$F$301,2,FALSE))^2+(VLOOKUP(Y$1,DATA!$A$3:$F$301,3,FALSE)-VLOOKUP($A91,DATA!$A$3:$F$301,3,FALSE))^2),"")</f>
        <v/>
      </c>
      <c r="Z91" s="14" t="str">
        <f>_xlfn.IFNA(SQRT((VLOOKUP(Z$1,DATA!$A$3:$F$301,2,FALSE)-VLOOKUP($A91,DATA!$A$3:$F$301,2,FALSE))^2+(VLOOKUP(Z$1,DATA!$A$3:$F$301,3,FALSE)-VLOOKUP($A91,DATA!$A$3:$F$301,3,FALSE))^2),"")</f>
        <v/>
      </c>
      <c r="AA91" s="14" t="str">
        <f>_xlfn.IFNA(SQRT((VLOOKUP(AA$1,DATA!$A$3:$F$301,2,FALSE)-VLOOKUP($A91,DATA!$A$3:$F$301,2,FALSE))^2+(VLOOKUP(AA$1,DATA!$A$3:$F$301,3,FALSE)-VLOOKUP($A91,DATA!$A$3:$F$301,3,FALSE))^2),"")</f>
        <v/>
      </c>
      <c r="AB91" s="14" t="str">
        <f>_xlfn.IFNA(SQRT((VLOOKUP(AB$1,DATA!$A$3:$F$301,2,FALSE)-VLOOKUP($A91,DATA!$A$3:$F$301,2,FALSE))^2+(VLOOKUP(AB$1,DATA!$A$3:$F$301,3,FALSE)-VLOOKUP($A91,DATA!$A$3:$F$301,3,FALSE))^2),"")</f>
        <v/>
      </c>
      <c r="AC91" s="14" t="str">
        <f>_xlfn.IFNA(SQRT((VLOOKUP(AC$1,DATA!$A$3:$F$301,2,FALSE)-VLOOKUP($A91,DATA!$A$3:$F$301,2,FALSE))^2+(VLOOKUP(AC$1,DATA!$A$3:$F$301,3,FALSE)-VLOOKUP($A91,DATA!$A$3:$F$301,3,FALSE))^2),"")</f>
        <v/>
      </c>
      <c r="AD91" s="14" t="str">
        <f>_xlfn.IFNA(SQRT((VLOOKUP(AD$1,DATA!$A$3:$F$301,2,FALSE)-VLOOKUP($A91,DATA!$A$3:$F$301,2,FALSE))^2+(VLOOKUP(AD$1,DATA!$A$3:$F$301,3,FALSE)-VLOOKUP($A91,DATA!$A$3:$F$301,3,FALSE))^2),"")</f>
        <v/>
      </c>
      <c r="AE91" s="14" t="str">
        <f>_xlfn.IFNA(SQRT((VLOOKUP(AE$1,DATA!$A$3:$F$301,2,FALSE)-VLOOKUP($A91,DATA!$A$3:$F$301,2,FALSE))^2+(VLOOKUP(AE$1,DATA!$A$3:$F$301,3,FALSE)-VLOOKUP($A91,DATA!$A$3:$F$301,3,FALSE))^2),"")</f>
        <v/>
      </c>
      <c r="AF91" s="14" t="str">
        <f>_xlfn.IFNA(SQRT((VLOOKUP(AF$1,DATA!$A$3:$F$301,2,FALSE)-VLOOKUP($A91,DATA!$A$3:$F$301,2,FALSE))^2+(VLOOKUP(AF$1,DATA!$A$3:$F$301,3,FALSE)-VLOOKUP($A91,DATA!$A$3:$F$301,3,FALSE))^2),"")</f>
        <v/>
      </c>
      <c r="AG91" s="14" t="str">
        <f>_xlfn.IFNA(SQRT((VLOOKUP(AG$1,DATA!$A$3:$F$301,2,FALSE)-VLOOKUP($A91,DATA!$A$3:$F$301,2,FALSE))^2+(VLOOKUP(AG$1,DATA!$A$3:$F$301,3,FALSE)-VLOOKUP($A91,DATA!$A$3:$F$301,3,FALSE))^2),"")</f>
        <v/>
      </c>
      <c r="AH91" s="14" t="str">
        <f>_xlfn.IFNA(SQRT((VLOOKUP(AH$1,DATA!$A$3:$F$301,2,FALSE)-VLOOKUP($A91,DATA!$A$3:$F$301,2,FALSE))^2+(VLOOKUP(AH$1,DATA!$A$3:$F$301,3,FALSE)-VLOOKUP($A91,DATA!$A$3:$F$301,3,FALSE))^2),"")</f>
        <v/>
      </c>
      <c r="AI91" s="14" t="str">
        <f>_xlfn.IFNA(SQRT((VLOOKUP(AI$1,DATA!$A$3:$F$301,2,FALSE)-VLOOKUP($A91,DATA!$A$3:$F$301,2,FALSE))^2+(VLOOKUP(AI$1,DATA!$A$3:$F$301,3,FALSE)-VLOOKUP($A91,DATA!$A$3:$F$301,3,FALSE))^2),"")</f>
        <v/>
      </c>
      <c r="AJ91" s="14" t="str">
        <f>_xlfn.IFNA(SQRT((VLOOKUP(AJ$1,DATA!$A$3:$F$301,2,FALSE)-VLOOKUP($A91,DATA!$A$3:$F$301,2,FALSE))^2+(VLOOKUP(AJ$1,DATA!$A$3:$F$301,3,FALSE)-VLOOKUP($A91,DATA!$A$3:$F$301,3,FALSE))^2),"")</f>
        <v/>
      </c>
      <c r="AK91" s="14" t="str">
        <f>_xlfn.IFNA(SQRT((VLOOKUP(AK$1,DATA!$A$3:$F$301,2,FALSE)-VLOOKUP($A91,DATA!$A$3:$F$301,2,FALSE))^2+(VLOOKUP(AK$1,DATA!$A$3:$F$301,3,FALSE)-VLOOKUP($A91,DATA!$A$3:$F$301,3,FALSE))^2),"")</f>
        <v/>
      </c>
      <c r="AL91" s="14" t="str">
        <f>_xlfn.IFNA(SQRT((VLOOKUP(AL$1,DATA!$A$3:$F$301,2,FALSE)-VLOOKUP($A91,DATA!$A$3:$F$301,2,FALSE))^2+(VLOOKUP(AL$1,DATA!$A$3:$F$301,3,FALSE)-VLOOKUP($A91,DATA!$A$3:$F$301,3,FALSE))^2),"")</f>
        <v/>
      </c>
      <c r="AM91" s="14" t="str">
        <f>_xlfn.IFNA(SQRT((VLOOKUP(AM$1,DATA!$A$3:$F$301,2,FALSE)-VLOOKUP($A91,DATA!$A$3:$F$301,2,FALSE))^2+(VLOOKUP(AM$1,DATA!$A$3:$F$301,3,FALSE)-VLOOKUP($A91,DATA!$A$3:$F$301,3,FALSE))^2),"")</f>
        <v/>
      </c>
      <c r="AN91" s="14" t="str">
        <f>_xlfn.IFNA(SQRT((VLOOKUP(AN$1,DATA!$A$3:$F$301,2,FALSE)-VLOOKUP($A91,DATA!$A$3:$F$301,2,FALSE))^2+(VLOOKUP(AN$1,DATA!$A$3:$F$301,3,FALSE)-VLOOKUP($A91,DATA!$A$3:$F$301,3,FALSE))^2),"")</f>
        <v/>
      </c>
      <c r="AO91" s="14" t="str">
        <f>_xlfn.IFNA(SQRT((VLOOKUP(AO$1,DATA!$A$3:$F$301,2,FALSE)-VLOOKUP($A91,DATA!$A$3:$F$301,2,FALSE))^2+(VLOOKUP(AO$1,DATA!$A$3:$F$301,3,FALSE)-VLOOKUP($A91,DATA!$A$3:$F$301,3,FALSE))^2),"")</f>
        <v/>
      </c>
      <c r="AP91" s="14" t="str">
        <f>_xlfn.IFNA(SQRT((VLOOKUP(AP$1,DATA!$A$3:$F$301,2,FALSE)-VLOOKUP($A91,DATA!$A$3:$F$301,2,FALSE))^2+(VLOOKUP(AP$1,DATA!$A$3:$F$301,3,FALSE)-VLOOKUP($A91,DATA!$A$3:$F$301,3,FALSE))^2),"")</f>
        <v/>
      </c>
      <c r="AQ91" s="14" t="str">
        <f>_xlfn.IFNA(SQRT((VLOOKUP(AQ$1,DATA!$A$3:$F$301,2,FALSE)-VLOOKUP($A91,DATA!$A$3:$F$301,2,FALSE))^2+(VLOOKUP(AQ$1,DATA!$A$3:$F$301,3,FALSE)-VLOOKUP($A91,DATA!$A$3:$F$301,3,FALSE))^2),"")</f>
        <v/>
      </c>
      <c r="AR91" s="14" t="str">
        <f>_xlfn.IFNA(SQRT((VLOOKUP(AR$1,DATA!$A$3:$F$301,2,FALSE)-VLOOKUP($A91,DATA!$A$3:$F$301,2,FALSE))^2+(VLOOKUP(AR$1,DATA!$A$3:$F$301,3,FALSE)-VLOOKUP($A91,DATA!$A$3:$F$301,3,FALSE))^2),"")</f>
        <v/>
      </c>
      <c r="AS91" s="14" t="str">
        <f>_xlfn.IFNA(SQRT((VLOOKUP(AS$1,DATA!$A$3:$F$301,2,FALSE)-VLOOKUP($A91,DATA!$A$3:$F$301,2,FALSE))^2+(VLOOKUP(AS$1,DATA!$A$3:$F$301,3,FALSE)-VLOOKUP($A91,DATA!$A$3:$F$301,3,FALSE))^2),"")</f>
        <v/>
      </c>
      <c r="AT91" s="14" t="str">
        <f>_xlfn.IFNA(SQRT((VLOOKUP(AT$1,DATA!$A$3:$F$301,2,FALSE)-VLOOKUP($A91,DATA!$A$3:$F$301,2,FALSE))^2+(VLOOKUP(AT$1,DATA!$A$3:$F$301,3,FALSE)-VLOOKUP($A91,DATA!$A$3:$F$301,3,FALSE))^2),"")</f>
        <v/>
      </c>
      <c r="AU91" s="14" t="str">
        <f>_xlfn.IFNA(SQRT((VLOOKUP(AU$1,DATA!$A$3:$F$301,2,FALSE)-VLOOKUP($A91,DATA!$A$3:$F$301,2,FALSE))^2+(VLOOKUP(AU$1,DATA!$A$3:$F$301,3,FALSE)-VLOOKUP($A91,DATA!$A$3:$F$301,3,FALSE))^2),"")</f>
        <v/>
      </c>
      <c r="AV91" s="14" t="str">
        <f>_xlfn.IFNA(SQRT((VLOOKUP(AV$1,DATA!$A$3:$F$301,2,FALSE)-VLOOKUP($A91,DATA!$A$3:$F$301,2,FALSE))^2+(VLOOKUP(AV$1,DATA!$A$3:$F$301,3,FALSE)-VLOOKUP($A91,DATA!$A$3:$F$301,3,FALSE))^2),"")</f>
        <v/>
      </c>
      <c r="AW91" s="14" t="str">
        <f>_xlfn.IFNA(SQRT((VLOOKUP(AW$1,DATA!$A$3:$F$301,2,FALSE)-VLOOKUP($A91,DATA!$A$3:$F$301,2,FALSE))^2+(VLOOKUP(AW$1,DATA!$A$3:$F$301,3,FALSE)-VLOOKUP($A91,DATA!$A$3:$F$301,3,FALSE))^2),"")</f>
        <v/>
      </c>
      <c r="AX91" s="14" t="str">
        <f>_xlfn.IFNA(SQRT((VLOOKUP(AX$1,DATA!$A$3:$F$301,2,FALSE)-VLOOKUP($A91,DATA!$A$3:$F$301,2,FALSE))^2+(VLOOKUP(AX$1,DATA!$A$3:$F$301,3,FALSE)-VLOOKUP($A91,DATA!$A$3:$F$301,3,FALSE))^2),"")</f>
        <v/>
      </c>
      <c r="AY91" s="14" t="str">
        <f>_xlfn.IFNA(SQRT((VLOOKUP(AY$1,DATA!$A$3:$F$301,2,FALSE)-VLOOKUP($A91,DATA!$A$3:$F$301,2,FALSE))^2+(VLOOKUP(AY$1,DATA!$A$3:$F$301,3,FALSE)-VLOOKUP($A91,DATA!$A$3:$F$301,3,FALSE))^2),"")</f>
        <v/>
      </c>
      <c r="AZ91" s="14" t="str">
        <f>_xlfn.IFNA(SQRT((VLOOKUP(AZ$1,DATA!$A$3:$F$301,2,FALSE)-VLOOKUP($A91,DATA!$A$3:$F$301,2,FALSE))^2+(VLOOKUP(AZ$1,DATA!$A$3:$F$301,3,FALSE)-VLOOKUP($A91,DATA!$A$3:$F$301,3,FALSE))^2),"")</f>
        <v/>
      </c>
      <c r="BA91" s="14" t="str">
        <f>_xlfn.IFNA(SQRT((VLOOKUP(BA$1,DATA!$A$3:$F$301,2,FALSE)-VLOOKUP($A91,DATA!$A$3:$F$301,2,FALSE))^2+(VLOOKUP(BA$1,DATA!$A$3:$F$301,3,FALSE)-VLOOKUP($A91,DATA!$A$3:$F$301,3,FALSE))^2),"")</f>
        <v/>
      </c>
      <c r="BB91" s="14" t="str">
        <f>_xlfn.IFNA(SQRT((VLOOKUP(BB$1,DATA!$A$3:$F$301,2,FALSE)-VLOOKUP($A91,DATA!$A$3:$F$301,2,FALSE))^2+(VLOOKUP(BB$1,DATA!$A$3:$F$301,3,FALSE)-VLOOKUP($A91,DATA!$A$3:$F$301,3,FALSE))^2),"")</f>
        <v/>
      </c>
      <c r="BC91" s="14" t="str">
        <f>_xlfn.IFNA(SQRT((VLOOKUP(BC$1,DATA!$A$3:$F$301,2,FALSE)-VLOOKUP($A91,DATA!$A$3:$F$301,2,FALSE))^2+(VLOOKUP(BC$1,DATA!$A$3:$F$301,3,FALSE)-VLOOKUP($A91,DATA!$A$3:$F$301,3,FALSE))^2),"")</f>
        <v/>
      </c>
      <c r="BD91" s="14" t="str">
        <f>_xlfn.IFNA(SQRT((VLOOKUP(BD$1,DATA!$A$3:$F$301,2,FALSE)-VLOOKUP($A91,DATA!$A$3:$F$301,2,FALSE))^2+(VLOOKUP(BD$1,DATA!$A$3:$F$301,3,FALSE)-VLOOKUP($A91,DATA!$A$3:$F$301,3,FALSE))^2),"")</f>
        <v/>
      </c>
      <c r="BE91" s="14" t="str">
        <f>_xlfn.IFNA(SQRT((VLOOKUP(BE$1,DATA!$A$3:$F$301,2,FALSE)-VLOOKUP($A91,DATA!$A$3:$F$301,2,FALSE))^2+(VLOOKUP(BE$1,DATA!$A$3:$F$301,3,FALSE)-VLOOKUP($A91,DATA!$A$3:$F$301,3,FALSE))^2),"")</f>
        <v/>
      </c>
      <c r="BF91" s="14" t="str">
        <f>_xlfn.IFNA(SQRT((VLOOKUP(BF$1,DATA!$A$3:$F$301,2,FALSE)-VLOOKUP($A91,DATA!$A$3:$F$301,2,FALSE))^2+(VLOOKUP(BF$1,DATA!$A$3:$F$301,3,FALSE)-VLOOKUP($A91,DATA!$A$3:$F$301,3,FALSE))^2),"")</f>
        <v/>
      </c>
      <c r="BG91" s="14" t="str">
        <f>_xlfn.IFNA(SQRT((VLOOKUP(BG$1,DATA!$A$3:$F$301,2,FALSE)-VLOOKUP($A91,DATA!$A$3:$F$301,2,FALSE))^2+(VLOOKUP(BG$1,DATA!$A$3:$F$301,3,FALSE)-VLOOKUP($A91,DATA!$A$3:$F$301,3,FALSE))^2),"")</f>
        <v/>
      </c>
      <c r="BH91" s="14" t="str">
        <f>_xlfn.IFNA(SQRT((VLOOKUP(BH$1,DATA!$A$3:$F$301,2,FALSE)-VLOOKUP($A91,DATA!$A$3:$F$301,2,FALSE))^2+(VLOOKUP(BH$1,DATA!$A$3:$F$301,3,FALSE)-VLOOKUP($A91,DATA!$A$3:$F$301,3,FALSE))^2),"")</f>
        <v/>
      </c>
      <c r="BI91" s="14" t="str">
        <f>_xlfn.IFNA(SQRT((VLOOKUP(BI$1,DATA!$A$3:$F$301,2,FALSE)-VLOOKUP($A91,DATA!$A$3:$F$301,2,FALSE))^2+(VLOOKUP(BI$1,DATA!$A$3:$F$301,3,FALSE)-VLOOKUP($A91,DATA!$A$3:$F$301,3,FALSE))^2),"")</f>
        <v/>
      </c>
      <c r="BJ91" s="14" t="str">
        <f>_xlfn.IFNA(SQRT((VLOOKUP(BJ$1,DATA!$A$3:$F$301,2,FALSE)-VLOOKUP($A91,DATA!$A$3:$F$301,2,FALSE))^2+(VLOOKUP(BJ$1,DATA!$A$3:$F$301,3,FALSE)-VLOOKUP($A91,DATA!$A$3:$F$301,3,FALSE))^2),"")</f>
        <v/>
      </c>
      <c r="BK91" s="14" t="str">
        <f>_xlfn.IFNA(SQRT((VLOOKUP(BK$1,DATA!$A$3:$F$301,2,FALSE)-VLOOKUP($A91,DATA!$A$3:$F$301,2,FALSE))^2+(VLOOKUP(BK$1,DATA!$A$3:$F$301,3,FALSE)-VLOOKUP($A91,DATA!$A$3:$F$301,3,FALSE))^2),"")</f>
        <v/>
      </c>
      <c r="BL91" s="14" t="str">
        <f>_xlfn.IFNA(SQRT((VLOOKUP(BL$1,DATA!$A$3:$F$301,2,FALSE)-VLOOKUP($A91,DATA!$A$3:$F$301,2,FALSE))^2+(VLOOKUP(BL$1,DATA!$A$3:$F$301,3,FALSE)-VLOOKUP($A91,DATA!$A$3:$F$301,3,FALSE))^2),"")</f>
        <v/>
      </c>
      <c r="BM91" s="14" t="str">
        <f>_xlfn.IFNA(SQRT((VLOOKUP(BM$1,DATA!$A$3:$F$301,2,FALSE)-VLOOKUP($A91,DATA!$A$3:$F$301,2,FALSE))^2+(VLOOKUP(BM$1,DATA!$A$3:$F$301,3,FALSE)-VLOOKUP($A91,DATA!$A$3:$F$301,3,FALSE))^2),"")</f>
        <v/>
      </c>
      <c r="BN91" s="14" t="str">
        <f>_xlfn.IFNA(SQRT((VLOOKUP(BN$1,DATA!$A$3:$F$301,2,FALSE)-VLOOKUP($A91,DATA!$A$3:$F$301,2,FALSE))^2+(VLOOKUP(BN$1,DATA!$A$3:$F$301,3,FALSE)-VLOOKUP($A91,DATA!$A$3:$F$301,3,FALSE))^2),"")</f>
        <v/>
      </c>
      <c r="BO91" s="14" t="str">
        <f>_xlfn.IFNA(SQRT((VLOOKUP(BO$1,DATA!$A$3:$F$301,2,FALSE)-VLOOKUP($A91,DATA!$A$3:$F$301,2,FALSE))^2+(VLOOKUP(BO$1,DATA!$A$3:$F$301,3,FALSE)-VLOOKUP($A91,DATA!$A$3:$F$301,3,FALSE))^2),"")</f>
        <v/>
      </c>
      <c r="BP91" s="14" t="str">
        <f>_xlfn.IFNA(SQRT((VLOOKUP(BP$1,DATA!$A$3:$F$301,2,FALSE)-VLOOKUP($A91,DATA!$A$3:$F$301,2,FALSE))^2+(VLOOKUP(BP$1,DATA!$A$3:$F$301,3,FALSE)-VLOOKUP($A91,DATA!$A$3:$F$301,3,FALSE))^2),"")</f>
        <v/>
      </c>
      <c r="BQ91" s="14" t="str">
        <f>_xlfn.IFNA(SQRT((VLOOKUP(BQ$1,DATA!$A$3:$F$301,2,FALSE)-VLOOKUP($A91,DATA!$A$3:$F$301,2,FALSE))^2+(VLOOKUP(BQ$1,DATA!$A$3:$F$301,3,FALSE)-VLOOKUP($A91,DATA!$A$3:$F$301,3,FALSE))^2),"")</f>
        <v/>
      </c>
      <c r="BR91" s="14" t="str">
        <f>_xlfn.IFNA(SQRT((VLOOKUP(BR$1,DATA!$A$3:$F$301,2,FALSE)-VLOOKUP($A91,DATA!$A$3:$F$301,2,FALSE))^2+(VLOOKUP(BR$1,DATA!$A$3:$F$301,3,FALSE)-VLOOKUP($A91,DATA!$A$3:$F$301,3,FALSE))^2),"")</f>
        <v/>
      </c>
      <c r="BS91" s="14" t="str">
        <f>_xlfn.IFNA(SQRT((VLOOKUP(BS$1,DATA!$A$3:$F$301,2,FALSE)-VLOOKUP($A91,DATA!$A$3:$F$301,2,FALSE))^2+(VLOOKUP(BS$1,DATA!$A$3:$F$301,3,FALSE)-VLOOKUP($A91,DATA!$A$3:$F$301,3,FALSE))^2),"")</f>
        <v/>
      </c>
      <c r="BT91" s="14" t="str">
        <f>_xlfn.IFNA(SQRT((VLOOKUP(BT$1,DATA!$A$3:$F$301,2,FALSE)-VLOOKUP($A91,DATA!$A$3:$F$301,2,FALSE))^2+(VLOOKUP(BT$1,DATA!$A$3:$F$301,3,FALSE)-VLOOKUP($A91,DATA!$A$3:$F$301,3,FALSE))^2),"")</f>
        <v/>
      </c>
      <c r="BU91" s="14" t="str">
        <f>_xlfn.IFNA(SQRT((VLOOKUP(BU$1,DATA!$A$3:$F$301,2,FALSE)-VLOOKUP($A91,DATA!$A$3:$F$301,2,FALSE))^2+(VLOOKUP(BU$1,DATA!$A$3:$F$301,3,FALSE)-VLOOKUP($A91,DATA!$A$3:$F$301,3,FALSE))^2),"")</f>
        <v/>
      </c>
      <c r="BV91" s="14" t="str">
        <f>_xlfn.IFNA(SQRT((VLOOKUP(BV$1,DATA!$A$3:$F$301,2,FALSE)-VLOOKUP($A91,DATA!$A$3:$F$301,2,FALSE))^2+(VLOOKUP(BV$1,DATA!$A$3:$F$301,3,FALSE)-VLOOKUP($A91,DATA!$A$3:$F$301,3,FALSE))^2),"")</f>
        <v/>
      </c>
      <c r="BW91" s="14" t="str">
        <f>_xlfn.IFNA(SQRT((VLOOKUP(BW$1,DATA!$A$3:$F$301,2,FALSE)-VLOOKUP($A91,DATA!$A$3:$F$301,2,FALSE))^2+(VLOOKUP(BW$1,DATA!$A$3:$F$301,3,FALSE)-VLOOKUP($A91,DATA!$A$3:$F$301,3,FALSE))^2),"")</f>
        <v/>
      </c>
      <c r="BX91" s="14" t="str">
        <f>_xlfn.IFNA(SQRT((VLOOKUP(BX$1,DATA!$A$3:$F$301,2,FALSE)-VLOOKUP($A91,DATA!$A$3:$F$301,2,FALSE))^2+(VLOOKUP(BX$1,DATA!$A$3:$F$301,3,FALSE)-VLOOKUP($A91,DATA!$A$3:$F$301,3,FALSE))^2),"")</f>
        <v/>
      </c>
      <c r="BY91" s="14" t="str">
        <f>_xlfn.IFNA(SQRT((VLOOKUP(BY$1,DATA!$A$3:$F$301,2,FALSE)-VLOOKUP($A91,DATA!$A$3:$F$301,2,FALSE))^2+(VLOOKUP(BY$1,DATA!$A$3:$F$301,3,FALSE)-VLOOKUP($A91,DATA!$A$3:$F$301,3,FALSE))^2),"")</f>
        <v/>
      </c>
      <c r="BZ91" s="14" t="str">
        <f>_xlfn.IFNA(SQRT((VLOOKUP(BZ$1,DATA!$A$3:$F$301,2,FALSE)-VLOOKUP($A91,DATA!$A$3:$F$301,2,FALSE))^2+(VLOOKUP(BZ$1,DATA!$A$3:$F$301,3,FALSE)-VLOOKUP($A91,DATA!$A$3:$F$301,3,FALSE))^2),"")</f>
        <v/>
      </c>
      <c r="CA91" s="14" t="str">
        <f>_xlfn.IFNA(SQRT((VLOOKUP(CA$1,DATA!$A$3:$F$301,2,FALSE)-VLOOKUP($A91,DATA!$A$3:$F$301,2,FALSE))^2+(VLOOKUP(CA$1,DATA!$A$3:$F$301,3,FALSE)-VLOOKUP($A91,DATA!$A$3:$F$301,3,FALSE))^2),"")</f>
        <v/>
      </c>
      <c r="CB91" s="14" t="str">
        <f>_xlfn.IFNA(SQRT((VLOOKUP(CB$1,DATA!$A$3:$F$301,2,FALSE)-VLOOKUP($A91,DATA!$A$3:$F$301,2,FALSE))^2+(VLOOKUP(CB$1,DATA!$A$3:$F$301,3,FALSE)-VLOOKUP($A91,DATA!$A$3:$F$301,3,FALSE))^2),"")</f>
        <v/>
      </c>
      <c r="CC91" s="14" t="str">
        <f>_xlfn.IFNA(SQRT((VLOOKUP(CC$1,DATA!$A$3:$F$301,2,FALSE)-VLOOKUP($A91,DATA!$A$3:$F$301,2,FALSE))^2+(VLOOKUP(CC$1,DATA!$A$3:$F$301,3,FALSE)-VLOOKUP($A91,DATA!$A$3:$F$301,3,FALSE))^2),"")</f>
        <v/>
      </c>
      <c r="CD91" s="14" t="str">
        <f>_xlfn.IFNA(SQRT((VLOOKUP(CD$1,DATA!$A$3:$F$301,2,FALSE)-VLOOKUP($A91,DATA!$A$3:$F$301,2,FALSE))^2+(VLOOKUP(CD$1,DATA!$A$3:$F$301,3,FALSE)-VLOOKUP($A91,DATA!$A$3:$F$301,3,FALSE))^2),"")</f>
        <v/>
      </c>
      <c r="CE91" s="14" t="str">
        <f>_xlfn.IFNA(SQRT((VLOOKUP(CE$1,DATA!$A$3:$F$301,2,FALSE)-VLOOKUP($A91,DATA!$A$3:$F$301,2,FALSE))^2+(VLOOKUP(CE$1,DATA!$A$3:$F$301,3,FALSE)-VLOOKUP($A91,DATA!$A$3:$F$301,3,FALSE))^2),"")</f>
        <v/>
      </c>
      <c r="CF91" s="14" t="str">
        <f>_xlfn.IFNA(SQRT((VLOOKUP(CF$1,DATA!$A$3:$F$301,2,FALSE)-VLOOKUP($A91,DATA!$A$3:$F$301,2,FALSE))^2+(VLOOKUP(CF$1,DATA!$A$3:$F$301,3,FALSE)-VLOOKUP($A91,DATA!$A$3:$F$301,3,FALSE))^2),"")</f>
        <v/>
      </c>
      <c r="CG91" s="14" t="str">
        <f>_xlfn.IFNA(SQRT((VLOOKUP(CG$1,DATA!$A$3:$F$301,2,FALSE)-VLOOKUP($A91,DATA!$A$3:$F$301,2,FALSE))^2+(VLOOKUP(CG$1,DATA!$A$3:$F$301,3,FALSE)-VLOOKUP($A91,DATA!$A$3:$F$301,3,FALSE))^2),"")</f>
        <v/>
      </c>
      <c r="CH91" s="14" t="str">
        <f>_xlfn.IFNA(SQRT((VLOOKUP(CH$1,DATA!$A$3:$F$301,2,FALSE)-VLOOKUP($A91,DATA!$A$3:$F$301,2,FALSE))^2+(VLOOKUP(CH$1,DATA!$A$3:$F$301,3,FALSE)-VLOOKUP($A91,DATA!$A$3:$F$301,3,FALSE))^2),"")</f>
        <v/>
      </c>
      <c r="CI91" s="14" t="str">
        <f>_xlfn.IFNA(SQRT((VLOOKUP(CI$1,DATA!$A$3:$F$301,2,FALSE)-VLOOKUP($A91,DATA!$A$3:$F$301,2,FALSE))^2+(VLOOKUP(CI$1,DATA!$A$3:$F$301,3,FALSE)-VLOOKUP($A91,DATA!$A$3:$F$301,3,FALSE))^2),"")</f>
        <v/>
      </c>
      <c r="CJ91" s="14" t="str">
        <f>_xlfn.IFNA(SQRT((VLOOKUP(CJ$1,DATA!$A$3:$F$301,2,FALSE)-VLOOKUP($A91,DATA!$A$3:$F$301,2,FALSE))^2+(VLOOKUP(CJ$1,DATA!$A$3:$F$301,3,FALSE)-VLOOKUP($A91,DATA!$A$3:$F$301,3,FALSE))^2),"")</f>
        <v/>
      </c>
      <c r="CK91" s="14" t="str">
        <f>_xlfn.IFNA(SQRT((VLOOKUP(CK$1,DATA!$A$3:$F$301,2,FALSE)-VLOOKUP($A91,DATA!$A$3:$F$301,2,FALSE))^2+(VLOOKUP(CK$1,DATA!$A$3:$F$301,3,FALSE)-VLOOKUP($A91,DATA!$A$3:$F$301,3,FALSE))^2),"")</f>
        <v/>
      </c>
      <c r="CL91" s="14" t="str">
        <f>_xlfn.IFNA(SQRT((VLOOKUP(CL$1,DATA!$A$3:$F$301,2,FALSE)-VLOOKUP($A91,DATA!$A$3:$F$301,2,FALSE))^2+(VLOOKUP(CL$1,DATA!$A$3:$F$301,3,FALSE)-VLOOKUP($A91,DATA!$A$3:$F$301,3,FALSE))^2),"")</f>
        <v/>
      </c>
      <c r="CM91" s="14" t="str">
        <f>_xlfn.IFNA(SQRT((VLOOKUP(CM$1,DATA!$A$3:$F$301,2,FALSE)-VLOOKUP($A91,DATA!$A$3:$F$301,2,FALSE))^2+(VLOOKUP(CM$1,DATA!$A$3:$F$301,3,FALSE)-VLOOKUP($A91,DATA!$A$3:$F$301,3,FALSE))^2),"")</f>
        <v/>
      </c>
      <c r="CN91" s="14" t="str">
        <f>_xlfn.IFNA(SQRT((VLOOKUP(CN$1,DATA!$A$3:$F$301,2,FALSE)-VLOOKUP($A91,DATA!$A$3:$F$301,2,FALSE))^2+(VLOOKUP(CN$1,DATA!$A$3:$F$301,3,FALSE)-VLOOKUP($A91,DATA!$A$3:$F$301,3,FALSE))^2),"")</f>
        <v/>
      </c>
      <c r="CO91" s="14" t="str">
        <f>_xlfn.IFNA(SQRT((VLOOKUP(CO$1,DATA!$A$3:$F$301,2,FALSE)-VLOOKUP($A91,DATA!$A$3:$F$301,2,FALSE))^2+(VLOOKUP(CO$1,DATA!$A$3:$F$301,3,FALSE)-VLOOKUP($A91,DATA!$A$3:$F$301,3,FALSE))^2),"")</f>
        <v/>
      </c>
      <c r="CP91" s="14" t="str">
        <f>_xlfn.IFNA(SQRT((VLOOKUP(CP$1,DATA!$A$3:$F$301,2,FALSE)-VLOOKUP($A91,DATA!$A$3:$F$301,2,FALSE))^2+(VLOOKUP(CP$1,DATA!$A$3:$F$301,3,FALSE)-VLOOKUP($A91,DATA!$A$3:$F$301,3,FALSE))^2),"")</f>
        <v/>
      </c>
      <c r="CQ91" s="14" t="str">
        <f>_xlfn.IFNA(SQRT((VLOOKUP(CQ$1,DATA!$A$3:$F$301,2,FALSE)-VLOOKUP($A91,DATA!$A$3:$F$301,2,FALSE))^2+(VLOOKUP(CQ$1,DATA!$A$3:$F$301,3,FALSE)-VLOOKUP($A91,DATA!$A$3:$F$301,3,FALSE))^2),"")</f>
        <v/>
      </c>
      <c r="CR91" s="14" t="str">
        <f>_xlfn.IFNA(SQRT((VLOOKUP(CR$1,DATA!$A$3:$F$301,2,FALSE)-VLOOKUP($A91,DATA!$A$3:$F$301,2,FALSE))^2+(VLOOKUP(CR$1,DATA!$A$3:$F$301,3,FALSE)-VLOOKUP($A91,DATA!$A$3:$F$301,3,FALSE))^2),"")</f>
        <v/>
      </c>
      <c r="CS91" s="14" t="str">
        <f>_xlfn.IFNA(SQRT((VLOOKUP(CS$1,DATA!$A$3:$F$301,2,FALSE)-VLOOKUP($A91,DATA!$A$3:$F$301,2,FALSE))^2+(VLOOKUP(CS$1,DATA!$A$3:$F$301,3,FALSE)-VLOOKUP($A91,DATA!$A$3:$F$301,3,FALSE))^2),"")</f>
        <v/>
      </c>
      <c r="CT91" s="14" t="str">
        <f>_xlfn.IFNA(SQRT((VLOOKUP(CT$1,DATA!$A$3:$F$301,2,FALSE)-VLOOKUP($A91,DATA!$A$3:$F$301,2,FALSE))^2+(VLOOKUP(CT$1,DATA!$A$3:$F$301,3,FALSE)-VLOOKUP($A91,DATA!$A$3:$F$301,3,FALSE))^2),"")</f>
        <v/>
      </c>
      <c r="CU91" s="14" t="str">
        <f>_xlfn.IFNA(SQRT((VLOOKUP(CU$1,DATA!$A$3:$F$301,2,FALSE)-VLOOKUP($A91,DATA!$A$3:$F$301,2,FALSE))^2+(VLOOKUP(CU$1,DATA!$A$3:$F$301,3,FALSE)-VLOOKUP($A91,DATA!$A$3:$F$301,3,FALSE))^2),"")</f>
        <v/>
      </c>
      <c r="CV91" s="14" t="str">
        <f>_xlfn.IFNA(SQRT((VLOOKUP(CV$1,DATA!$A$3:$F$301,2,FALSE)-VLOOKUP($A91,DATA!$A$3:$F$301,2,FALSE))^2+(VLOOKUP(CV$1,DATA!$A$3:$F$301,3,FALSE)-VLOOKUP($A91,DATA!$A$3:$F$301,3,FALSE))^2),"")</f>
        <v/>
      </c>
      <c r="CW91" s="14" t="str">
        <f>_xlfn.IFNA(SQRT((VLOOKUP(CW$1,DATA!$A$3:$F$301,2,FALSE)-VLOOKUP($A91,DATA!$A$3:$F$301,2,FALSE))^2+(VLOOKUP(CW$1,DATA!$A$3:$F$301,3,FALSE)-VLOOKUP($A91,DATA!$A$3:$F$301,3,FALSE))^2),"")</f>
        <v/>
      </c>
      <c r="CX91" s="14" t="str">
        <f>_xlfn.IFNA(SQRT((VLOOKUP(CX$1,DATA!$A$3:$F$301,2,FALSE)-VLOOKUP($A91,DATA!$A$3:$F$301,2,FALSE))^2+(VLOOKUP(CX$1,DATA!$A$3:$F$301,3,FALSE)-VLOOKUP($A91,DATA!$A$3:$F$301,3,FALSE))^2),"")</f>
        <v/>
      </c>
    </row>
    <row r="92" spans="1:102">
      <c r="A92" s="13">
        <v>91</v>
      </c>
      <c r="B92" s="14" t="str">
        <f>_xlfn.IFNA(SQRT((VLOOKUP(B$1,DATA!$A$3:$F$301,2,FALSE)-VLOOKUP($A92,DATA!$A$3:$F$301,2,FALSE))^2+(VLOOKUP(B$1,DATA!$A$3:$F$301,3,FALSE)-VLOOKUP($A92,DATA!$A$3:$F$301,3,FALSE))^2),"")</f>
        <v/>
      </c>
      <c r="C92" s="14" t="str">
        <f>_xlfn.IFNA(SQRT((VLOOKUP(C$1,DATA!$A$3:$F$301,2,FALSE)-VLOOKUP($A92,DATA!$A$3:$F$301,2,FALSE))^2+(VLOOKUP(C$1,DATA!$A$3:$F$301,3,FALSE)-VLOOKUP($A92,DATA!$A$3:$F$301,3,FALSE))^2),"")</f>
        <v/>
      </c>
      <c r="D92" s="14" t="str">
        <f>_xlfn.IFNA(SQRT((VLOOKUP(D$1,DATA!$A$3:$F$301,2,FALSE)-VLOOKUP($A92,DATA!$A$3:$F$301,2,FALSE))^2+(VLOOKUP(D$1,DATA!$A$3:$F$301,3,FALSE)-VLOOKUP($A92,DATA!$A$3:$F$301,3,FALSE))^2),"")</f>
        <v/>
      </c>
      <c r="E92" s="14" t="str">
        <f>_xlfn.IFNA(SQRT((VLOOKUP(E$1,DATA!$A$3:$F$301,2,FALSE)-VLOOKUP($A92,DATA!$A$3:$F$301,2,FALSE))^2+(VLOOKUP(E$1,DATA!$A$3:$F$301,3,FALSE)-VLOOKUP($A92,DATA!$A$3:$F$301,3,FALSE))^2),"")</f>
        <v/>
      </c>
      <c r="F92" s="14" t="str">
        <f>_xlfn.IFNA(SQRT((VLOOKUP(F$1,DATA!$A$3:$F$301,2,FALSE)-VLOOKUP($A92,DATA!$A$3:$F$301,2,FALSE))^2+(VLOOKUP(F$1,DATA!$A$3:$F$301,3,FALSE)-VLOOKUP($A92,DATA!$A$3:$F$301,3,FALSE))^2),"")</f>
        <v/>
      </c>
      <c r="G92" s="14" t="str">
        <f>_xlfn.IFNA(SQRT((VLOOKUP(G$1,DATA!$A$3:$F$301,2,FALSE)-VLOOKUP($A92,DATA!$A$3:$F$301,2,FALSE))^2+(VLOOKUP(G$1,DATA!$A$3:$F$301,3,FALSE)-VLOOKUP($A92,DATA!$A$3:$F$301,3,FALSE))^2),"")</f>
        <v/>
      </c>
      <c r="H92" s="14" t="str">
        <f>_xlfn.IFNA(SQRT((VLOOKUP(H$1,DATA!$A$3:$F$301,2,FALSE)-VLOOKUP($A92,DATA!$A$3:$F$301,2,FALSE))^2+(VLOOKUP(H$1,DATA!$A$3:$F$301,3,FALSE)-VLOOKUP($A92,DATA!$A$3:$F$301,3,FALSE))^2),"")</f>
        <v/>
      </c>
      <c r="I92" s="14" t="str">
        <f>_xlfn.IFNA(SQRT((VLOOKUP(I$1,DATA!$A$3:$F$301,2,FALSE)-VLOOKUP($A92,DATA!$A$3:$F$301,2,FALSE))^2+(VLOOKUP(I$1,DATA!$A$3:$F$301,3,FALSE)-VLOOKUP($A92,DATA!$A$3:$F$301,3,FALSE))^2),"")</f>
        <v/>
      </c>
      <c r="J92" s="14" t="str">
        <f>_xlfn.IFNA(SQRT((VLOOKUP(J$1,DATA!$A$3:$F$301,2,FALSE)-VLOOKUP($A92,DATA!$A$3:$F$301,2,FALSE))^2+(VLOOKUP(J$1,DATA!$A$3:$F$301,3,FALSE)-VLOOKUP($A92,DATA!$A$3:$F$301,3,FALSE))^2),"")</f>
        <v/>
      </c>
      <c r="K92" s="14" t="str">
        <f>_xlfn.IFNA(SQRT((VLOOKUP(K$1,DATA!$A$3:$F$301,2,FALSE)-VLOOKUP($A92,DATA!$A$3:$F$301,2,FALSE))^2+(VLOOKUP(K$1,DATA!$A$3:$F$301,3,FALSE)-VLOOKUP($A92,DATA!$A$3:$F$301,3,FALSE))^2),"")</f>
        <v/>
      </c>
      <c r="L92" s="14" t="str">
        <f>_xlfn.IFNA(SQRT((VLOOKUP(L$1,DATA!$A$3:$F$301,2,FALSE)-VLOOKUP($A92,DATA!$A$3:$F$301,2,FALSE))^2+(VLOOKUP(L$1,DATA!$A$3:$F$301,3,FALSE)-VLOOKUP($A92,DATA!$A$3:$F$301,3,FALSE))^2),"")</f>
        <v/>
      </c>
      <c r="M92" s="14" t="str">
        <f>_xlfn.IFNA(SQRT((VLOOKUP(M$1,DATA!$A$3:$F$301,2,FALSE)-VLOOKUP($A92,DATA!$A$3:$F$301,2,FALSE))^2+(VLOOKUP(M$1,DATA!$A$3:$F$301,3,FALSE)-VLOOKUP($A92,DATA!$A$3:$F$301,3,FALSE))^2),"")</f>
        <v/>
      </c>
      <c r="N92" s="14" t="str">
        <f>_xlfn.IFNA(SQRT((VLOOKUP(N$1,DATA!$A$3:$F$301,2,FALSE)-VLOOKUP($A92,DATA!$A$3:$F$301,2,FALSE))^2+(VLOOKUP(N$1,DATA!$A$3:$F$301,3,FALSE)-VLOOKUP($A92,DATA!$A$3:$F$301,3,FALSE))^2),"")</f>
        <v/>
      </c>
      <c r="O92" s="14" t="str">
        <f>_xlfn.IFNA(SQRT((VLOOKUP(O$1,DATA!$A$3:$F$301,2,FALSE)-VLOOKUP($A92,DATA!$A$3:$F$301,2,FALSE))^2+(VLOOKUP(O$1,DATA!$A$3:$F$301,3,FALSE)-VLOOKUP($A92,DATA!$A$3:$F$301,3,FALSE))^2),"")</f>
        <v/>
      </c>
      <c r="P92" s="14" t="str">
        <f>_xlfn.IFNA(SQRT((VLOOKUP(P$1,DATA!$A$3:$F$301,2,FALSE)-VLOOKUP($A92,DATA!$A$3:$F$301,2,FALSE))^2+(VLOOKUP(P$1,DATA!$A$3:$F$301,3,FALSE)-VLOOKUP($A92,DATA!$A$3:$F$301,3,FALSE))^2),"")</f>
        <v/>
      </c>
      <c r="Q92" s="14" t="str">
        <f>_xlfn.IFNA(SQRT((VLOOKUP(Q$1,DATA!$A$3:$F$301,2,FALSE)-VLOOKUP($A92,DATA!$A$3:$F$301,2,FALSE))^2+(VLOOKUP(Q$1,DATA!$A$3:$F$301,3,FALSE)-VLOOKUP($A92,DATA!$A$3:$F$301,3,FALSE))^2),"")</f>
        <v/>
      </c>
      <c r="R92" s="14" t="str">
        <f>_xlfn.IFNA(SQRT((VLOOKUP(R$1,DATA!$A$3:$F$301,2,FALSE)-VLOOKUP($A92,DATA!$A$3:$F$301,2,FALSE))^2+(VLOOKUP(R$1,DATA!$A$3:$F$301,3,FALSE)-VLOOKUP($A92,DATA!$A$3:$F$301,3,FALSE))^2),"")</f>
        <v/>
      </c>
      <c r="S92" s="14" t="str">
        <f>_xlfn.IFNA(SQRT((VLOOKUP(S$1,DATA!$A$3:$F$301,2,FALSE)-VLOOKUP($A92,DATA!$A$3:$F$301,2,FALSE))^2+(VLOOKUP(S$1,DATA!$A$3:$F$301,3,FALSE)-VLOOKUP($A92,DATA!$A$3:$F$301,3,FALSE))^2),"")</f>
        <v/>
      </c>
      <c r="T92" s="14" t="str">
        <f>_xlfn.IFNA(SQRT((VLOOKUP(T$1,DATA!$A$3:$F$301,2,FALSE)-VLOOKUP($A92,DATA!$A$3:$F$301,2,FALSE))^2+(VLOOKUP(T$1,DATA!$A$3:$F$301,3,FALSE)-VLOOKUP($A92,DATA!$A$3:$F$301,3,FALSE))^2),"")</f>
        <v/>
      </c>
      <c r="U92" s="14" t="str">
        <f>_xlfn.IFNA(SQRT((VLOOKUP(U$1,DATA!$A$3:$F$301,2,FALSE)-VLOOKUP($A92,DATA!$A$3:$F$301,2,FALSE))^2+(VLOOKUP(U$1,DATA!$A$3:$F$301,3,FALSE)-VLOOKUP($A92,DATA!$A$3:$F$301,3,FALSE))^2),"")</f>
        <v/>
      </c>
      <c r="V92" s="14" t="str">
        <f>_xlfn.IFNA(SQRT((VLOOKUP(V$1,DATA!$A$3:$F$301,2,FALSE)-VLOOKUP($A92,DATA!$A$3:$F$301,2,FALSE))^2+(VLOOKUP(V$1,DATA!$A$3:$F$301,3,FALSE)-VLOOKUP($A92,DATA!$A$3:$F$301,3,FALSE))^2),"")</f>
        <v/>
      </c>
      <c r="W92" s="14" t="str">
        <f>_xlfn.IFNA(SQRT((VLOOKUP(W$1,DATA!$A$3:$F$301,2,FALSE)-VLOOKUP($A92,DATA!$A$3:$F$301,2,FALSE))^2+(VLOOKUP(W$1,DATA!$A$3:$F$301,3,FALSE)-VLOOKUP($A92,DATA!$A$3:$F$301,3,FALSE))^2),"")</f>
        <v/>
      </c>
      <c r="X92" s="14" t="str">
        <f>_xlfn.IFNA(SQRT((VLOOKUP(X$1,DATA!$A$3:$F$301,2,FALSE)-VLOOKUP($A92,DATA!$A$3:$F$301,2,FALSE))^2+(VLOOKUP(X$1,DATA!$A$3:$F$301,3,FALSE)-VLOOKUP($A92,DATA!$A$3:$F$301,3,FALSE))^2),"")</f>
        <v/>
      </c>
      <c r="Y92" s="14" t="str">
        <f>_xlfn.IFNA(SQRT((VLOOKUP(Y$1,DATA!$A$3:$F$301,2,FALSE)-VLOOKUP($A92,DATA!$A$3:$F$301,2,FALSE))^2+(VLOOKUP(Y$1,DATA!$A$3:$F$301,3,FALSE)-VLOOKUP($A92,DATA!$A$3:$F$301,3,FALSE))^2),"")</f>
        <v/>
      </c>
      <c r="Z92" s="14" t="str">
        <f>_xlfn.IFNA(SQRT((VLOOKUP(Z$1,DATA!$A$3:$F$301,2,FALSE)-VLOOKUP($A92,DATA!$A$3:$F$301,2,FALSE))^2+(VLOOKUP(Z$1,DATA!$A$3:$F$301,3,FALSE)-VLOOKUP($A92,DATA!$A$3:$F$301,3,FALSE))^2),"")</f>
        <v/>
      </c>
      <c r="AA92" s="14" t="str">
        <f>_xlfn.IFNA(SQRT((VLOOKUP(AA$1,DATA!$A$3:$F$301,2,FALSE)-VLOOKUP($A92,DATA!$A$3:$F$301,2,FALSE))^2+(VLOOKUP(AA$1,DATA!$A$3:$F$301,3,FALSE)-VLOOKUP($A92,DATA!$A$3:$F$301,3,FALSE))^2),"")</f>
        <v/>
      </c>
      <c r="AB92" s="14" t="str">
        <f>_xlfn.IFNA(SQRT((VLOOKUP(AB$1,DATA!$A$3:$F$301,2,FALSE)-VLOOKUP($A92,DATA!$A$3:$F$301,2,FALSE))^2+(VLOOKUP(AB$1,DATA!$A$3:$F$301,3,FALSE)-VLOOKUP($A92,DATA!$A$3:$F$301,3,FALSE))^2),"")</f>
        <v/>
      </c>
      <c r="AC92" s="14" t="str">
        <f>_xlfn.IFNA(SQRT((VLOOKUP(AC$1,DATA!$A$3:$F$301,2,FALSE)-VLOOKUP($A92,DATA!$A$3:$F$301,2,FALSE))^2+(VLOOKUP(AC$1,DATA!$A$3:$F$301,3,FALSE)-VLOOKUP($A92,DATA!$A$3:$F$301,3,FALSE))^2),"")</f>
        <v/>
      </c>
      <c r="AD92" s="14" t="str">
        <f>_xlfn.IFNA(SQRT((VLOOKUP(AD$1,DATA!$A$3:$F$301,2,FALSE)-VLOOKUP($A92,DATA!$A$3:$F$301,2,FALSE))^2+(VLOOKUP(AD$1,DATA!$A$3:$F$301,3,FALSE)-VLOOKUP($A92,DATA!$A$3:$F$301,3,FALSE))^2),"")</f>
        <v/>
      </c>
      <c r="AE92" s="14" t="str">
        <f>_xlfn.IFNA(SQRT((VLOOKUP(AE$1,DATA!$A$3:$F$301,2,FALSE)-VLOOKUP($A92,DATA!$A$3:$F$301,2,FALSE))^2+(VLOOKUP(AE$1,DATA!$A$3:$F$301,3,FALSE)-VLOOKUP($A92,DATA!$A$3:$F$301,3,FALSE))^2),"")</f>
        <v/>
      </c>
      <c r="AF92" s="14" t="str">
        <f>_xlfn.IFNA(SQRT((VLOOKUP(AF$1,DATA!$A$3:$F$301,2,FALSE)-VLOOKUP($A92,DATA!$A$3:$F$301,2,FALSE))^2+(VLOOKUP(AF$1,DATA!$A$3:$F$301,3,FALSE)-VLOOKUP($A92,DATA!$A$3:$F$301,3,FALSE))^2),"")</f>
        <v/>
      </c>
      <c r="AG92" s="14" t="str">
        <f>_xlfn.IFNA(SQRT((VLOOKUP(AG$1,DATA!$A$3:$F$301,2,FALSE)-VLOOKUP($A92,DATA!$A$3:$F$301,2,FALSE))^2+(VLOOKUP(AG$1,DATA!$A$3:$F$301,3,FALSE)-VLOOKUP($A92,DATA!$A$3:$F$301,3,FALSE))^2),"")</f>
        <v/>
      </c>
      <c r="AH92" s="14" t="str">
        <f>_xlfn.IFNA(SQRT((VLOOKUP(AH$1,DATA!$A$3:$F$301,2,FALSE)-VLOOKUP($A92,DATA!$A$3:$F$301,2,FALSE))^2+(VLOOKUP(AH$1,DATA!$A$3:$F$301,3,FALSE)-VLOOKUP($A92,DATA!$A$3:$F$301,3,FALSE))^2),"")</f>
        <v/>
      </c>
      <c r="AI92" s="14" t="str">
        <f>_xlfn.IFNA(SQRT((VLOOKUP(AI$1,DATA!$A$3:$F$301,2,FALSE)-VLOOKUP($A92,DATA!$A$3:$F$301,2,FALSE))^2+(VLOOKUP(AI$1,DATA!$A$3:$F$301,3,FALSE)-VLOOKUP($A92,DATA!$A$3:$F$301,3,FALSE))^2),"")</f>
        <v/>
      </c>
      <c r="AJ92" s="14" t="str">
        <f>_xlfn.IFNA(SQRT((VLOOKUP(AJ$1,DATA!$A$3:$F$301,2,FALSE)-VLOOKUP($A92,DATA!$A$3:$F$301,2,FALSE))^2+(VLOOKUP(AJ$1,DATA!$A$3:$F$301,3,FALSE)-VLOOKUP($A92,DATA!$A$3:$F$301,3,FALSE))^2),"")</f>
        <v/>
      </c>
      <c r="AK92" s="14" t="str">
        <f>_xlfn.IFNA(SQRT((VLOOKUP(AK$1,DATA!$A$3:$F$301,2,FALSE)-VLOOKUP($A92,DATA!$A$3:$F$301,2,FALSE))^2+(VLOOKUP(AK$1,DATA!$A$3:$F$301,3,FALSE)-VLOOKUP($A92,DATA!$A$3:$F$301,3,FALSE))^2),"")</f>
        <v/>
      </c>
      <c r="AL92" s="14" t="str">
        <f>_xlfn.IFNA(SQRT((VLOOKUP(AL$1,DATA!$A$3:$F$301,2,FALSE)-VLOOKUP($A92,DATA!$A$3:$F$301,2,FALSE))^2+(VLOOKUP(AL$1,DATA!$A$3:$F$301,3,FALSE)-VLOOKUP($A92,DATA!$A$3:$F$301,3,FALSE))^2),"")</f>
        <v/>
      </c>
      <c r="AM92" s="14" t="str">
        <f>_xlfn.IFNA(SQRT((VLOOKUP(AM$1,DATA!$A$3:$F$301,2,FALSE)-VLOOKUP($A92,DATA!$A$3:$F$301,2,FALSE))^2+(VLOOKUP(AM$1,DATA!$A$3:$F$301,3,FALSE)-VLOOKUP($A92,DATA!$A$3:$F$301,3,FALSE))^2),"")</f>
        <v/>
      </c>
      <c r="AN92" s="14" t="str">
        <f>_xlfn.IFNA(SQRT((VLOOKUP(AN$1,DATA!$A$3:$F$301,2,FALSE)-VLOOKUP($A92,DATA!$A$3:$F$301,2,FALSE))^2+(VLOOKUP(AN$1,DATA!$A$3:$F$301,3,FALSE)-VLOOKUP($A92,DATA!$A$3:$F$301,3,FALSE))^2),"")</f>
        <v/>
      </c>
      <c r="AO92" s="14" t="str">
        <f>_xlfn.IFNA(SQRT((VLOOKUP(AO$1,DATA!$A$3:$F$301,2,FALSE)-VLOOKUP($A92,DATA!$A$3:$F$301,2,FALSE))^2+(VLOOKUP(AO$1,DATA!$A$3:$F$301,3,FALSE)-VLOOKUP($A92,DATA!$A$3:$F$301,3,FALSE))^2),"")</f>
        <v/>
      </c>
      <c r="AP92" s="14" t="str">
        <f>_xlfn.IFNA(SQRT((VLOOKUP(AP$1,DATA!$A$3:$F$301,2,FALSE)-VLOOKUP($A92,DATA!$A$3:$F$301,2,FALSE))^2+(VLOOKUP(AP$1,DATA!$A$3:$F$301,3,FALSE)-VLOOKUP($A92,DATA!$A$3:$F$301,3,FALSE))^2),"")</f>
        <v/>
      </c>
      <c r="AQ92" s="14" t="str">
        <f>_xlfn.IFNA(SQRT((VLOOKUP(AQ$1,DATA!$A$3:$F$301,2,FALSE)-VLOOKUP($A92,DATA!$A$3:$F$301,2,FALSE))^2+(VLOOKUP(AQ$1,DATA!$A$3:$F$301,3,FALSE)-VLOOKUP($A92,DATA!$A$3:$F$301,3,FALSE))^2),"")</f>
        <v/>
      </c>
      <c r="AR92" s="14" t="str">
        <f>_xlfn.IFNA(SQRT((VLOOKUP(AR$1,DATA!$A$3:$F$301,2,FALSE)-VLOOKUP($A92,DATA!$A$3:$F$301,2,FALSE))^2+(VLOOKUP(AR$1,DATA!$A$3:$F$301,3,FALSE)-VLOOKUP($A92,DATA!$A$3:$F$301,3,FALSE))^2),"")</f>
        <v/>
      </c>
      <c r="AS92" s="14" t="str">
        <f>_xlfn.IFNA(SQRT((VLOOKUP(AS$1,DATA!$A$3:$F$301,2,FALSE)-VLOOKUP($A92,DATA!$A$3:$F$301,2,FALSE))^2+(VLOOKUP(AS$1,DATA!$A$3:$F$301,3,FALSE)-VLOOKUP($A92,DATA!$A$3:$F$301,3,FALSE))^2),"")</f>
        <v/>
      </c>
      <c r="AT92" s="14" t="str">
        <f>_xlfn.IFNA(SQRT((VLOOKUP(AT$1,DATA!$A$3:$F$301,2,FALSE)-VLOOKUP($A92,DATA!$A$3:$F$301,2,FALSE))^2+(VLOOKUP(AT$1,DATA!$A$3:$F$301,3,FALSE)-VLOOKUP($A92,DATA!$A$3:$F$301,3,FALSE))^2),"")</f>
        <v/>
      </c>
      <c r="AU92" s="14" t="str">
        <f>_xlfn.IFNA(SQRT((VLOOKUP(AU$1,DATA!$A$3:$F$301,2,FALSE)-VLOOKUP($A92,DATA!$A$3:$F$301,2,FALSE))^2+(VLOOKUP(AU$1,DATA!$A$3:$F$301,3,FALSE)-VLOOKUP($A92,DATA!$A$3:$F$301,3,FALSE))^2),"")</f>
        <v/>
      </c>
      <c r="AV92" s="14" t="str">
        <f>_xlfn.IFNA(SQRT((VLOOKUP(AV$1,DATA!$A$3:$F$301,2,FALSE)-VLOOKUP($A92,DATA!$A$3:$F$301,2,FALSE))^2+(VLOOKUP(AV$1,DATA!$A$3:$F$301,3,FALSE)-VLOOKUP($A92,DATA!$A$3:$F$301,3,FALSE))^2),"")</f>
        <v/>
      </c>
      <c r="AW92" s="14" t="str">
        <f>_xlfn.IFNA(SQRT((VLOOKUP(AW$1,DATA!$A$3:$F$301,2,FALSE)-VLOOKUP($A92,DATA!$A$3:$F$301,2,FALSE))^2+(VLOOKUP(AW$1,DATA!$A$3:$F$301,3,FALSE)-VLOOKUP($A92,DATA!$A$3:$F$301,3,FALSE))^2),"")</f>
        <v/>
      </c>
      <c r="AX92" s="14" t="str">
        <f>_xlfn.IFNA(SQRT((VLOOKUP(AX$1,DATA!$A$3:$F$301,2,FALSE)-VLOOKUP($A92,DATA!$A$3:$F$301,2,FALSE))^2+(VLOOKUP(AX$1,DATA!$A$3:$F$301,3,FALSE)-VLOOKUP($A92,DATA!$A$3:$F$301,3,FALSE))^2),"")</f>
        <v/>
      </c>
      <c r="AY92" s="14" t="str">
        <f>_xlfn.IFNA(SQRT((VLOOKUP(AY$1,DATA!$A$3:$F$301,2,FALSE)-VLOOKUP($A92,DATA!$A$3:$F$301,2,FALSE))^2+(VLOOKUP(AY$1,DATA!$A$3:$F$301,3,FALSE)-VLOOKUP($A92,DATA!$A$3:$F$301,3,FALSE))^2),"")</f>
        <v/>
      </c>
      <c r="AZ92" s="14" t="str">
        <f>_xlfn.IFNA(SQRT((VLOOKUP(AZ$1,DATA!$A$3:$F$301,2,FALSE)-VLOOKUP($A92,DATA!$A$3:$F$301,2,FALSE))^2+(VLOOKUP(AZ$1,DATA!$A$3:$F$301,3,FALSE)-VLOOKUP($A92,DATA!$A$3:$F$301,3,FALSE))^2),"")</f>
        <v/>
      </c>
      <c r="BA92" s="14" t="str">
        <f>_xlfn.IFNA(SQRT((VLOOKUP(BA$1,DATA!$A$3:$F$301,2,FALSE)-VLOOKUP($A92,DATA!$A$3:$F$301,2,FALSE))^2+(VLOOKUP(BA$1,DATA!$A$3:$F$301,3,FALSE)-VLOOKUP($A92,DATA!$A$3:$F$301,3,FALSE))^2),"")</f>
        <v/>
      </c>
      <c r="BB92" s="14" t="str">
        <f>_xlfn.IFNA(SQRT((VLOOKUP(BB$1,DATA!$A$3:$F$301,2,FALSE)-VLOOKUP($A92,DATA!$A$3:$F$301,2,FALSE))^2+(VLOOKUP(BB$1,DATA!$A$3:$F$301,3,FALSE)-VLOOKUP($A92,DATA!$A$3:$F$301,3,FALSE))^2),"")</f>
        <v/>
      </c>
      <c r="BC92" s="14" t="str">
        <f>_xlfn.IFNA(SQRT((VLOOKUP(BC$1,DATA!$A$3:$F$301,2,FALSE)-VLOOKUP($A92,DATA!$A$3:$F$301,2,FALSE))^2+(VLOOKUP(BC$1,DATA!$A$3:$F$301,3,FALSE)-VLOOKUP($A92,DATA!$A$3:$F$301,3,FALSE))^2),"")</f>
        <v/>
      </c>
      <c r="BD92" s="14" t="str">
        <f>_xlfn.IFNA(SQRT((VLOOKUP(BD$1,DATA!$A$3:$F$301,2,FALSE)-VLOOKUP($A92,DATA!$A$3:$F$301,2,FALSE))^2+(VLOOKUP(BD$1,DATA!$A$3:$F$301,3,FALSE)-VLOOKUP($A92,DATA!$A$3:$F$301,3,FALSE))^2),"")</f>
        <v/>
      </c>
      <c r="BE92" s="14" t="str">
        <f>_xlfn.IFNA(SQRT((VLOOKUP(BE$1,DATA!$A$3:$F$301,2,FALSE)-VLOOKUP($A92,DATA!$A$3:$F$301,2,FALSE))^2+(VLOOKUP(BE$1,DATA!$A$3:$F$301,3,FALSE)-VLOOKUP($A92,DATA!$A$3:$F$301,3,FALSE))^2),"")</f>
        <v/>
      </c>
      <c r="BF92" s="14" t="str">
        <f>_xlfn.IFNA(SQRT((VLOOKUP(BF$1,DATA!$A$3:$F$301,2,FALSE)-VLOOKUP($A92,DATA!$A$3:$F$301,2,FALSE))^2+(VLOOKUP(BF$1,DATA!$A$3:$F$301,3,FALSE)-VLOOKUP($A92,DATA!$A$3:$F$301,3,FALSE))^2),"")</f>
        <v/>
      </c>
      <c r="BG92" s="14" t="str">
        <f>_xlfn.IFNA(SQRT((VLOOKUP(BG$1,DATA!$A$3:$F$301,2,FALSE)-VLOOKUP($A92,DATA!$A$3:$F$301,2,FALSE))^2+(VLOOKUP(BG$1,DATA!$A$3:$F$301,3,FALSE)-VLOOKUP($A92,DATA!$A$3:$F$301,3,FALSE))^2),"")</f>
        <v/>
      </c>
      <c r="BH92" s="14" t="str">
        <f>_xlfn.IFNA(SQRT((VLOOKUP(BH$1,DATA!$A$3:$F$301,2,FALSE)-VLOOKUP($A92,DATA!$A$3:$F$301,2,FALSE))^2+(VLOOKUP(BH$1,DATA!$A$3:$F$301,3,FALSE)-VLOOKUP($A92,DATA!$A$3:$F$301,3,FALSE))^2),"")</f>
        <v/>
      </c>
      <c r="BI92" s="14" t="str">
        <f>_xlfn.IFNA(SQRT((VLOOKUP(BI$1,DATA!$A$3:$F$301,2,FALSE)-VLOOKUP($A92,DATA!$A$3:$F$301,2,FALSE))^2+(VLOOKUP(BI$1,DATA!$A$3:$F$301,3,FALSE)-VLOOKUP($A92,DATA!$A$3:$F$301,3,FALSE))^2),"")</f>
        <v/>
      </c>
      <c r="BJ92" s="14" t="str">
        <f>_xlfn.IFNA(SQRT((VLOOKUP(BJ$1,DATA!$A$3:$F$301,2,FALSE)-VLOOKUP($A92,DATA!$A$3:$F$301,2,FALSE))^2+(VLOOKUP(BJ$1,DATA!$A$3:$F$301,3,FALSE)-VLOOKUP($A92,DATA!$A$3:$F$301,3,FALSE))^2),"")</f>
        <v/>
      </c>
      <c r="BK92" s="14" t="str">
        <f>_xlfn.IFNA(SQRT((VLOOKUP(BK$1,DATA!$A$3:$F$301,2,FALSE)-VLOOKUP($A92,DATA!$A$3:$F$301,2,FALSE))^2+(VLOOKUP(BK$1,DATA!$A$3:$F$301,3,FALSE)-VLOOKUP($A92,DATA!$A$3:$F$301,3,FALSE))^2),"")</f>
        <v/>
      </c>
      <c r="BL92" s="14" t="str">
        <f>_xlfn.IFNA(SQRT((VLOOKUP(BL$1,DATA!$A$3:$F$301,2,FALSE)-VLOOKUP($A92,DATA!$A$3:$F$301,2,FALSE))^2+(VLOOKUP(BL$1,DATA!$A$3:$F$301,3,FALSE)-VLOOKUP($A92,DATA!$A$3:$F$301,3,FALSE))^2),"")</f>
        <v/>
      </c>
      <c r="BM92" s="14" t="str">
        <f>_xlfn.IFNA(SQRT((VLOOKUP(BM$1,DATA!$A$3:$F$301,2,FALSE)-VLOOKUP($A92,DATA!$A$3:$F$301,2,FALSE))^2+(VLOOKUP(BM$1,DATA!$A$3:$F$301,3,FALSE)-VLOOKUP($A92,DATA!$A$3:$F$301,3,FALSE))^2),"")</f>
        <v/>
      </c>
      <c r="BN92" s="14" t="str">
        <f>_xlfn.IFNA(SQRT((VLOOKUP(BN$1,DATA!$A$3:$F$301,2,FALSE)-VLOOKUP($A92,DATA!$A$3:$F$301,2,FALSE))^2+(VLOOKUP(BN$1,DATA!$A$3:$F$301,3,FALSE)-VLOOKUP($A92,DATA!$A$3:$F$301,3,FALSE))^2),"")</f>
        <v/>
      </c>
      <c r="BO92" s="14" t="str">
        <f>_xlfn.IFNA(SQRT((VLOOKUP(BO$1,DATA!$A$3:$F$301,2,FALSE)-VLOOKUP($A92,DATA!$A$3:$F$301,2,FALSE))^2+(VLOOKUP(BO$1,DATA!$A$3:$F$301,3,FALSE)-VLOOKUP($A92,DATA!$A$3:$F$301,3,FALSE))^2),"")</f>
        <v/>
      </c>
      <c r="BP92" s="14" t="str">
        <f>_xlfn.IFNA(SQRT((VLOOKUP(BP$1,DATA!$A$3:$F$301,2,FALSE)-VLOOKUP($A92,DATA!$A$3:$F$301,2,FALSE))^2+(VLOOKUP(BP$1,DATA!$A$3:$F$301,3,FALSE)-VLOOKUP($A92,DATA!$A$3:$F$301,3,FALSE))^2),"")</f>
        <v/>
      </c>
      <c r="BQ92" s="14" t="str">
        <f>_xlfn.IFNA(SQRT((VLOOKUP(BQ$1,DATA!$A$3:$F$301,2,FALSE)-VLOOKUP($A92,DATA!$A$3:$F$301,2,FALSE))^2+(VLOOKUP(BQ$1,DATA!$A$3:$F$301,3,FALSE)-VLOOKUP($A92,DATA!$A$3:$F$301,3,FALSE))^2),"")</f>
        <v/>
      </c>
      <c r="BR92" s="14" t="str">
        <f>_xlfn.IFNA(SQRT((VLOOKUP(BR$1,DATA!$A$3:$F$301,2,FALSE)-VLOOKUP($A92,DATA!$A$3:$F$301,2,FALSE))^2+(VLOOKUP(BR$1,DATA!$A$3:$F$301,3,FALSE)-VLOOKUP($A92,DATA!$A$3:$F$301,3,FALSE))^2),"")</f>
        <v/>
      </c>
      <c r="BS92" s="14" t="str">
        <f>_xlfn.IFNA(SQRT((VLOOKUP(BS$1,DATA!$A$3:$F$301,2,FALSE)-VLOOKUP($A92,DATA!$A$3:$F$301,2,FALSE))^2+(VLOOKUP(BS$1,DATA!$A$3:$F$301,3,FALSE)-VLOOKUP($A92,DATA!$A$3:$F$301,3,FALSE))^2),"")</f>
        <v/>
      </c>
      <c r="BT92" s="14" t="str">
        <f>_xlfn.IFNA(SQRT((VLOOKUP(BT$1,DATA!$A$3:$F$301,2,FALSE)-VLOOKUP($A92,DATA!$A$3:$F$301,2,FALSE))^2+(VLOOKUP(BT$1,DATA!$A$3:$F$301,3,FALSE)-VLOOKUP($A92,DATA!$A$3:$F$301,3,FALSE))^2),"")</f>
        <v/>
      </c>
      <c r="BU92" s="14" t="str">
        <f>_xlfn.IFNA(SQRT((VLOOKUP(BU$1,DATA!$A$3:$F$301,2,FALSE)-VLOOKUP($A92,DATA!$A$3:$F$301,2,FALSE))^2+(VLOOKUP(BU$1,DATA!$A$3:$F$301,3,FALSE)-VLOOKUP($A92,DATA!$A$3:$F$301,3,FALSE))^2),"")</f>
        <v/>
      </c>
      <c r="BV92" s="14" t="str">
        <f>_xlfn.IFNA(SQRT((VLOOKUP(BV$1,DATA!$A$3:$F$301,2,FALSE)-VLOOKUP($A92,DATA!$A$3:$F$301,2,FALSE))^2+(VLOOKUP(BV$1,DATA!$A$3:$F$301,3,FALSE)-VLOOKUP($A92,DATA!$A$3:$F$301,3,FALSE))^2),"")</f>
        <v/>
      </c>
      <c r="BW92" s="14" t="str">
        <f>_xlfn.IFNA(SQRT((VLOOKUP(BW$1,DATA!$A$3:$F$301,2,FALSE)-VLOOKUP($A92,DATA!$A$3:$F$301,2,FALSE))^2+(VLOOKUP(BW$1,DATA!$A$3:$F$301,3,FALSE)-VLOOKUP($A92,DATA!$A$3:$F$301,3,FALSE))^2),"")</f>
        <v/>
      </c>
      <c r="BX92" s="14" t="str">
        <f>_xlfn.IFNA(SQRT((VLOOKUP(BX$1,DATA!$A$3:$F$301,2,FALSE)-VLOOKUP($A92,DATA!$A$3:$F$301,2,FALSE))^2+(VLOOKUP(BX$1,DATA!$A$3:$F$301,3,FALSE)-VLOOKUP($A92,DATA!$A$3:$F$301,3,FALSE))^2),"")</f>
        <v/>
      </c>
      <c r="BY92" s="14" t="str">
        <f>_xlfn.IFNA(SQRT((VLOOKUP(BY$1,DATA!$A$3:$F$301,2,FALSE)-VLOOKUP($A92,DATA!$A$3:$F$301,2,FALSE))^2+(VLOOKUP(BY$1,DATA!$A$3:$F$301,3,FALSE)-VLOOKUP($A92,DATA!$A$3:$F$301,3,FALSE))^2),"")</f>
        <v/>
      </c>
      <c r="BZ92" s="14" t="str">
        <f>_xlfn.IFNA(SQRT((VLOOKUP(BZ$1,DATA!$A$3:$F$301,2,FALSE)-VLOOKUP($A92,DATA!$A$3:$F$301,2,FALSE))^2+(VLOOKUP(BZ$1,DATA!$A$3:$F$301,3,FALSE)-VLOOKUP($A92,DATA!$A$3:$F$301,3,FALSE))^2),"")</f>
        <v/>
      </c>
      <c r="CA92" s="14" t="str">
        <f>_xlfn.IFNA(SQRT((VLOOKUP(CA$1,DATA!$A$3:$F$301,2,FALSE)-VLOOKUP($A92,DATA!$A$3:$F$301,2,FALSE))^2+(VLOOKUP(CA$1,DATA!$A$3:$F$301,3,FALSE)-VLOOKUP($A92,DATA!$A$3:$F$301,3,FALSE))^2),"")</f>
        <v/>
      </c>
      <c r="CB92" s="14" t="str">
        <f>_xlfn.IFNA(SQRT((VLOOKUP(CB$1,DATA!$A$3:$F$301,2,FALSE)-VLOOKUP($A92,DATA!$A$3:$F$301,2,FALSE))^2+(VLOOKUP(CB$1,DATA!$A$3:$F$301,3,FALSE)-VLOOKUP($A92,DATA!$A$3:$F$301,3,FALSE))^2),"")</f>
        <v/>
      </c>
      <c r="CC92" s="14" t="str">
        <f>_xlfn.IFNA(SQRT((VLOOKUP(CC$1,DATA!$A$3:$F$301,2,FALSE)-VLOOKUP($A92,DATA!$A$3:$F$301,2,FALSE))^2+(VLOOKUP(CC$1,DATA!$A$3:$F$301,3,FALSE)-VLOOKUP($A92,DATA!$A$3:$F$301,3,FALSE))^2),"")</f>
        <v/>
      </c>
      <c r="CD92" s="14" t="str">
        <f>_xlfn.IFNA(SQRT((VLOOKUP(CD$1,DATA!$A$3:$F$301,2,FALSE)-VLOOKUP($A92,DATA!$A$3:$F$301,2,FALSE))^2+(VLOOKUP(CD$1,DATA!$A$3:$F$301,3,FALSE)-VLOOKUP($A92,DATA!$A$3:$F$301,3,FALSE))^2),"")</f>
        <v/>
      </c>
      <c r="CE92" s="14" t="str">
        <f>_xlfn.IFNA(SQRT((VLOOKUP(CE$1,DATA!$A$3:$F$301,2,FALSE)-VLOOKUP($A92,DATA!$A$3:$F$301,2,FALSE))^2+(VLOOKUP(CE$1,DATA!$A$3:$F$301,3,FALSE)-VLOOKUP($A92,DATA!$A$3:$F$301,3,FALSE))^2),"")</f>
        <v/>
      </c>
      <c r="CF92" s="14" t="str">
        <f>_xlfn.IFNA(SQRT((VLOOKUP(CF$1,DATA!$A$3:$F$301,2,FALSE)-VLOOKUP($A92,DATA!$A$3:$F$301,2,FALSE))^2+(VLOOKUP(CF$1,DATA!$A$3:$F$301,3,FALSE)-VLOOKUP($A92,DATA!$A$3:$F$301,3,FALSE))^2),"")</f>
        <v/>
      </c>
      <c r="CG92" s="14" t="str">
        <f>_xlfn.IFNA(SQRT((VLOOKUP(CG$1,DATA!$A$3:$F$301,2,FALSE)-VLOOKUP($A92,DATA!$A$3:$F$301,2,FALSE))^2+(VLOOKUP(CG$1,DATA!$A$3:$F$301,3,FALSE)-VLOOKUP($A92,DATA!$A$3:$F$301,3,FALSE))^2),"")</f>
        <v/>
      </c>
      <c r="CH92" s="14" t="str">
        <f>_xlfn.IFNA(SQRT((VLOOKUP(CH$1,DATA!$A$3:$F$301,2,FALSE)-VLOOKUP($A92,DATA!$A$3:$F$301,2,FALSE))^2+(VLOOKUP(CH$1,DATA!$A$3:$F$301,3,FALSE)-VLOOKUP($A92,DATA!$A$3:$F$301,3,FALSE))^2),"")</f>
        <v/>
      </c>
      <c r="CI92" s="14" t="str">
        <f>_xlfn.IFNA(SQRT((VLOOKUP(CI$1,DATA!$A$3:$F$301,2,FALSE)-VLOOKUP($A92,DATA!$A$3:$F$301,2,FALSE))^2+(VLOOKUP(CI$1,DATA!$A$3:$F$301,3,FALSE)-VLOOKUP($A92,DATA!$A$3:$F$301,3,FALSE))^2),"")</f>
        <v/>
      </c>
      <c r="CJ92" s="14" t="str">
        <f>_xlfn.IFNA(SQRT((VLOOKUP(CJ$1,DATA!$A$3:$F$301,2,FALSE)-VLOOKUP($A92,DATA!$A$3:$F$301,2,FALSE))^2+(VLOOKUP(CJ$1,DATA!$A$3:$F$301,3,FALSE)-VLOOKUP($A92,DATA!$A$3:$F$301,3,FALSE))^2),"")</f>
        <v/>
      </c>
      <c r="CK92" s="14" t="str">
        <f>_xlfn.IFNA(SQRT((VLOOKUP(CK$1,DATA!$A$3:$F$301,2,FALSE)-VLOOKUP($A92,DATA!$A$3:$F$301,2,FALSE))^2+(VLOOKUP(CK$1,DATA!$A$3:$F$301,3,FALSE)-VLOOKUP($A92,DATA!$A$3:$F$301,3,FALSE))^2),"")</f>
        <v/>
      </c>
      <c r="CL92" s="14" t="str">
        <f>_xlfn.IFNA(SQRT((VLOOKUP(CL$1,DATA!$A$3:$F$301,2,FALSE)-VLOOKUP($A92,DATA!$A$3:$F$301,2,FALSE))^2+(VLOOKUP(CL$1,DATA!$A$3:$F$301,3,FALSE)-VLOOKUP($A92,DATA!$A$3:$F$301,3,FALSE))^2),"")</f>
        <v/>
      </c>
      <c r="CM92" s="14" t="str">
        <f>_xlfn.IFNA(SQRT((VLOOKUP(CM$1,DATA!$A$3:$F$301,2,FALSE)-VLOOKUP($A92,DATA!$A$3:$F$301,2,FALSE))^2+(VLOOKUP(CM$1,DATA!$A$3:$F$301,3,FALSE)-VLOOKUP($A92,DATA!$A$3:$F$301,3,FALSE))^2),"")</f>
        <v/>
      </c>
      <c r="CN92" s="14" t="str">
        <f>_xlfn.IFNA(SQRT((VLOOKUP(CN$1,DATA!$A$3:$F$301,2,FALSE)-VLOOKUP($A92,DATA!$A$3:$F$301,2,FALSE))^2+(VLOOKUP(CN$1,DATA!$A$3:$F$301,3,FALSE)-VLOOKUP($A92,DATA!$A$3:$F$301,3,FALSE))^2),"")</f>
        <v/>
      </c>
      <c r="CO92" s="14" t="str">
        <f>_xlfn.IFNA(SQRT((VLOOKUP(CO$1,DATA!$A$3:$F$301,2,FALSE)-VLOOKUP($A92,DATA!$A$3:$F$301,2,FALSE))^2+(VLOOKUP(CO$1,DATA!$A$3:$F$301,3,FALSE)-VLOOKUP($A92,DATA!$A$3:$F$301,3,FALSE))^2),"")</f>
        <v/>
      </c>
      <c r="CP92" s="14" t="str">
        <f>_xlfn.IFNA(SQRT((VLOOKUP(CP$1,DATA!$A$3:$F$301,2,FALSE)-VLOOKUP($A92,DATA!$A$3:$F$301,2,FALSE))^2+(VLOOKUP(CP$1,DATA!$A$3:$F$301,3,FALSE)-VLOOKUP($A92,DATA!$A$3:$F$301,3,FALSE))^2),"")</f>
        <v/>
      </c>
      <c r="CQ92" s="14" t="str">
        <f>_xlfn.IFNA(SQRT((VLOOKUP(CQ$1,DATA!$A$3:$F$301,2,FALSE)-VLOOKUP($A92,DATA!$A$3:$F$301,2,FALSE))^2+(VLOOKUP(CQ$1,DATA!$A$3:$F$301,3,FALSE)-VLOOKUP($A92,DATA!$A$3:$F$301,3,FALSE))^2),"")</f>
        <v/>
      </c>
      <c r="CR92" s="14" t="str">
        <f>_xlfn.IFNA(SQRT((VLOOKUP(CR$1,DATA!$A$3:$F$301,2,FALSE)-VLOOKUP($A92,DATA!$A$3:$F$301,2,FALSE))^2+(VLOOKUP(CR$1,DATA!$A$3:$F$301,3,FALSE)-VLOOKUP($A92,DATA!$A$3:$F$301,3,FALSE))^2),"")</f>
        <v/>
      </c>
      <c r="CS92" s="14" t="str">
        <f>_xlfn.IFNA(SQRT((VLOOKUP(CS$1,DATA!$A$3:$F$301,2,FALSE)-VLOOKUP($A92,DATA!$A$3:$F$301,2,FALSE))^2+(VLOOKUP(CS$1,DATA!$A$3:$F$301,3,FALSE)-VLOOKUP($A92,DATA!$A$3:$F$301,3,FALSE))^2),"")</f>
        <v/>
      </c>
      <c r="CT92" s="14" t="str">
        <f>_xlfn.IFNA(SQRT((VLOOKUP(CT$1,DATA!$A$3:$F$301,2,FALSE)-VLOOKUP($A92,DATA!$A$3:$F$301,2,FALSE))^2+(VLOOKUP(CT$1,DATA!$A$3:$F$301,3,FALSE)-VLOOKUP($A92,DATA!$A$3:$F$301,3,FALSE))^2),"")</f>
        <v/>
      </c>
      <c r="CU92" s="14" t="str">
        <f>_xlfn.IFNA(SQRT((VLOOKUP(CU$1,DATA!$A$3:$F$301,2,FALSE)-VLOOKUP($A92,DATA!$A$3:$F$301,2,FALSE))^2+(VLOOKUP(CU$1,DATA!$A$3:$F$301,3,FALSE)-VLOOKUP($A92,DATA!$A$3:$F$301,3,FALSE))^2),"")</f>
        <v/>
      </c>
      <c r="CV92" s="14" t="str">
        <f>_xlfn.IFNA(SQRT((VLOOKUP(CV$1,DATA!$A$3:$F$301,2,FALSE)-VLOOKUP($A92,DATA!$A$3:$F$301,2,FALSE))^2+(VLOOKUP(CV$1,DATA!$A$3:$F$301,3,FALSE)-VLOOKUP($A92,DATA!$A$3:$F$301,3,FALSE))^2),"")</f>
        <v/>
      </c>
      <c r="CW92" s="14" t="str">
        <f>_xlfn.IFNA(SQRT((VLOOKUP(CW$1,DATA!$A$3:$F$301,2,FALSE)-VLOOKUP($A92,DATA!$A$3:$F$301,2,FALSE))^2+(VLOOKUP(CW$1,DATA!$A$3:$F$301,3,FALSE)-VLOOKUP($A92,DATA!$A$3:$F$301,3,FALSE))^2),"")</f>
        <v/>
      </c>
      <c r="CX92" s="14" t="str">
        <f>_xlfn.IFNA(SQRT((VLOOKUP(CX$1,DATA!$A$3:$F$301,2,FALSE)-VLOOKUP($A92,DATA!$A$3:$F$301,2,FALSE))^2+(VLOOKUP(CX$1,DATA!$A$3:$F$301,3,FALSE)-VLOOKUP($A92,DATA!$A$3:$F$301,3,FALSE))^2),"")</f>
        <v/>
      </c>
    </row>
    <row r="93" spans="1:102">
      <c r="A93" s="13">
        <v>92</v>
      </c>
      <c r="B93" s="14" t="str">
        <f>_xlfn.IFNA(SQRT((VLOOKUP(B$1,DATA!$A$3:$F$301,2,FALSE)-VLOOKUP($A93,DATA!$A$3:$F$301,2,FALSE))^2+(VLOOKUP(B$1,DATA!$A$3:$F$301,3,FALSE)-VLOOKUP($A93,DATA!$A$3:$F$301,3,FALSE))^2),"")</f>
        <v/>
      </c>
      <c r="C93" s="14" t="str">
        <f>_xlfn.IFNA(SQRT((VLOOKUP(C$1,DATA!$A$3:$F$301,2,FALSE)-VLOOKUP($A93,DATA!$A$3:$F$301,2,FALSE))^2+(VLOOKUP(C$1,DATA!$A$3:$F$301,3,FALSE)-VLOOKUP($A93,DATA!$A$3:$F$301,3,FALSE))^2),"")</f>
        <v/>
      </c>
      <c r="D93" s="14" t="str">
        <f>_xlfn.IFNA(SQRT((VLOOKUP(D$1,DATA!$A$3:$F$301,2,FALSE)-VLOOKUP($A93,DATA!$A$3:$F$301,2,FALSE))^2+(VLOOKUP(D$1,DATA!$A$3:$F$301,3,FALSE)-VLOOKUP($A93,DATA!$A$3:$F$301,3,FALSE))^2),"")</f>
        <v/>
      </c>
      <c r="E93" s="14" t="str">
        <f>_xlfn.IFNA(SQRT((VLOOKUP(E$1,DATA!$A$3:$F$301,2,FALSE)-VLOOKUP($A93,DATA!$A$3:$F$301,2,FALSE))^2+(VLOOKUP(E$1,DATA!$A$3:$F$301,3,FALSE)-VLOOKUP($A93,DATA!$A$3:$F$301,3,FALSE))^2),"")</f>
        <v/>
      </c>
      <c r="F93" s="14" t="str">
        <f>_xlfn.IFNA(SQRT((VLOOKUP(F$1,DATA!$A$3:$F$301,2,FALSE)-VLOOKUP($A93,DATA!$A$3:$F$301,2,FALSE))^2+(VLOOKUP(F$1,DATA!$A$3:$F$301,3,FALSE)-VLOOKUP($A93,DATA!$A$3:$F$301,3,FALSE))^2),"")</f>
        <v/>
      </c>
      <c r="G93" s="14" t="str">
        <f>_xlfn.IFNA(SQRT((VLOOKUP(G$1,DATA!$A$3:$F$301,2,FALSE)-VLOOKUP($A93,DATA!$A$3:$F$301,2,FALSE))^2+(VLOOKUP(G$1,DATA!$A$3:$F$301,3,FALSE)-VLOOKUP($A93,DATA!$A$3:$F$301,3,FALSE))^2),"")</f>
        <v/>
      </c>
      <c r="H93" s="14" t="str">
        <f>_xlfn.IFNA(SQRT((VLOOKUP(H$1,DATA!$A$3:$F$301,2,FALSE)-VLOOKUP($A93,DATA!$A$3:$F$301,2,FALSE))^2+(VLOOKUP(H$1,DATA!$A$3:$F$301,3,FALSE)-VLOOKUP($A93,DATA!$A$3:$F$301,3,FALSE))^2),"")</f>
        <v/>
      </c>
      <c r="I93" s="14" t="str">
        <f>_xlfn.IFNA(SQRT((VLOOKUP(I$1,DATA!$A$3:$F$301,2,FALSE)-VLOOKUP($A93,DATA!$A$3:$F$301,2,FALSE))^2+(VLOOKUP(I$1,DATA!$A$3:$F$301,3,FALSE)-VLOOKUP($A93,DATA!$A$3:$F$301,3,FALSE))^2),"")</f>
        <v/>
      </c>
      <c r="J93" s="14" t="str">
        <f>_xlfn.IFNA(SQRT((VLOOKUP(J$1,DATA!$A$3:$F$301,2,FALSE)-VLOOKUP($A93,DATA!$A$3:$F$301,2,FALSE))^2+(VLOOKUP(J$1,DATA!$A$3:$F$301,3,FALSE)-VLOOKUP($A93,DATA!$A$3:$F$301,3,FALSE))^2),"")</f>
        <v/>
      </c>
      <c r="K93" s="14" t="str">
        <f>_xlfn.IFNA(SQRT((VLOOKUP(K$1,DATA!$A$3:$F$301,2,FALSE)-VLOOKUP($A93,DATA!$A$3:$F$301,2,FALSE))^2+(VLOOKUP(K$1,DATA!$A$3:$F$301,3,FALSE)-VLOOKUP($A93,DATA!$A$3:$F$301,3,FALSE))^2),"")</f>
        <v/>
      </c>
      <c r="L93" s="14" t="str">
        <f>_xlfn.IFNA(SQRT((VLOOKUP(L$1,DATA!$A$3:$F$301,2,FALSE)-VLOOKUP($A93,DATA!$A$3:$F$301,2,FALSE))^2+(VLOOKUP(L$1,DATA!$A$3:$F$301,3,FALSE)-VLOOKUP($A93,DATA!$A$3:$F$301,3,FALSE))^2),"")</f>
        <v/>
      </c>
      <c r="M93" s="14" t="str">
        <f>_xlfn.IFNA(SQRT((VLOOKUP(M$1,DATA!$A$3:$F$301,2,FALSE)-VLOOKUP($A93,DATA!$A$3:$F$301,2,FALSE))^2+(VLOOKUP(M$1,DATA!$A$3:$F$301,3,FALSE)-VLOOKUP($A93,DATA!$A$3:$F$301,3,FALSE))^2),"")</f>
        <v/>
      </c>
      <c r="N93" s="14" t="str">
        <f>_xlfn.IFNA(SQRT((VLOOKUP(N$1,DATA!$A$3:$F$301,2,FALSE)-VLOOKUP($A93,DATA!$A$3:$F$301,2,FALSE))^2+(VLOOKUP(N$1,DATA!$A$3:$F$301,3,FALSE)-VLOOKUP($A93,DATA!$A$3:$F$301,3,FALSE))^2),"")</f>
        <v/>
      </c>
      <c r="O93" s="14" t="str">
        <f>_xlfn.IFNA(SQRT((VLOOKUP(O$1,DATA!$A$3:$F$301,2,FALSE)-VLOOKUP($A93,DATA!$A$3:$F$301,2,FALSE))^2+(VLOOKUP(O$1,DATA!$A$3:$F$301,3,FALSE)-VLOOKUP($A93,DATA!$A$3:$F$301,3,FALSE))^2),"")</f>
        <v/>
      </c>
      <c r="P93" s="14" t="str">
        <f>_xlfn.IFNA(SQRT((VLOOKUP(P$1,DATA!$A$3:$F$301,2,FALSE)-VLOOKUP($A93,DATA!$A$3:$F$301,2,FALSE))^2+(VLOOKUP(P$1,DATA!$A$3:$F$301,3,FALSE)-VLOOKUP($A93,DATA!$A$3:$F$301,3,FALSE))^2),"")</f>
        <v/>
      </c>
      <c r="Q93" s="14" t="str">
        <f>_xlfn.IFNA(SQRT((VLOOKUP(Q$1,DATA!$A$3:$F$301,2,FALSE)-VLOOKUP($A93,DATA!$A$3:$F$301,2,FALSE))^2+(VLOOKUP(Q$1,DATA!$A$3:$F$301,3,FALSE)-VLOOKUP($A93,DATA!$A$3:$F$301,3,FALSE))^2),"")</f>
        <v/>
      </c>
      <c r="R93" s="14" t="str">
        <f>_xlfn.IFNA(SQRT((VLOOKUP(R$1,DATA!$A$3:$F$301,2,FALSE)-VLOOKUP($A93,DATA!$A$3:$F$301,2,FALSE))^2+(VLOOKUP(R$1,DATA!$A$3:$F$301,3,FALSE)-VLOOKUP($A93,DATA!$A$3:$F$301,3,FALSE))^2),"")</f>
        <v/>
      </c>
      <c r="S93" s="14" t="str">
        <f>_xlfn.IFNA(SQRT((VLOOKUP(S$1,DATA!$A$3:$F$301,2,FALSE)-VLOOKUP($A93,DATA!$A$3:$F$301,2,FALSE))^2+(VLOOKUP(S$1,DATA!$A$3:$F$301,3,FALSE)-VLOOKUP($A93,DATA!$A$3:$F$301,3,FALSE))^2),"")</f>
        <v/>
      </c>
      <c r="T93" s="14" t="str">
        <f>_xlfn.IFNA(SQRT((VLOOKUP(T$1,DATA!$A$3:$F$301,2,FALSE)-VLOOKUP($A93,DATA!$A$3:$F$301,2,FALSE))^2+(VLOOKUP(T$1,DATA!$A$3:$F$301,3,FALSE)-VLOOKUP($A93,DATA!$A$3:$F$301,3,FALSE))^2),"")</f>
        <v/>
      </c>
      <c r="U93" s="14" t="str">
        <f>_xlfn.IFNA(SQRT((VLOOKUP(U$1,DATA!$A$3:$F$301,2,FALSE)-VLOOKUP($A93,DATA!$A$3:$F$301,2,FALSE))^2+(VLOOKUP(U$1,DATA!$A$3:$F$301,3,FALSE)-VLOOKUP($A93,DATA!$A$3:$F$301,3,FALSE))^2),"")</f>
        <v/>
      </c>
      <c r="V93" s="14" t="str">
        <f>_xlfn.IFNA(SQRT((VLOOKUP(V$1,DATA!$A$3:$F$301,2,FALSE)-VLOOKUP($A93,DATA!$A$3:$F$301,2,FALSE))^2+(VLOOKUP(V$1,DATA!$A$3:$F$301,3,FALSE)-VLOOKUP($A93,DATA!$A$3:$F$301,3,FALSE))^2),"")</f>
        <v/>
      </c>
      <c r="W93" s="14" t="str">
        <f>_xlfn.IFNA(SQRT((VLOOKUP(W$1,DATA!$A$3:$F$301,2,FALSE)-VLOOKUP($A93,DATA!$A$3:$F$301,2,FALSE))^2+(VLOOKUP(W$1,DATA!$A$3:$F$301,3,FALSE)-VLOOKUP($A93,DATA!$A$3:$F$301,3,FALSE))^2),"")</f>
        <v/>
      </c>
      <c r="X93" s="14" t="str">
        <f>_xlfn.IFNA(SQRT((VLOOKUP(X$1,DATA!$A$3:$F$301,2,FALSE)-VLOOKUP($A93,DATA!$A$3:$F$301,2,FALSE))^2+(VLOOKUP(X$1,DATA!$A$3:$F$301,3,FALSE)-VLOOKUP($A93,DATA!$A$3:$F$301,3,FALSE))^2),"")</f>
        <v/>
      </c>
      <c r="Y93" s="14" t="str">
        <f>_xlfn.IFNA(SQRT((VLOOKUP(Y$1,DATA!$A$3:$F$301,2,FALSE)-VLOOKUP($A93,DATA!$A$3:$F$301,2,FALSE))^2+(VLOOKUP(Y$1,DATA!$A$3:$F$301,3,FALSE)-VLOOKUP($A93,DATA!$A$3:$F$301,3,FALSE))^2),"")</f>
        <v/>
      </c>
      <c r="Z93" s="14" t="str">
        <f>_xlfn.IFNA(SQRT((VLOOKUP(Z$1,DATA!$A$3:$F$301,2,FALSE)-VLOOKUP($A93,DATA!$A$3:$F$301,2,FALSE))^2+(VLOOKUP(Z$1,DATA!$A$3:$F$301,3,FALSE)-VLOOKUP($A93,DATA!$A$3:$F$301,3,FALSE))^2),"")</f>
        <v/>
      </c>
      <c r="AA93" s="14" t="str">
        <f>_xlfn.IFNA(SQRT((VLOOKUP(AA$1,DATA!$A$3:$F$301,2,FALSE)-VLOOKUP($A93,DATA!$A$3:$F$301,2,FALSE))^2+(VLOOKUP(AA$1,DATA!$A$3:$F$301,3,FALSE)-VLOOKUP($A93,DATA!$A$3:$F$301,3,FALSE))^2),"")</f>
        <v/>
      </c>
      <c r="AB93" s="14" t="str">
        <f>_xlfn.IFNA(SQRT((VLOOKUP(AB$1,DATA!$A$3:$F$301,2,FALSE)-VLOOKUP($A93,DATA!$A$3:$F$301,2,FALSE))^2+(VLOOKUP(AB$1,DATA!$A$3:$F$301,3,FALSE)-VLOOKUP($A93,DATA!$A$3:$F$301,3,FALSE))^2),"")</f>
        <v/>
      </c>
      <c r="AC93" s="14" t="str">
        <f>_xlfn.IFNA(SQRT((VLOOKUP(AC$1,DATA!$A$3:$F$301,2,FALSE)-VLOOKUP($A93,DATA!$A$3:$F$301,2,FALSE))^2+(VLOOKUP(AC$1,DATA!$A$3:$F$301,3,FALSE)-VLOOKUP($A93,DATA!$A$3:$F$301,3,FALSE))^2),"")</f>
        <v/>
      </c>
      <c r="AD93" s="14" t="str">
        <f>_xlfn.IFNA(SQRT((VLOOKUP(AD$1,DATA!$A$3:$F$301,2,FALSE)-VLOOKUP($A93,DATA!$A$3:$F$301,2,FALSE))^2+(VLOOKUP(AD$1,DATA!$A$3:$F$301,3,FALSE)-VLOOKUP($A93,DATA!$A$3:$F$301,3,FALSE))^2),"")</f>
        <v/>
      </c>
      <c r="AE93" s="14" t="str">
        <f>_xlfn.IFNA(SQRT((VLOOKUP(AE$1,DATA!$A$3:$F$301,2,FALSE)-VLOOKUP($A93,DATA!$A$3:$F$301,2,FALSE))^2+(VLOOKUP(AE$1,DATA!$A$3:$F$301,3,FALSE)-VLOOKUP($A93,DATA!$A$3:$F$301,3,FALSE))^2),"")</f>
        <v/>
      </c>
      <c r="AF93" s="14" t="str">
        <f>_xlfn.IFNA(SQRT((VLOOKUP(AF$1,DATA!$A$3:$F$301,2,FALSE)-VLOOKUP($A93,DATA!$A$3:$F$301,2,FALSE))^2+(VLOOKUP(AF$1,DATA!$A$3:$F$301,3,FALSE)-VLOOKUP($A93,DATA!$A$3:$F$301,3,FALSE))^2),"")</f>
        <v/>
      </c>
      <c r="AG93" s="14" t="str">
        <f>_xlfn.IFNA(SQRT((VLOOKUP(AG$1,DATA!$A$3:$F$301,2,FALSE)-VLOOKUP($A93,DATA!$A$3:$F$301,2,FALSE))^2+(VLOOKUP(AG$1,DATA!$A$3:$F$301,3,FALSE)-VLOOKUP($A93,DATA!$A$3:$F$301,3,FALSE))^2),"")</f>
        <v/>
      </c>
      <c r="AH93" s="14" t="str">
        <f>_xlfn.IFNA(SQRT((VLOOKUP(AH$1,DATA!$A$3:$F$301,2,FALSE)-VLOOKUP($A93,DATA!$A$3:$F$301,2,FALSE))^2+(VLOOKUP(AH$1,DATA!$A$3:$F$301,3,FALSE)-VLOOKUP($A93,DATA!$A$3:$F$301,3,FALSE))^2),"")</f>
        <v/>
      </c>
      <c r="AI93" s="14" t="str">
        <f>_xlfn.IFNA(SQRT((VLOOKUP(AI$1,DATA!$A$3:$F$301,2,FALSE)-VLOOKUP($A93,DATA!$A$3:$F$301,2,FALSE))^2+(VLOOKUP(AI$1,DATA!$A$3:$F$301,3,FALSE)-VLOOKUP($A93,DATA!$A$3:$F$301,3,FALSE))^2),"")</f>
        <v/>
      </c>
      <c r="AJ93" s="14" t="str">
        <f>_xlfn.IFNA(SQRT((VLOOKUP(AJ$1,DATA!$A$3:$F$301,2,FALSE)-VLOOKUP($A93,DATA!$A$3:$F$301,2,FALSE))^2+(VLOOKUP(AJ$1,DATA!$A$3:$F$301,3,FALSE)-VLOOKUP($A93,DATA!$A$3:$F$301,3,FALSE))^2),"")</f>
        <v/>
      </c>
      <c r="AK93" s="14" t="str">
        <f>_xlfn.IFNA(SQRT((VLOOKUP(AK$1,DATA!$A$3:$F$301,2,FALSE)-VLOOKUP($A93,DATA!$A$3:$F$301,2,FALSE))^2+(VLOOKUP(AK$1,DATA!$A$3:$F$301,3,FALSE)-VLOOKUP($A93,DATA!$A$3:$F$301,3,FALSE))^2),"")</f>
        <v/>
      </c>
      <c r="AL93" s="14" t="str">
        <f>_xlfn.IFNA(SQRT((VLOOKUP(AL$1,DATA!$A$3:$F$301,2,FALSE)-VLOOKUP($A93,DATA!$A$3:$F$301,2,FALSE))^2+(VLOOKUP(AL$1,DATA!$A$3:$F$301,3,FALSE)-VLOOKUP($A93,DATA!$A$3:$F$301,3,FALSE))^2),"")</f>
        <v/>
      </c>
      <c r="AM93" s="14" t="str">
        <f>_xlfn.IFNA(SQRT((VLOOKUP(AM$1,DATA!$A$3:$F$301,2,FALSE)-VLOOKUP($A93,DATA!$A$3:$F$301,2,FALSE))^2+(VLOOKUP(AM$1,DATA!$A$3:$F$301,3,FALSE)-VLOOKUP($A93,DATA!$A$3:$F$301,3,FALSE))^2),"")</f>
        <v/>
      </c>
      <c r="AN93" s="14" t="str">
        <f>_xlfn.IFNA(SQRT((VLOOKUP(AN$1,DATA!$A$3:$F$301,2,FALSE)-VLOOKUP($A93,DATA!$A$3:$F$301,2,FALSE))^2+(VLOOKUP(AN$1,DATA!$A$3:$F$301,3,FALSE)-VLOOKUP($A93,DATA!$A$3:$F$301,3,FALSE))^2),"")</f>
        <v/>
      </c>
      <c r="AO93" s="14" t="str">
        <f>_xlfn.IFNA(SQRT((VLOOKUP(AO$1,DATA!$A$3:$F$301,2,FALSE)-VLOOKUP($A93,DATA!$A$3:$F$301,2,FALSE))^2+(VLOOKUP(AO$1,DATA!$A$3:$F$301,3,FALSE)-VLOOKUP($A93,DATA!$A$3:$F$301,3,FALSE))^2),"")</f>
        <v/>
      </c>
      <c r="AP93" s="14" t="str">
        <f>_xlfn.IFNA(SQRT((VLOOKUP(AP$1,DATA!$A$3:$F$301,2,FALSE)-VLOOKUP($A93,DATA!$A$3:$F$301,2,FALSE))^2+(VLOOKUP(AP$1,DATA!$A$3:$F$301,3,FALSE)-VLOOKUP($A93,DATA!$A$3:$F$301,3,FALSE))^2),"")</f>
        <v/>
      </c>
      <c r="AQ93" s="14" t="str">
        <f>_xlfn.IFNA(SQRT((VLOOKUP(AQ$1,DATA!$A$3:$F$301,2,FALSE)-VLOOKUP($A93,DATA!$A$3:$F$301,2,FALSE))^2+(VLOOKUP(AQ$1,DATA!$A$3:$F$301,3,FALSE)-VLOOKUP($A93,DATA!$A$3:$F$301,3,FALSE))^2),"")</f>
        <v/>
      </c>
      <c r="AR93" s="14" t="str">
        <f>_xlfn.IFNA(SQRT((VLOOKUP(AR$1,DATA!$A$3:$F$301,2,FALSE)-VLOOKUP($A93,DATA!$A$3:$F$301,2,FALSE))^2+(VLOOKUP(AR$1,DATA!$A$3:$F$301,3,FALSE)-VLOOKUP($A93,DATA!$A$3:$F$301,3,FALSE))^2),"")</f>
        <v/>
      </c>
      <c r="AS93" s="14" t="str">
        <f>_xlfn.IFNA(SQRT((VLOOKUP(AS$1,DATA!$A$3:$F$301,2,FALSE)-VLOOKUP($A93,DATA!$A$3:$F$301,2,FALSE))^2+(VLOOKUP(AS$1,DATA!$A$3:$F$301,3,FALSE)-VLOOKUP($A93,DATA!$A$3:$F$301,3,FALSE))^2),"")</f>
        <v/>
      </c>
      <c r="AT93" s="14" t="str">
        <f>_xlfn.IFNA(SQRT((VLOOKUP(AT$1,DATA!$A$3:$F$301,2,FALSE)-VLOOKUP($A93,DATA!$A$3:$F$301,2,FALSE))^2+(VLOOKUP(AT$1,DATA!$A$3:$F$301,3,FALSE)-VLOOKUP($A93,DATA!$A$3:$F$301,3,FALSE))^2),"")</f>
        <v/>
      </c>
      <c r="AU93" s="14" t="str">
        <f>_xlfn.IFNA(SQRT((VLOOKUP(AU$1,DATA!$A$3:$F$301,2,FALSE)-VLOOKUP($A93,DATA!$A$3:$F$301,2,FALSE))^2+(VLOOKUP(AU$1,DATA!$A$3:$F$301,3,FALSE)-VLOOKUP($A93,DATA!$A$3:$F$301,3,FALSE))^2),"")</f>
        <v/>
      </c>
      <c r="AV93" s="14" t="str">
        <f>_xlfn.IFNA(SQRT((VLOOKUP(AV$1,DATA!$A$3:$F$301,2,FALSE)-VLOOKUP($A93,DATA!$A$3:$F$301,2,FALSE))^2+(VLOOKUP(AV$1,DATA!$A$3:$F$301,3,FALSE)-VLOOKUP($A93,DATA!$A$3:$F$301,3,FALSE))^2),"")</f>
        <v/>
      </c>
      <c r="AW93" s="14" t="str">
        <f>_xlfn.IFNA(SQRT((VLOOKUP(AW$1,DATA!$A$3:$F$301,2,FALSE)-VLOOKUP($A93,DATA!$A$3:$F$301,2,FALSE))^2+(VLOOKUP(AW$1,DATA!$A$3:$F$301,3,FALSE)-VLOOKUP($A93,DATA!$A$3:$F$301,3,FALSE))^2),"")</f>
        <v/>
      </c>
      <c r="AX93" s="14" t="str">
        <f>_xlfn.IFNA(SQRT((VLOOKUP(AX$1,DATA!$A$3:$F$301,2,FALSE)-VLOOKUP($A93,DATA!$A$3:$F$301,2,FALSE))^2+(VLOOKUP(AX$1,DATA!$A$3:$F$301,3,FALSE)-VLOOKUP($A93,DATA!$A$3:$F$301,3,FALSE))^2),"")</f>
        <v/>
      </c>
      <c r="AY93" s="14" t="str">
        <f>_xlfn.IFNA(SQRT((VLOOKUP(AY$1,DATA!$A$3:$F$301,2,FALSE)-VLOOKUP($A93,DATA!$A$3:$F$301,2,FALSE))^2+(VLOOKUP(AY$1,DATA!$A$3:$F$301,3,FALSE)-VLOOKUP($A93,DATA!$A$3:$F$301,3,FALSE))^2),"")</f>
        <v/>
      </c>
      <c r="AZ93" s="14" t="str">
        <f>_xlfn.IFNA(SQRT((VLOOKUP(AZ$1,DATA!$A$3:$F$301,2,FALSE)-VLOOKUP($A93,DATA!$A$3:$F$301,2,FALSE))^2+(VLOOKUP(AZ$1,DATA!$A$3:$F$301,3,FALSE)-VLOOKUP($A93,DATA!$A$3:$F$301,3,FALSE))^2),"")</f>
        <v/>
      </c>
      <c r="BA93" s="14" t="str">
        <f>_xlfn.IFNA(SQRT((VLOOKUP(BA$1,DATA!$A$3:$F$301,2,FALSE)-VLOOKUP($A93,DATA!$A$3:$F$301,2,FALSE))^2+(VLOOKUP(BA$1,DATA!$A$3:$F$301,3,FALSE)-VLOOKUP($A93,DATA!$A$3:$F$301,3,FALSE))^2),"")</f>
        <v/>
      </c>
      <c r="BB93" s="14" t="str">
        <f>_xlfn.IFNA(SQRT((VLOOKUP(BB$1,DATA!$A$3:$F$301,2,FALSE)-VLOOKUP($A93,DATA!$A$3:$F$301,2,FALSE))^2+(VLOOKUP(BB$1,DATA!$A$3:$F$301,3,FALSE)-VLOOKUP($A93,DATA!$A$3:$F$301,3,FALSE))^2),"")</f>
        <v/>
      </c>
      <c r="BC93" s="14" t="str">
        <f>_xlfn.IFNA(SQRT((VLOOKUP(BC$1,DATA!$A$3:$F$301,2,FALSE)-VLOOKUP($A93,DATA!$A$3:$F$301,2,FALSE))^2+(VLOOKUP(BC$1,DATA!$A$3:$F$301,3,FALSE)-VLOOKUP($A93,DATA!$A$3:$F$301,3,FALSE))^2),"")</f>
        <v/>
      </c>
      <c r="BD93" s="14" t="str">
        <f>_xlfn.IFNA(SQRT((VLOOKUP(BD$1,DATA!$A$3:$F$301,2,FALSE)-VLOOKUP($A93,DATA!$A$3:$F$301,2,FALSE))^2+(VLOOKUP(BD$1,DATA!$A$3:$F$301,3,FALSE)-VLOOKUP($A93,DATA!$A$3:$F$301,3,FALSE))^2),"")</f>
        <v/>
      </c>
      <c r="BE93" s="14" t="str">
        <f>_xlfn.IFNA(SQRT((VLOOKUP(BE$1,DATA!$A$3:$F$301,2,FALSE)-VLOOKUP($A93,DATA!$A$3:$F$301,2,FALSE))^2+(VLOOKUP(BE$1,DATA!$A$3:$F$301,3,FALSE)-VLOOKUP($A93,DATA!$A$3:$F$301,3,FALSE))^2),"")</f>
        <v/>
      </c>
      <c r="BF93" s="14" t="str">
        <f>_xlfn.IFNA(SQRT((VLOOKUP(BF$1,DATA!$A$3:$F$301,2,FALSE)-VLOOKUP($A93,DATA!$A$3:$F$301,2,FALSE))^2+(VLOOKUP(BF$1,DATA!$A$3:$F$301,3,FALSE)-VLOOKUP($A93,DATA!$A$3:$F$301,3,FALSE))^2),"")</f>
        <v/>
      </c>
      <c r="BG93" s="14" t="str">
        <f>_xlfn.IFNA(SQRT((VLOOKUP(BG$1,DATA!$A$3:$F$301,2,FALSE)-VLOOKUP($A93,DATA!$A$3:$F$301,2,FALSE))^2+(VLOOKUP(BG$1,DATA!$A$3:$F$301,3,FALSE)-VLOOKUP($A93,DATA!$A$3:$F$301,3,FALSE))^2),"")</f>
        <v/>
      </c>
      <c r="BH93" s="14" t="str">
        <f>_xlfn.IFNA(SQRT((VLOOKUP(BH$1,DATA!$A$3:$F$301,2,FALSE)-VLOOKUP($A93,DATA!$A$3:$F$301,2,FALSE))^2+(VLOOKUP(BH$1,DATA!$A$3:$F$301,3,FALSE)-VLOOKUP($A93,DATA!$A$3:$F$301,3,FALSE))^2),"")</f>
        <v/>
      </c>
      <c r="BI93" s="14" t="str">
        <f>_xlfn.IFNA(SQRT((VLOOKUP(BI$1,DATA!$A$3:$F$301,2,FALSE)-VLOOKUP($A93,DATA!$A$3:$F$301,2,FALSE))^2+(VLOOKUP(BI$1,DATA!$A$3:$F$301,3,FALSE)-VLOOKUP($A93,DATA!$A$3:$F$301,3,FALSE))^2),"")</f>
        <v/>
      </c>
      <c r="BJ93" s="14" t="str">
        <f>_xlfn.IFNA(SQRT((VLOOKUP(BJ$1,DATA!$A$3:$F$301,2,FALSE)-VLOOKUP($A93,DATA!$A$3:$F$301,2,FALSE))^2+(VLOOKUP(BJ$1,DATA!$A$3:$F$301,3,FALSE)-VLOOKUP($A93,DATA!$A$3:$F$301,3,FALSE))^2),"")</f>
        <v/>
      </c>
      <c r="BK93" s="14" t="str">
        <f>_xlfn.IFNA(SQRT((VLOOKUP(BK$1,DATA!$A$3:$F$301,2,FALSE)-VLOOKUP($A93,DATA!$A$3:$F$301,2,FALSE))^2+(VLOOKUP(BK$1,DATA!$A$3:$F$301,3,FALSE)-VLOOKUP($A93,DATA!$A$3:$F$301,3,FALSE))^2),"")</f>
        <v/>
      </c>
      <c r="BL93" s="14" t="str">
        <f>_xlfn.IFNA(SQRT((VLOOKUP(BL$1,DATA!$A$3:$F$301,2,FALSE)-VLOOKUP($A93,DATA!$A$3:$F$301,2,FALSE))^2+(VLOOKUP(BL$1,DATA!$A$3:$F$301,3,FALSE)-VLOOKUP($A93,DATA!$A$3:$F$301,3,FALSE))^2),"")</f>
        <v/>
      </c>
      <c r="BM93" s="14" t="str">
        <f>_xlfn.IFNA(SQRT((VLOOKUP(BM$1,DATA!$A$3:$F$301,2,FALSE)-VLOOKUP($A93,DATA!$A$3:$F$301,2,FALSE))^2+(VLOOKUP(BM$1,DATA!$A$3:$F$301,3,FALSE)-VLOOKUP($A93,DATA!$A$3:$F$301,3,FALSE))^2),"")</f>
        <v/>
      </c>
      <c r="BN93" s="14" t="str">
        <f>_xlfn.IFNA(SQRT((VLOOKUP(BN$1,DATA!$A$3:$F$301,2,FALSE)-VLOOKUP($A93,DATA!$A$3:$F$301,2,FALSE))^2+(VLOOKUP(BN$1,DATA!$A$3:$F$301,3,FALSE)-VLOOKUP($A93,DATA!$A$3:$F$301,3,FALSE))^2),"")</f>
        <v/>
      </c>
      <c r="BO93" s="14" t="str">
        <f>_xlfn.IFNA(SQRT((VLOOKUP(BO$1,DATA!$A$3:$F$301,2,FALSE)-VLOOKUP($A93,DATA!$A$3:$F$301,2,FALSE))^2+(VLOOKUP(BO$1,DATA!$A$3:$F$301,3,FALSE)-VLOOKUP($A93,DATA!$A$3:$F$301,3,FALSE))^2),"")</f>
        <v/>
      </c>
      <c r="BP93" s="14" t="str">
        <f>_xlfn.IFNA(SQRT((VLOOKUP(BP$1,DATA!$A$3:$F$301,2,FALSE)-VLOOKUP($A93,DATA!$A$3:$F$301,2,FALSE))^2+(VLOOKUP(BP$1,DATA!$A$3:$F$301,3,FALSE)-VLOOKUP($A93,DATA!$A$3:$F$301,3,FALSE))^2),"")</f>
        <v/>
      </c>
      <c r="BQ93" s="14" t="str">
        <f>_xlfn.IFNA(SQRT((VLOOKUP(BQ$1,DATA!$A$3:$F$301,2,FALSE)-VLOOKUP($A93,DATA!$A$3:$F$301,2,FALSE))^2+(VLOOKUP(BQ$1,DATA!$A$3:$F$301,3,FALSE)-VLOOKUP($A93,DATA!$A$3:$F$301,3,FALSE))^2),"")</f>
        <v/>
      </c>
      <c r="BR93" s="14" t="str">
        <f>_xlfn.IFNA(SQRT((VLOOKUP(BR$1,DATA!$A$3:$F$301,2,FALSE)-VLOOKUP($A93,DATA!$A$3:$F$301,2,FALSE))^2+(VLOOKUP(BR$1,DATA!$A$3:$F$301,3,FALSE)-VLOOKUP($A93,DATA!$A$3:$F$301,3,FALSE))^2),"")</f>
        <v/>
      </c>
      <c r="BS93" s="14" t="str">
        <f>_xlfn.IFNA(SQRT((VLOOKUP(BS$1,DATA!$A$3:$F$301,2,FALSE)-VLOOKUP($A93,DATA!$A$3:$F$301,2,FALSE))^2+(VLOOKUP(BS$1,DATA!$A$3:$F$301,3,FALSE)-VLOOKUP($A93,DATA!$A$3:$F$301,3,FALSE))^2),"")</f>
        <v/>
      </c>
      <c r="BT93" s="14" t="str">
        <f>_xlfn.IFNA(SQRT((VLOOKUP(BT$1,DATA!$A$3:$F$301,2,FALSE)-VLOOKUP($A93,DATA!$A$3:$F$301,2,FALSE))^2+(VLOOKUP(BT$1,DATA!$A$3:$F$301,3,FALSE)-VLOOKUP($A93,DATA!$A$3:$F$301,3,FALSE))^2),"")</f>
        <v/>
      </c>
      <c r="BU93" s="14" t="str">
        <f>_xlfn.IFNA(SQRT((VLOOKUP(BU$1,DATA!$A$3:$F$301,2,FALSE)-VLOOKUP($A93,DATA!$A$3:$F$301,2,FALSE))^2+(VLOOKUP(BU$1,DATA!$A$3:$F$301,3,FALSE)-VLOOKUP($A93,DATA!$A$3:$F$301,3,FALSE))^2),"")</f>
        <v/>
      </c>
      <c r="BV93" s="14" t="str">
        <f>_xlfn.IFNA(SQRT((VLOOKUP(BV$1,DATA!$A$3:$F$301,2,FALSE)-VLOOKUP($A93,DATA!$A$3:$F$301,2,FALSE))^2+(VLOOKUP(BV$1,DATA!$A$3:$F$301,3,FALSE)-VLOOKUP($A93,DATA!$A$3:$F$301,3,FALSE))^2),"")</f>
        <v/>
      </c>
      <c r="BW93" s="14" t="str">
        <f>_xlfn.IFNA(SQRT((VLOOKUP(BW$1,DATA!$A$3:$F$301,2,FALSE)-VLOOKUP($A93,DATA!$A$3:$F$301,2,FALSE))^2+(VLOOKUP(BW$1,DATA!$A$3:$F$301,3,FALSE)-VLOOKUP($A93,DATA!$A$3:$F$301,3,FALSE))^2),"")</f>
        <v/>
      </c>
      <c r="BX93" s="14" t="str">
        <f>_xlfn.IFNA(SQRT((VLOOKUP(BX$1,DATA!$A$3:$F$301,2,FALSE)-VLOOKUP($A93,DATA!$A$3:$F$301,2,FALSE))^2+(VLOOKUP(BX$1,DATA!$A$3:$F$301,3,FALSE)-VLOOKUP($A93,DATA!$A$3:$F$301,3,FALSE))^2),"")</f>
        <v/>
      </c>
      <c r="BY93" s="14" t="str">
        <f>_xlfn.IFNA(SQRT((VLOOKUP(BY$1,DATA!$A$3:$F$301,2,FALSE)-VLOOKUP($A93,DATA!$A$3:$F$301,2,FALSE))^2+(VLOOKUP(BY$1,DATA!$A$3:$F$301,3,FALSE)-VLOOKUP($A93,DATA!$A$3:$F$301,3,FALSE))^2),"")</f>
        <v/>
      </c>
      <c r="BZ93" s="14" t="str">
        <f>_xlfn.IFNA(SQRT((VLOOKUP(BZ$1,DATA!$A$3:$F$301,2,FALSE)-VLOOKUP($A93,DATA!$A$3:$F$301,2,FALSE))^2+(VLOOKUP(BZ$1,DATA!$A$3:$F$301,3,FALSE)-VLOOKUP($A93,DATA!$A$3:$F$301,3,FALSE))^2),"")</f>
        <v/>
      </c>
      <c r="CA93" s="14" t="str">
        <f>_xlfn.IFNA(SQRT((VLOOKUP(CA$1,DATA!$A$3:$F$301,2,FALSE)-VLOOKUP($A93,DATA!$A$3:$F$301,2,FALSE))^2+(VLOOKUP(CA$1,DATA!$A$3:$F$301,3,FALSE)-VLOOKUP($A93,DATA!$A$3:$F$301,3,FALSE))^2),"")</f>
        <v/>
      </c>
      <c r="CB93" s="14" t="str">
        <f>_xlfn.IFNA(SQRT((VLOOKUP(CB$1,DATA!$A$3:$F$301,2,FALSE)-VLOOKUP($A93,DATA!$A$3:$F$301,2,FALSE))^2+(VLOOKUP(CB$1,DATA!$A$3:$F$301,3,FALSE)-VLOOKUP($A93,DATA!$A$3:$F$301,3,FALSE))^2),"")</f>
        <v/>
      </c>
      <c r="CC93" s="14" t="str">
        <f>_xlfn.IFNA(SQRT((VLOOKUP(CC$1,DATA!$A$3:$F$301,2,FALSE)-VLOOKUP($A93,DATA!$A$3:$F$301,2,FALSE))^2+(VLOOKUP(CC$1,DATA!$A$3:$F$301,3,FALSE)-VLOOKUP($A93,DATA!$A$3:$F$301,3,FALSE))^2),"")</f>
        <v/>
      </c>
      <c r="CD93" s="14" t="str">
        <f>_xlfn.IFNA(SQRT((VLOOKUP(CD$1,DATA!$A$3:$F$301,2,FALSE)-VLOOKUP($A93,DATA!$A$3:$F$301,2,FALSE))^2+(VLOOKUP(CD$1,DATA!$A$3:$F$301,3,FALSE)-VLOOKUP($A93,DATA!$A$3:$F$301,3,FALSE))^2),"")</f>
        <v/>
      </c>
      <c r="CE93" s="14" t="str">
        <f>_xlfn.IFNA(SQRT((VLOOKUP(CE$1,DATA!$A$3:$F$301,2,FALSE)-VLOOKUP($A93,DATA!$A$3:$F$301,2,FALSE))^2+(VLOOKUP(CE$1,DATA!$A$3:$F$301,3,FALSE)-VLOOKUP($A93,DATA!$A$3:$F$301,3,FALSE))^2),"")</f>
        <v/>
      </c>
      <c r="CF93" s="14" t="str">
        <f>_xlfn.IFNA(SQRT((VLOOKUP(CF$1,DATA!$A$3:$F$301,2,FALSE)-VLOOKUP($A93,DATA!$A$3:$F$301,2,FALSE))^2+(VLOOKUP(CF$1,DATA!$A$3:$F$301,3,FALSE)-VLOOKUP($A93,DATA!$A$3:$F$301,3,FALSE))^2),"")</f>
        <v/>
      </c>
      <c r="CG93" s="14" t="str">
        <f>_xlfn.IFNA(SQRT((VLOOKUP(CG$1,DATA!$A$3:$F$301,2,FALSE)-VLOOKUP($A93,DATA!$A$3:$F$301,2,FALSE))^2+(VLOOKUP(CG$1,DATA!$A$3:$F$301,3,FALSE)-VLOOKUP($A93,DATA!$A$3:$F$301,3,FALSE))^2),"")</f>
        <v/>
      </c>
      <c r="CH93" s="14" t="str">
        <f>_xlfn.IFNA(SQRT((VLOOKUP(CH$1,DATA!$A$3:$F$301,2,FALSE)-VLOOKUP($A93,DATA!$A$3:$F$301,2,FALSE))^2+(VLOOKUP(CH$1,DATA!$A$3:$F$301,3,FALSE)-VLOOKUP($A93,DATA!$A$3:$F$301,3,FALSE))^2),"")</f>
        <v/>
      </c>
      <c r="CI93" s="14" t="str">
        <f>_xlfn.IFNA(SQRT((VLOOKUP(CI$1,DATA!$A$3:$F$301,2,FALSE)-VLOOKUP($A93,DATA!$A$3:$F$301,2,FALSE))^2+(VLOOKUP(CI$1,DATA!$A$3:$F$301,3,FALSE)-VLOOKUP($A93,DATA!$A$3:$F$301,3,FALSE))^2),"")</f>
        <v/>
      </c>
      <c r="CJ93" s="14" t="str">
        <f>_xlfn.IFNA(SQRT((VLOOKUP(CJ$1,DATA!$A$3:$F$301,2,FALSE)-VLOOKUP($A93,DATA!$A$3:$F$301,2,FALSE))^2+(VLOOKUP(CJ$1,DATA!$A$3:$F$301,3,FALSE)-VLOOKUP($A93,DATA!$A$3:$F$301,3,FALSE))^2),"")</f>
        <v/>
      </c>
      <c r="CK93" s="14" t="str">
        <f>_xlfn.IFNA(SQRT((VLOOKUP(CK$1,DATA!$A$3:$F$301,2,FALSE)-VLOOKUP($A93,DATA!$A$3:$F$301,2,FALSE))^2+(VLOOKUP(CK$1,DATA!$A$3:$F$301,3,FALSE)-VLOOKUP($A93,DATA!$A$3:$F$301,3,FALSE))^2),"")</f>
        <v/>
      </c>
      <c r="CL93" s="14" t="str">
        <f>_xlfn.IFNA(SQRT((VLOOKUP(CL$1,DATA!$A$3:$F$301,2,FALSE)-VLOOKUP($A93,DATA!$A$3:$F$301,2,FALSE))^2+(VLOOKUP(CL$1,DATA!$A$3:$F$301,3,FALSE)-VLOOKUP($A93,DATA!$A$3:$F$301,3,FALSE))^2),"")</f>
        <v/>
      </c>
      <c r="CM93" s="14" t="str">
        <f>_xlfn.IFNA(SQRT((VLOOKUP(CM$1,DATA!$A$3:$F$301,2,FALSE)-VLOOKUP($A93,DATA!$A$3:$F$301,2,FALSE))^2+(VLOOKUP(CM$1,DATA!$A$3:$F$301,3,FALSE)-VLOOKUP($A93,DATA!$A$3:$F$301,3,FALSE))^2),"")</f>
        <v/>
      </c>
      <c r="CN93" s="14" t="str">
        <f>_xlfn.IFNA(SQRT((VLOOKUP(CN$1,DATA!$A$3:$F$301,2,FALSE)-VLOOKUP($A93,DATA!$A$3:$F$301,2,FALSE))^2+(VLOOKUP(CN$1,DATA!$A$3:$F$301,3,FALSE)-VLOOKUP($A93,DATA!$A$3:$F$301,3,FALSE))^2),"")</f>
        <v/>
      </c>
      <c r="CO93" s="14" t="str">
        <f>_xlfn.IFNA(SQRT((VLOOKUP(CO$1,DATA!$A$3:$F$301,2,FALSE)-VLOOKUP($A93,DATA!$A$3:$F$301,2,FALSE))^2+(VLOOKUP(CO$1,DATA!$A$3:$F$301,3,FALSE)-VLOOKUP($A93,DATA!$A$3:$F$301,3,FALSE))^2),"")</f>
        <v/>
      </c>
      <c r="CP93" s="14" t="str">
        <f>_xlfn.IFNA(SQRT((VLOOKUP(CP$1,DATA!$A$3:$F$301,2,FALSE)-VLOOKUP($A93,DATA!$A$3:$F$301,2,FALSE))^2+(VLOOKUP(CP$1,DATA!$A$3:$F$301,3,FALSE)-VLOOKUP($A93,DATA!$A$3:$F$301,3,FALSE))^2),"")</f>
        <v/>
      </c>
      <c r="CQ93" s="14" t="str">
        <f>_xlfn.IFNA(SQRT((VLOOKUP(CQ$1,DATA!$A$3:$F$301,2,FALSE)-VLOOKUP($A93,DATA!$A$3:$F$301,2,FALSE))^2+(VLOOKUP(CQ$1,DATA!$A$3:$F$301,3,FALSE)-VLOOKUP($A93,DATA!$A$3:$F$301,3,FALSE))^2),"")</f>
        <v/>
      </c>
      <c r="CR93" s="14" t="str">
        <f>_xlfn.IFNA(SQRT((VLOOKUP(CR$1,DATA!$A$3:$F$301,2,FALSE)-VLOOKUP($A93,DATA!$A$3:$F$301,2,FALSE))^2+(VLOOKUP(CR$1,DATA!$A$3:$F$301,3,FALSE)-VLOOKUP($A93,DATA!$A$3:$F$301,3,FALSE))^2),"")</f>
        <v/>
      </c>
      <c r="CS93" s="14" t="str">
        <f>_xlfn.IFNA(SQRT((VLOOKUP(CS$1,DATA!$A$3:$F$301,2,FALSE)-VLOOKUP($A93,DATA!$A$3:$F$301,2,FALSE))^2+(VLOOKUP(CS$1,DATA!$A$3:$F$301,3,FALSE)-VLOOKUP($A93,DATA!$A$3:$F$301,3,FALSE))^2),"")</f>
        <v/>
      </c>
      <c r="CT93" s="14" t="str">
        <f>_xlfn.IFNA(SQRT((VLOOKUP(CT$1,DATA!$A$3:$F$301,2,FALSE)-VLOOKUP($A93,DATA!$A$3:$F$301,2,FALSE))^2+(VLOOKUP(CT$1,DATA!$A$3:$F$301,3,FALSE)-VLOOKUP($A93,DATA!$A$3:$F$301,3,FALSE))^2),"")</f>
        <v/>
      </c>
      <c r="CU93" s="14" t="str">
        <f>_xlfn.IFNA(SQRT((VLOOKUP(CU$1,DATA!$A$3:$F$301,2,FALSE)-VLOOKUP($A93,DATA!$A$3:$F$301,2,FALSE))^2+(VLOOKUP(CU$1,DATA!$A$3:$F$301,3,FALSE)-VLOOKUP($A93,DATA!$A$3:$F$301,3,FALSE))^2),"")</f>
        <v/>
      </c>
      <c r="CV93" s="14" t="str">
        <f>_xlfn.IFNA(SQRT((VLOOKUP(CV$1,DATA!$A$3:$F$301,2,FALSE)-VLOOKUP($A93,DATA!$A$3:$F$301,2,FALSE))^2+(VLOOKUP(CV$1,DATA!$A$3:$F$301,3,FALSE)-VLOOKUP($A93,DATA!$A$3:$F$301,3,FALSE))^2),"")</f>
        <v/>
      </c>
      <c r="CW93" s="14" t="str">
        <f>_xlfn.IFNA(SQRT((VLOOKUP(CW$1,DATA!$A$3:$F$301,2,FALSE)-VLOOKUP($A93,DATA!$A$3:$F$301,2,FALSE))^2+(VLOOKUP(CW$1,DATA!$A$3:$F$301,3,FALSE)-VLOOKUP($A93,DATA!$A$3:$F$301,3,FALSE))^2),"")</f>
        <v/>
      </c>
      <c r="CX93" s="14" t="str">
        <f>_xlfn.IFNA(SQRT((VLOOKUP(CX$1,DATA!$A$3:$F$301,2,FALSE)-VLOOKUP($A93,DATA!$A$3:$F$301,2,FALSE))^2+(VLOOKUP(CX$1,DATA!$A$3:$F$301,3,FALSE)-VLOOKUP($A93,DATA!$A$3:$F$301,3,FALSE))^2),"")</f>
        <v/>
      </c>
    </row>
    <row r="94" spans="1:102">
      <c r="A94" s="13">
        <v>93</v>
      </c>
      <c r="B94" s="14" t="str">
        <f>_xlfn.IFNA(SQRT((VLOOKUP(B$1,DATA!$A$3:$F$301,2,FALSE)-VLOOKUP($A94,DATA!$A$3:$F$301,2,FALSE))^2+(VLOOKUP(B$1,DATA!$A$3:$F$301,3,FALSE)-VLOOKUP($A94,DATA!$A$3:$F$301,3,FALSE))^2),"")</f>
        <v/>
      </c>
      <c r="C94" s="14" t="str">
        <f>_xlfn.IFNA(SQRT((VLOOKUP(C$1,DATA!$A$3:$F$301,2,FALSE)-VLOOKUP($A94,DATA!$A$3:$F$301,2,FALSE))^2+(VLOOKUP(C$1,DATA!$A$3:$F$301,3,FALSE)-VLOOKUP($A94,DATA!$A$3:$F$301,3,FALSE))^2),"")</f>
        <v/>
      </c>
      <c r="D94" s="14" t="str">
        <f>_xlfn.IFNA(SQRT((VLOOKUP(D$1,DATA!$A$3:$F$301,2,FALSE)-VLOOKUP($A94,DATA!$A$3:$F$301,2,FALSE))^2+(VLOOKUP(D$1,DATA!$A$3:$F$301,3,FALSE)-VLOOKUP($A94,DATA!$A$3:$F$301,3,FALSE))^2),"")</f>
        <v/>
      </c>
      <c r="E94" s="14" t="str">
        <f>_xlfn.IFNA(SQRT((VLOOKUP(E$1,DATA!$A$3:$F$301,2,FALSE)-VLOOKUP($A94,DATA!$A$3:$F$301,2,FALSE))^2+(VLOOKUP(E$1,DATA!$A$3:$F$301,3,FALSE)-VLOOKUP($A94,DATA!$A$3:$F$301,3,FALSE))^2),"")</f>
        <v/>
      </c>
      <c r="F94" s="14" t="str">
        <f>_xlfn.IFNA(SQRT((VLOOKUP(F$1,DATA!$A$3:$F$301,2,FALSE)-VLOOKUP($A94,DATA!$A$3:$F$301,2,FALSE))^2+(VLOOKUP(F$1,DATA!$A$3:$F$301,3,FALSE)-VLOOKUP($A94,DATA!$A$3:$F$301,3,FALSE))^2),"")</f>
        <v/>
      </c>
      <c r="G94" s="14" t="str">
        <f>_xlfn.IFNA(SQRT((VLOOKUP(G$1,DATA!$A$3:$F$301,2,FALSE)-VLOOKUP($A94,DATA!$A$3:$F$301,2,FALSE))^2+(VLOOKUP(G$1,DATA!$A$3:$F$301,3,FALSE)-VLOOKUP($A94,DATA!$A$3:$F$301,3,FALSE))^2),"")</f>
        <v/>
      </c>
      <c r="H94" s="14" t="str">
        <f>_xlfn.IFNA(SQRT((VLOOKUP(H$1,DATA!$A$3:$F$301,2,FALSE)-VLOOKUP($A94,DATA!$A$3:$F$301,2,FALSE))^2+(VLOOKUP(H$1,DATA!$A$3:$F$301,3,FALSE)-VLOOKUP($A94,DATA!$A$3:$F$301,3,FALSE))^2),"")</f>
        <v/>
      </c>
      <c r="I94" s="14" t="str">
        <f>_xlfn.IFNA(SQRT((VLOOKUP(I$1,DATA!$A$3:$F$301,2,FALSE)-VLOOKUP($A94,DATA!$A$3:$F$301,2,FALSE))^2+(VLOOKUP(I$1,DATA!$A$3:$F$301,3,FALSE)-VLOOKUP($A94,DATA!$A$3:$F$301,3,FALSE))^2),"")</f>
        <v/>
      </c>
      <c r="J94" s="14" t="str">
        <f>_xlfn.IFNA(SQRT((VLOOKUP(J$1,DATA!$A$3:$F$301,2,FALSE)-VLOOKUP($A94,DATA!$A$3:$F$301,2,FALSE))^2+(VLOOKUP(J$1,DATA!$A$3:$F$301,3,FALSE)-VLOOKUP($A94,DATA!$A$3:$F$301,3,FALSE))^2),"")</f>
        <v/>
      </c>
      <c r="K94" s="14" t="str">
        <f>_xlfn.IFNA(SQRT((VLOOKUP(K$1,DATA!$A$3:$F$301,2,FALSE)-VLOOKUP($A94,DATA!$A$3:$F$301,2,FALSE))^2+(VLOOKUP(K$1,DATA!$A$3:$F$301,3,FALSE)-VLOOKUP($A94,DATA!$A$3:$F$301,3,FALSE))^2),"")</f>
        <v/>
      </c>
      <c r="L94" s="14" t="str">
        <f>_xlfn.IFNA(SQRT((VLOOKUP(L$1,DATA!$A$3:$F$301,2,FALSE)-VLOOKUP($A94,DATA!$A$3:$F$301,2,FALSE))^2+(VLOOKUP(L$1,DATA!$A$3:$F$301,3,FALSE)-VLOOKUP($A94,DATA!$A$3:$F$301,3,FALSE))^2),"")</f>
        <v/>
      </c>
      <c r="M94" s="14" t="str">
        <f>_xlfn.IFNA(SQRT((VLOOKUP(M$1,DATA!$A$3:$F$301,2,FALSE)-VLOOKUP($A94,DATA!$A$3:$F$301,2,FALSE))^2+(VLOOKUP(M$1,DATA!$A$3:$F$301,3,FALSE)-VLOOKUP($A94,DATA!$A$3:$F$301,3,FALSE))^2),"")</f>
        <v/>
      </c>
      <c r="N94" s="14" t="str">
        <f>_xlfn.IFNA(SQRT((VLOOKUP(N$1,DATA!$A$3:$F$301,2,FALSE)-VLOOKUP($A94,DATA!$A$3:$F$301,2,FALSE))^2+(VLOOKUP(N$1,DATA!$A$3:$F$301,3,FALSE)-VLOOKUP($A94,DATA!$A$3:$F$301,3,FALSE))^2),"")</f>
        <v/>
      </c>
      <c r="O94" s="14" t="str">
        <f>_xlfn.IFNA(SQRT((VLOOKUP(O$1,DATA!$A$3:$F$301,2,FALSE)-VLOOKUP($A94,DATA!$A$3:$F$301,2,FALSE))^2+(VLOOKUP(O$1,DATA!$A$3:$F$301,3,FALSE)-VLOOKUP($A94,DATA!$A$3:$F$301,3,FALSE))^2),"")</f>
        <v/>
      </c>
      <c r="P94" s="14" t="str">
        <f>_xlfn.IFNA(SQRT((VLOOKUP(P$1,DATA!$A$3:$F$301,2,FALSE)-VLOOKUP($A94,DATA!$A$3:$F$301,2,FALSE))^2+(VLOOKUP(P$1,DATA!$A$3:$F$301,3,FALSE)-VLOOKUP($A94,DATA!$A$3:$F$301,3,FALSE))^2),"")</f>
        <v/>
      </c>
      <c r="Q94" s="14" t="str">
        <f>_xlfn.IFNA(SQRT((VLOOKUP(Q$1,DATA!$A$3:$F$301,2,FALSE)-VLOOKUP($A94,DATA!$A$3:$F$301,2,FALSE))^2+(VLOOKUP(Q$1,DATA!$A$3:$F$301,3,FALSE)-VLOOKUP($A94,DATA!$A$3:$F$301,3,FALSE))^2),"")</f>
        <v/>
      </c>
      <c r="R94" s="14" t="str">
        <f>_xlfn.IFNA(SQRT((VLOOKUP(R$1,DATA!$A$3:$F$301,2,FALSE)-VLOOKUP($A94,DATA!$A$3:$F$301,2,FALSE))^2+(VLOOKUP(R$1,DATA!$A$3:$F$301,3,FALSE)-VLOOKUP($A94,DATA!$A$3:$F$301,3,FALSE))^2),"")</f>
        <v/>
      </c>
      <c r="S94" s="14" t="str">
        <f>_xlfn.IFNA(SQRT((VLOOKUP(S$1,DATA!$A$3:$F$301,2,FALSE)-VLOOKUP($A94,DATA!$A$3:$F$301,2,FALSE))^2+(VLOOKUP(S$1,DATA!$A$3:$F$301,3,FALSE)-VLOOKUP($A94,DATA!$A$3:$F$301,3,FALSE))^2),"")</f>
        <v/>
      </c>
      <c r="T94" s="14" t="str">
        <f>_xlfn.IFNA(SQRT((VLOOKUP(T$1,DATA!$A$3:$F$301,2,FALSE)-VLOOKUP($A94,DATA!$A$3:$F$301,2,FALSE))^2+(VLOOKUP(T$1,DATA!$A$3:$F$301,3,FALSE)-VLOOKUP($A94,DATA!$A$3:$F$301,3,FALSE))^2),"")</f>
        <v/>
      </c>
      <c r="U94" s="14" t="str">
        <f>_xlfn.IFNA(SQRT((VLOOKUP(U$1,DATA!$A$3:$F$301,2,FALSE)-VLOOKUP($A94,DATA!$A$3:$F$301,2,FALSE))^2+(VLOOKUP(U$1,DATA!$A$3:$F$301,3,FALSE)-VLOOKUP($A94,DATA!$A$3:$F$301,3,FALSE))^2),"")</f>
        <v/>
      </c>
      <c r="V94" s="14" t="str">
        <f>_xlfn.IFNA(SQRT((VLOOKUP(V$1,DATA!$A$3:$F$301,2,FALSE)-VLOOKUP($A94,DATA!$A$3:$F$301,2,FALSE))^2+(VLOOKUP(V$1,DATA!$A$3:$F$301,3,FALSE)-VLOOKUP($A94,DATA!$A$3:$F$301,3,FALSE))^2),"")</f>
        <v/>
      </c>
      <c r="W94" s="14" t="str">
        <f>_xlfn.IFNA(SQRT((VLOOKUP(W$1,DATA!$A$3:$F$301,2,FALSE)-VLOOKUP($A94,DATA!$A$3:$F$301,2,FALSE))^2+(VLOOKUP(W$1,DATA!$A$3:$F$301,3,FALSE)-VLOOKUP($A94,DATA!$A$3:$F$301,3,FALSE))^2),"")</f>
        <v/>
      </c>
      <c r="X94" s="14" t="str">
        <f>_xlfn.IFNA(SQRT((VLOOKUP(X$1,DATA!$A$3:$F$301,2,FALSE)-VLOOKUP($A94,DATA!$A$3:$F$301,2,FALSE))^2+(VLOOKUP(X$1,DATA!$A$3:$F$301,3,FALSE)-VLOOKUP($A94,DATA!$A$3:$F$301,3,FALSE))^2),"")</f>
        <v/>
      </c>
      <c r="Y94" s="14" t="str">
        <f>_xlfn.IFNA(SQRT((VLOOKUP(Y$1,DATA!$A$3:$F$301,2,FALSE)-VLOOKUP($A94,DATA!$A$3:$F$301,2,FALSE))^2+(VLOOKUP(Y$1,DATA!$A$3:$F$301,3,FALSE)-VLOOKUP($A94,DATA!$A$3:$F$301,3,FALSE))^2),"")</f>
        <v/>
      </c>
      <c r="Z94" s="14" t="str">
        <f>_xlfn.IFNA(SQRT((VLOOKUP(Z$1,DATA!$A$3:$F$301,2,FALSE)-VLOOKUP($A94,DATA!$A$3:$F$301,2,FALSE))^2+(VLOOKUP(Z$1,DATA!$A$3:$F$301,3,FALSE)-VLOOKUP($A94,DATA!$A$3:$F$301,3,FALSE))^2),"")</f>
        <v/>
      </c>
      <c r="AA94" s="14" t="str">
        <f>_xlfn.IFNA(SQRT((VLOOKUP(AA$1,DATA!$A$3:$F$301,2,FALSE)-VLOOKUP($A94,DATA!$A$3:$F$301,2,FALSE))^2+(VLOOKUP(AA$1,DATA!$A$3:$F$301,3,FALSE)-VLOOKUP($A94,DATA!$A$3:$F$301,3,FALSE))^2),"")</f>
        <v/>
      </c>
      <c r="AB94" s="14" t="str">
        <f>_xlfn.IFNA(SQRT((VLOOKUP(AB$1,DATA!$A$3:$F$301,2,FALSE)-VLOOKUP($A94,DATA!$A$3:$F$301,2,FALSE))^2+(VLOOKUP(AB$1,DATA!$A$3:$F$301,3,FALSE)-VLOOKUP($A94,DATA!$A$3:$F$301,3,FALSE))^2),"")</f>
        <v/>
      </c>
      <c r="AC94" s="14" t="str">
        <f>_xlfn.IFNA(SQRT((VLOOKUP(AC$1,DATA!$A$3:$F$301,2,FALSE)-VLOOKUP($A94,DATA!$A$3:$F$301,2,FALSE))^2+(VLOOKUP(AC$1,DATA!$A$3:$F$301,3,FALSE)-VLOOKUP($A94,DATA!$A$3:$F$301,3,FALSE))^2),"")</f>
        <v/>
      </c>
      <c r="AD94" s="14" t="str">
        <f>_xlfn.IFNA(SQRT((VLOOKUP(AD$1,DATA!$A$3:$F$301,2,FALSE)-VLOOKUP($A94,DATA!$A$3:$F$301,2,FALSE))^2+(VLOOKUP(AD$1,DATA!$A$3:$F$301,3,FALSE)-VLOOKUP($A94,DATA!$A$3:$F$301,3,FALSE))^2),"")</f>
        <v/>
      </c>
      <c r="AE94" s="14" t="str">
        <f>_xlfn.IFNA(SQRT((VLOOKUP(AE$1,DATA!$A$3:$F$301,2,FALSE)-VLOOKUP($A94,DATA!$A$3:$F$301,2,FALSE))^2+(VLOOKUP(AE$1,DATA!$A$3:$F$301,3,FALSE)-VLOOKUP($A94,DATA!$A$3:$F$301,3,FALSE))^2),"")</f>
        <v/>
      </c>
      <c r="AF94" s="14" t="str">
        <f>_xlfn.IFNA(SQRT((VLOOKUP(AF$1,DATA!$A$3:$F$301,2,FALSE)-VLOOKUP($A94,DATA!$A$3:$F$301,2,FALSE))^2+(VLOOKUP(AF$1,DATA!$A$3:$F$301,3,FALSE)-VLOOKUP($A94,DATA!$A$3:$F$301,3,FALSE))^2),"")</f>
        <v/>
      </c>
      <c r="AG94" s="14" t="str">
        <f>_xlfn.IFNA(SQRT((VLOOKUP(AG$1,DATA!$A$3:$F$301,2,FALSE)-VLOOKUP($A94,DATA!$A$3:$F$301,2,FALSE))^2+(VLOOKUP(AG$1,DATA!$A$3:$F$301,3,FALSE)-VLOOKUP($A94,DATA!$A$3:$F$301,3,FALSE))^2),"")</f>
        <v/>
      </c>
      <c r="AH94" s="14" t="str">
        <f>_xlfn.IFNA(SQRT((VLOOKUP(AH$1,DATA!$A$3:$F$301,2,FALSE)-VLOOKUP($A94,DATA!$A$3:$F$301,2,FALSE))^2+(VLOOKUP(AH$1,DATA!$A$3:$F$301,3,FALSE)-VLOOKUP($A94,DATA!$A$3:$F$301,3,FALSE))^2),"")</f>
        <v/>
      </c>
      <c r="AI94" s="14" t="str">
        <f>_xlfn.IFNA(SQRT((VLOOKUP(AI$1,DATA!$A$3:$F$301,2,FALSE)-VLOOKUP($A94,DATA!$A$3:$F$301,2,FALSE))^2+(VLOOKUP(AI$1,DATA!$A$3:$F$301,3,FALSE)-VLOOKUP($A94,DATA!$A$3:$F$301,3,FALSE))^2),"")</f>
        <v/>
      </c>
      <c r="AJ94" s="14" t="str">
        <f>_xlfn.IFNA(SQRT((VLOOKUP(AJ$1,DATA!$A$3:$F$301,2,FALSE)-VLOOKUP($A94,DATA!$A$3:$F$301,2,FALSE))^2+(VLOOKUP(AJ$1,DATA!$A$3:$F$301,3,FALSE)-VLOOKUP($A94,DATA!$A$3:$F$301,3,FALSE))^2),"")</f>
        <v/>
      </c>
      <c r="AK94" s="14" t="str">
        <f>_xlfn.IFNA(SQRT((VLOOKUP(AK$1,DATA!$A$3:$F$301,2,FALSE)-VLOOKUP($A94,DATA!$A$3:$F$301,2,FALSE))^2+(VLOOKUP(AK$1,DATA!$A$3:$F$301,3,FALSE)-VLOOKUP($A94,DATA!$A$3:$F$301,3,FALSE))^2),"")</f>
        <v/>
      </c>
      <c r="AL94" s="14" t="str">
        <f>_xlfn.IFNA(SQRT((VLOOKUP(AL$1,DATA!$A$3:$F$301,2,FALSE)-VLOOKUP($A94,DATA!$A$3:$F$301,2,FALSE))^2+(VLOOKUP(AL$1,DATA!$A$3:$F$301,3,FALSE)-VLOOKUP($A94,DATA!$A$3:$F$301,3,FALSE))^2),"")</f>
        <v/>
      </c>
      <c r="AM94" s="14" t="str">
        <f>_xlfn.IFNA(SQRT((VLOOKUP(AM$1,DATA!$A$3:$F$301,2,FALSE)-VLOOKUP($A94,DATA!$A$3:$F$301,2,FALSE))^2+(VLOOKUP(AM$1,DATA!$A$3:$F$301,3,FALSE)-VLOOKUP($A94,DATA!$A$3:$F$301,3,FALSE))^2),"")</f>
        <v/>
      </c>
      <c r="AN94" s="14" t="str">
        <f>_xlfn.IFNA(SQRT((VLOOKUP(AN$1,DATA!$A$3:$F$301,2,FALSE)-VLOOKUP($A94,DATA!$A$3:$F$301,2,FALSE))^2+(VLOOKUP(AN$1,DATA!$A$3:$F$301,3,FALSE)-VLOOKUP($A94,DATA!$A$3:$F$301,3,FALSE))^2),"")</f>
        <v/>
      </c>
      <c r="AO94" s="14" t="str">
        <f>_xlfn.IFNA(SQRT((VLOOKUP(AO$1,DATA!$A$3:$F$301,2,FALSE)-VLOOKUP($A94,DATA!$A$3:$F$301,2,FALSE))^2+(VLOOKUP(AO$1,DATA!$A$3:$F$301,3,FALSE)-VLOOKUP($A94,DATA!$A$3:$F$301,3,FALSE))^2),"")</f>
        <v/>
      </c>
      <c r="AP94" s="14" t="str">
        <f>_xlfn.IFNA(SQRT((VLOOKUP(AP$1,DATA!$A$3:$F$301,2,FALSE)-VLOOKUP($A94,DATA!$A$3:$F$301,2,FALSE))^2+(VLOOKUP(AP$1,DATA!$A$3:$F$301,3,FALSE)-VLOOKUP($A94,DATA!$A$3:$F$301,3,FALSE))^2),"")</f>
        <v/>
      </c>
      <c r="AQ94" s="14" t="str">
        <f>_xlfn.IFNA(SQRT((VLOOKUP(AQ$1,DATA!$A$3:$F$301,2,FALSE)-VLOOKUP($A94,DATA!$A$3:$F$301,2,FALSE))^2+(VLOOKUP(AQ$1,DATA!$A$3:$F$301,3,FALSE)-VLOOKUP($A94,DATA!$A$3:$F$301,3,FALSE))^2),"")</f>
        <v/>
      </c>
      <c r="AR94" s="14" t="str">
        <f>_xlfn.IFNA(SQRT((VLOOKUP(AR$1,DATA!$A$3:$F$301,2,FALSE)-VLOOKUP($A94,DATA!$A$3:$F$301,2,FALSE))^2+(VLOOKUP(AR$1,DATA!$A$3:$F$301,3,FALSE)-VLOOKUP($A94,DATA!$A$3:$F$301,3,FALSE))^2),"")</f>
        <v/>
      </c>
      <c r="AS94" s="14" t="str">
        <f>_xlfn.IFNA(SQRT((VLOOKUP(AS$1,DATA!$A$3:$F$301,2,FALSE)-VLOOKUP($A94,DATA!$A$3:$F$301,2,FALSE))^2+(VLOOKUP(AS$1,DATA!$A$3:$F$301,3,FALSE)-VLOOKUP($A94,DATA!$A$3:$F$301,3,FALSE))^2),"")</f>
        <v/>
      </c>
      <c r="AT94" s="14" t="str">
        <f>_xlfn.IFNA(SQRT((VLOOKUP(AT$1,DATA!$A$3:$F$301,2,FALSE)-VLOOKUP($A94,DATA!$A$3:$F$301,2,FALSE))^2+(VLOOKUP(AT$1,DATA!$A$3:$F$301,3,FALSE)-VLOOKUP($A94,DATA!$A$3:$F$301,3,FALSE))^2),"")</f>
        <v/>
      </c>
      <c r="AU94" s="14" t="str">
        <f>_xlfn.IFNA(SQRT((VLOOKUP(AU$1,DATA!$A$3:$F$301,2,FALSE)-VLOOKUP($A94,DATA!$A$3:$F$301,2,FALSE))^2+(VLOOKUP(AU$1,DATA!$A$3:$F$301,3,FALSE)-VLOOKUP($A94,DATA!$A$3:$F$301,3,FALSE))^2),"")</f>
        <v/>
      </c>
      <c r="AV94" s="14" t="str">
        <f>_xlfn.IFNA(SQRT((VLOOKUP(AV$1,DATA!$A$3:$F$301,2,FALSE)-VLOOKUP($A94,DATA!$A$3:$F$301,2,FALSE))^2+(VLOOKUP(AV$1,DATA!$A$3:$F$301,3,FALSE)-VLOOKUP($A94,DATA!$A$3:$F$301,3,FALSE))^2),"")</f>
        <v/>
      </c>
      <c r="AW94" s="14" t="str">
        <f>_xlfn.IFNA(SQRT((VLOOKUP(AW$1,DATA!$A$3:$F$301,2,FALSE)-VLOOKUP($A94,DATA!$A$3:$F$301,2,FALSE))^2+(VLOOKUP(AW$1,DATA!$A$3:$F$301,3,FALSE)-VLOOKUP($A94,DATA!$A$3:$F$301,3,FALSE))^2),"")</f>
        <v/>
      </c>
      <c r="AX94" s="14" t="str">
        <f>_xlfn.IFNA(SQRT((VLOOKUP(AX$1,DATA!$A$3:$F$301,2,FALSE)-VLOOKUP($A94,DATA!$A$3:$F$301,2,FALSE))^2+(VLOOKUP(AX$1,DATA!$A$3:$F$301,3,FALSE)-VLOOKUP($A94,DATA!$A$3:$F$301,3,FALSE))^2),"")</f>
        <v/>
      </c>
      <c r="AY94" s="14" t="str">
        <f>_xlfn.IFNA(SQRT((VLOOKUP(AY$1,DATA!$A$3:$F$301,2,FALSE)-VLOOKUP($A94,DATA!$A$3:$F$301,2,FALSE))^2+(VLOOKUP(AY$1,DATA!$A$3:$F$301,3,FALSE)-VLOOKUP($A94,DATA!$A$3:$F$301,3,FALSE))^2),"")</f>
        <v/>
      </c>
      <c r="AZ94" s="14" t="str">
        <f>_xlfn.IFNA(SQRT((VLOOKUP(AZ$1,DATA!$A$3:$F$301,2,FALSE)-VLOOKUP($A94,DATA!$A$3:$F$301,2,FALSE))^2+(VLOOKUP(AZ$1,DATA!$A$3:$F$301,3,FALSE)-VLOOKUP($A94,DATA!$A$3:$F$301,3,FALSE))^2),"")</f>
        <v/>
      </c>
      <c r="BA94" s="14" t="str">
        <f>_xlfn.IFNA(SQRT((VLOOKUP(BA$1,DATA!$A$3:$F$301,2,FALSE)-VLOOKUP($A94,DATA!$A$3:$F$301,2,FALSE))^2+(VLOOKUP(BA$1,DATA!$A$3:$F$301,3,FALSE)-VLOOKUP($A94,DATA!$A$3:$F$301,3,FALSE))^2),"")</f>
        <v/>
      </c>
      <c r="BB94" s="14" t="str">
        <f>_xlfn.IFNA(SQRT((VLOOKUP(BB$1,DATA!$A$3:$F$301,2,FALSE)-VLOOKUP($A94,DATA!$A$3:$F$301,2,FALSE))^2+(VLOOKUP(BB$1,DATA!$A$3:$F$301,3,FALSE)-VLOOKUP($A94,DATA!$A$3:$F$301,3,FALSE))^2),"")</f>
        <v/>
      </c>
      <c r="BC94" s="14" t="str">
        <f>_xlfn.IFNA(SQRT((VLOOKUP(BC$1,DATA!$A$3:$F$301,2,FALSE)-VLOOKUP($A94,DATA!$A$3:$F$301,2,FALSE))^2+(VLOOKUP(BC$1,DATA!$A$3:$F$301,3,FALSE)-VLOOKUP($A94,DATA!$A$3:$F$301,3,FALSE))^2),"")</f>
        <v/>
      </c>
      <c r="BD94" s="14" t="str">
        <f>_xlfn.IFNA(SQRT((VLOOKUP(BD$1,DATA!$A$3:$F$301,2,FALSE)-VLOOKUP($A94,DATA!$A$3:$F$301,2,FALSE))^2+(VLOOKUP(BD$1,DATA!$A$3:$F$301,3,FALSE)-VLOOKUP($A94,DATA!$A$3:$F$301,3,FALSE))^2),"")</f>
        <v/>
      </c>
      <c r="BE94" s="14" t="str">
        <f>_xlfn.IFNA(SQRT((VLOOKUP(BE$1,DATA!$A$3:$F$301,2,FALSE)-VLOOKUP($A94,DATA!$A$3:$F$301,2,FALSE))^2+(VLOOKUP(BE$1,DATA!$A$3:$F$301,3,FALSE)-VLOOKUP($A94,DATA!$A$3:$F$301,3,FALSE))^2),"")</f>
        <v/>
      </c>
      <c r="BF94" s="14" t="str">
        <f>_xlfn.IFNA(SQRT((VLOOKUP(BF$1,DATA!$A$3:$F$301,2,FALSE)-VLOOKUP($A94,DATA!$A$3:$F$301,2,FALSE))^2+(VLOOKUP(BF$1,DATA!$A$3:$F$301,3,FALSE)-VLOOKUP($A94,DATA!$A$3:$F$301,3,FALSE))^2),"")</f>
        <v/>
      </c>
      <c r="BG94" s="14" t="str">
        <f>_xlfn.IFNA(SQRT((VLOOKUP(BG$1,DATA!$A$3:$F$301,2,FALSE)-VLOOKUP($A94,DATA!$A$3:$F$301,2,FALSE))^2+(VLOOKUP(BG$1,DATA!$A$3:$F$301,3,FALSE)-VLOOKUP($A94,DATA!$A$3:$F$301,3,FALSE))^2),"")</f>
        <v/>
      </c>
      <c r="BH94" s="14" t="str">
        <f>_xlfn.IFNA(SQRT((VLOOKUP(BH$1,DATA!$A$3:$F$301,2,FALSE)-VLOOKUP($A94,DATA!$A$3:$F$301,2,FALSE))^2+(VLOOKUP(BH$1,DATA!$A$3:$F$301,3,FALSE)-VLOOKUP($A94,DATA!$A$3:$F$301,3,FALSE))^2),"")</f>
        <v/>
      </c>
      <c r="BI94" s="14" t="str">
        <f>_xlfn.IFNA(SQRT((VLOOKUP(BI$1,DATA!$A$3:$F$301,2,FALSE)-VLOOKUP($A94,DATA!$A$3:$F$301,2,FALSE))^2+(VLOOKUP(BI$1,DATA!$A$3:$F$301,3,FALSE)-VLOOKUP($A94,DATA!$A$3:$F$301,3,FALSE))^2),"")</f>
        <v/>
      </c>
      <c r="BJ94" s="14" t="str">
        <f>_xlfn.IFNA(SQRT((VLOOKUP(BJ$1,DATA!$A$3:$F$301,2,FALSE)-VLOOKUP($A94,DATA!$A$3:$F$301,2,FALSE))^2+(VLOOKUP(BJ$1,DATA!$A$3:$F$301,3,FALSE)-VLOOKUP($A94,DATA!$A$3:$F$301,3,FALSE))^2),"")</f>
        <v/>
      </c>
      <c r="BK94" s="14" t="str">
        <f>_xlfn.IFNA(SQRT((VLOOKUP(BK$1,DATA!$A$3:$F$301,2,FALSE)-VLOOKUP($A94,DATA!$A$3:$F$301,2,FALSE))^2+(VLOOKUP(BK$1,DATA!$A$3:$F$301,3,FALSE)-VLOOKUP($A94,DATA!$A$3:$F$301,3,FALSE))^2),"")</f>
        <v/>
      </c>
      <c r="BL94" s="14" t="str">
        <f>_xlfn.IFNA(SQRT((VLOOKUP(BL$1,DATA!$A$3:$F$301,2,FALSE)-VLOOKUP($A94,DATA!$A$3:$F$301,2,FALSE))^2+(VLOOKUP(BL$1,DATA!$A$3:$F$301,3,FALSE)-VLOOKUP($A94,DATA!$A$3:$F$301,3,FALSE))^2),"")</f>
        <v/>
      </c>
      <c r="BM94" s="14" t="str">
        <f>_xlfn.IFNA(SQRT((VLOOKUP(BM$1,DATA!$A$3:$F$301,2,FALSE)-VLOOKUP($A94,DATA!$A$3:$F$301,2,FALSE))^2+(VLOOKUP(BM$1,DATA!$A$3:$F$301,3,FALSE)-VLOOKUP($A94,DATA!$A$3:$F$301,3,FALSE))^2),"")</f>
        <v/>
      </c>
      <c r="BN94" s="14" t="str">
        <f>_xlfn.IFNA(SQRT((VLOOKUP(BN$1,DATA!$A$3:$F$301,2,FALSE)-VLOOKUP($A94,DATA!$A$3:$F$301,2,FALSE))^2+(VLOOKUP(BN$1,DATA!$A$3:$F$301,3,FALSE)-VLOOKUP($A94,DATA!$A$3:$F$301,3,FALSE))^2),"")</f>
        <v/>
      </c>
      <c r="BO94" s="14" t="str">
        <f>_xlfn.IFNA(SQRT((VLOOKUP(BO$1,DATA!$A$3:$F$301,2,FALSE)-VLOOKUP($A94,DATA!$A$3:$F$301,2,FALSE))^2+(VLOOKUP(BO$1,DATA!$A$3:$F$301,3,FALSE)-VLOOKUP($A94,DATA!$A$3:$F$301,3,FALSE))^2),"")</f>
        <v/>
      </c>
      <c r="BP94" s="14" t="str">
        <f>_xlfn.IFNA(SQRT((VLOOKUP(BP$1,DATA!$A$3:$F$301,2,FALSE)-VLOOKUP($A94,DATA!$A$3:$F$301,2,FALSE))^2+(VLOOKUP(BP$1,DATA!$A$3:$F$301,3,FALSE)-VLOOKUP($A94,DATA!$A$3:$F$301,3,FALSE))^2),"")</f>
        <v/>
      </c>
      <c r="BQ94" s="14" t="str">
        <f>_xlfn.IFNA(SQRT((VLOOKUP(BQ$1,DATA!$A$3:$F$301,2,FALSE)-VLOOKUP($A94,DATA!$A$3:$F$301,2,FALSE))^2+(VLOOKUP(BQ$1,DATA!$A$3:$F$301,3,FALSE)-VLOOKUP($A94,DATA!$A$3:$F$301,3,FALSE))^2),"")</f>
        <v/>
      </c>
      <c r="BR94" s="14" t="str">
        <f>_xlfn.IFNA(SQRT((VLOOKUP(BR$1,DATA!$A$3:$F$301,2,FALSE)-VLOOKUP($A94,DATA!$A$3:$F$301,2,FALSE))^2+(VLOOKUP(BR$1,DATA!$A$3:$F$301,3,FALSE)-VLOOKUP($A94,DATA!$A$3:$F$301,3,FALSE))^2),"")</f>
        <v/>
      </c>
      <c r="BS94" s="14" t="str">
        <f>_xlfn.IFNA(SQRT((VLOOKUP(BS$1,DATA!$A$3:$F$301,2,FALSE)-VLOOKUP($A94,DATA!$A$3:$F$301,2,FALSE))^2+(VLOOKUP(BS$1,DATA!$A$3:$F$301,3,FALSE)-VLOOKUP($A94,DATA!$A$3:$F$301,3,FALSE))^2),"")</f>
        <v/>
      </c>
      <c r="BT94" s="14" t="str">
        <f>_xlfn.IFNA(SQRT((VLOOKUP(BT$1,DATA!$A$3:$F$301,2,FALSE)-VLOOKUP($A94,DATA!$A$3:$F$301,2,FALSE))^2+(VLOOKUP(BT$1,DATA!$A$3:$F$301,3,FALSE)-VLOOKUP($A94,DATA!$A$3:$F$301,3,FALSE))^2),"")</f>
        <v/>
      </c>
      <c r="BU94" s="14" t="str">
        <f>_xlfn.IFNA(SQRT((VLOOKUP(BU$1,DATA!$A$3:$F$301,2,FALSE)-VLOOKUP($A94,DATA!$A$3:$F$301,2,FALSE))^2+(VLOOKUP(BU$1,DATA!$A$3:$F$301,3,FALSE)-VLOOKUP($A94,DATA!$A$3:$F$301,3,FALSE))^2),"")</f>
        <v/>
      </c>
      <c r="BV94" s="14" t="str">
        <f>_xlfn.IFNA(SQRT((VLOOKUP(BV$1,DATA!$A$3:$F$301,2,FALSE)-VLOOKUP($A94,DATA!$A$3:$F$301,2,FALSE))^2+(VLOOKUP(BV$1,DATA!$A$3:$F$301,3,FALSE)-VLOOKUP($A94,DATA!$A$3:$F$301,3,FALSE))^2),"")</f>
        <v/>
      </c>
      <c r="BW94" s="14" t="str">
        <f>_xlfn.IFNA(SQRT((VLOOKUP(BW$1,DATA!$A$3:$F$301,2,FALSE)-VLOOKUP($A94,DATA!$A$3:$F$301,2,FALSE))^2+(VLOOKUP(BW$1,DATA!$A$3:$F$301,3,FALSE)-VLOOKUP($A94,DATA!$A$3:$F$301,3,FALSE))^2),"")</f>
        <v/>
      </c>
      <c r="BX94" s="14" t="str">
        <f>_xlfn.IFNA(SQRT((VLOOKUP(BX$1,DATA!$A$3:$F$301,2,FALSE)-VLOOKUP($A94,DATA!$A$3:$F$301,2,FALSE))^2+(VLOOKUP(BX$1,DATA!$A$3:$F$301,3,FALSE)-VLOOKUP($A94,DATA!$A$3:$F$301,3,FALSE))^2),"")</f>
        <v/>
      </c>
      <c r="BY94" s="14" t="str">
        <f>_xlfn.IFNA(SQRT((VLOOKUP(BY$1,DATA!$A$3:$F$301,2,FALSE)-VLOOKUP($A94,DATA!$A$3:$F$301,2,FALSE))^2+(VLOOKUP(BY$1,DATA!$A$3:$F$301,3,FALSE)-VLOOKUP($A94,DATA!$A$3:$F$301,3,FALSE))^2),"")</f>
        <v/>
      </c>
      <c r="BZ94" s="14" t="str">
        <f>_xlfn.IFNA(SQRT((VLOOKUP(BZ$1,DATA!$A$3:$F$301,2,FALSE)-VLOOKUP($A94,DATA!$A$3:$F$301,2,FALSE))^2+(VLOOKUP(BZ$1,DATA!$A$3:$F$301,3,FALSE)-VLOOKUP($A94,DATA!$A$3:$F$301,3,FALSE))^2),"")</f>
        <v/>
      </c>
      <c r="CA94" s="14" t="str">
        <f>_xlfn.IFNA(SQRT((VLOOKUP(CA$1,DATA!$A$3:$F$301,2,FALSE)-VLOOKUP($A94,DATA!$A$3:$F$301,2,FALSE))^2+(VLOOKUP(CA$1,DATA!$A$3:$F$301,3,FALSE)-VLOOKUP($A94,DATA!$A$3:$F$301,3,FALSE))^2),"")</f>
        <v/>
      </c>
      <c r="CB94" s="14" t="str">
        <f>_xlfn.IFNA(SQRT((VLOOKUP(CB$1,DATA!$A$3:$F$301,2,FALSE)-VLOOKUP($A94,DATA!$A$3:$F$301,2,FALSE))^2+(VLOOKUP(CB$1,DATA!$A$3:$F$301,3,FALSE)-VLOOKUP($A94,DATA!$A$3:$F$301,3,FALSE))^2),"")</f>
        <v/>
      </c>
      <c r="CC94" s="14" t="str">
        <f>_xlfn.IFNA(SQRT((VLOOKUP(CC$1,DATA!$A$3:$F$301,2,FALSE)-VLOOKUP($A94,DATA!$A$3:$F$301,2,FALSE))^2+(VLOOKUP(CC$1,DATA!$A$3:$F$301,3,FALSE)-VLOOKUP($A94,DATA!$A$3:$F$301,3,FALSE))^2),"")</f>
        <v/>
      </c>
      <c r="CD94" s="14" t="str">
        <f>_xlfn.IFNA(SQRT((VLOOKUP(CD$1,DATA!$A$3:$F$301,2,FALSE)-VLOOKUP($A94,DATA!$A$3:$F$301,2,FALSE))^2+(VLOOKUP(CD$1,DATA!$A$3:$F$301,3,FALSE)-VLOOKUP($A94,DATA!$A$3:$F$301,3,FALSE))^2),"")</f>
        <v/>
      </c>
      <c r="CE94" s="14" t="str">
        <f>_xlfn.IFNA(SQRT((VLOOKUP(CE$1,DATA!$A$3:$F$301,2,FALSE)-VLOOKUP($A94,DATA!$A$3:$F$301,2,FALSE))^2+(VLOOKUP(CE$1,DATA!$A$3:$F$301,3,FALSE)-VLOOKUP($A94,DATA!$A$3:$F$301,3,FALSE))^2),"")</f>
        <v/>
      </c>
      <c r="CF94" s="14" t="str">
        <f>_xlfn.IFNA(SQRT((VLOOKUP(CF$1,DATA!$A$3:$F$301,2,FALSE)-VLOOKUP($A94,DATA!$A$3:$F$301,2,FALSE))^2+(VLOOKUP(CF$1,DATA!$A$3:$F$301,3,FALSE)-VLOOKUP($A94,DATA!$A$3:$F$301,3,FALSE))^2),"")</f>
        <v/>
      </c>
      <c r="CG94" s="14" t="str">
        <f>_xlfn.IFNA(SQRT((VLOOKUP(CG$1,DATA!$A$3:$F$301,2,FALSE)-VLOOKUP($A94,DATA!$A$3:$F$301,2,FALSE))^2+(VLOOKUP(CG$1,DATA!$A$3:$F$301,3,FALSE)-VLOOKUP($A94,DATA!$A$3:$F$301,3,FALSE))^2),"")</f>
        <v/>
      </c>
      <c r="CH94" s="14" t="str">
        <f>_xlfn.IFNA(SQRT((VLOOKUP(CH$1,DATA!$A$3:$F$301,2,FALSE)-VLOOKUP($A94,DATA!$A$3:$F$301,2,FALSE))^2+(VLOOKUP(CH$1,DATA!$A$3:$F$301,3,FALSE)-VLOOKUP($A94,DATA!$A$3:$F$301,3,FALSE))^2),"")</f>
        <v/>
      </c>
      <c r="CI94" s="14" t="str">
        <f>_xlfn.IFNA(SQRT((VLOOKUP(CI$1,DATA!$A$3:$F$301,2,FALSE)-VLOOKUP($A94,DATA!$A$3:$F$301,2,FALSE))^2+(VLOOKUP(CI$1,DATA!$A$3:$F$301,3,FALSE)-VLOOKUP($A94,DATA!$A$3:$F$301,3,FALSE))^2),"")</f>
        <v/>
      </c>
      <c r="CJ94" s="14" t="str">
        <f>_xlfn.IFNA(SQRT((VLOOKUP(CJ$1,DATA!$A$3:$F$301,2,FALSE)-VLOOKUP($A94,DATA!$A$3:$F$301,2,FALSE))^2+(VLOOKUP(CJ$1,DATA!$A$3:$F$301,3,FALSE)-VLOOKUP($A94,DATA!$A$3:$F$301,3,FALSE))^2),"")</f>
        <v/>
      </c>
      <c r="CK94" s="14" t="str">
        <f>_xlfn.IFNA(SQRT((VLOOKUP(CK$1,DATA!$A$3:$F$301,2,FALSE)-VLOOKUP($A94,DATA!$A$3:$F$301,2,FALSE))^2+(VLOOKUP(CK$1,DATA!$A$3:$F$301,3,FALSE)-VLOOKUP($A94,DATA!$A$3:$F$301,3,FALSE))^2),"")</f>
        <v/>
      </c>
      <c r="CL94" s="14" t="str">
        <f>_xlfn.IFNA(SQRT((VLOOKUP(CL$1,DATA!$A$3:$F$301,2,FALSE)-VLOOKUP($A94,DATA!$A$3:$F$301,2,FALSE))^2+(VLOOKUP(CL$1,DATA!$A$3:$F$301,3,FALSE)-VLOOKUP($A94,DATA!$A$3:$F$301,3,FALSE))^2),"")</f>
        <v/>
      </c>
      <c r="CM94" s="14" t="str">
        <f>_xlfn.IFNA(SQRT((VLOOKUP(CM$1,DATA!$A$3:$F$301,2,FALSE)-VLOOKUP($A94,DATA!$A$3:$F$301,2,FALSE))^2+(VLOOKUP(CM$1,DATA!$A$3:$F$301,3,FALSE)-VLOOKUP($A94,DATA!$A$3:$F$301,3,FALSE))^2),"")</f>
        <v/>
      </c>
      <c r="CN94" s="14" t="str">
        <f>_xlfn.IFNA(SQRT((VLOOKUP(CN$1,DATA!$A$3:$F$301,2,FALSE)-VLOOKUP($A94,DATA!$A$3:$F$301,2,FALSE))^2+(VLOOKUP(CN$1,DATA!$A$3:$F$301,3,FALSE)-VLOOKUP($A94,DATA!$A$3:$F$301,3,FALSE))^2),"")</f>
        <v/>
      </c>
      <c r="CO94" s="14" t="str">
        <f>_xlfn.IFNA(SQRT((VLOOKUP(CO$1,DATA!$A$3:$F$301,2,FALSE)-VLOOKUP($A94,DATA!$A$3:$F$301,2,FALSE))^2+(VLOOKUP(CO$1,DATA!$A$3:$F$301,3,FALSE)-VLOOKUP($A94,DATA!$A$3:$F$301,3,FALSE))^2),"")</f>
        <v/>
      </c>
      <c r="CP94" s="14" t="str">
        <f>_xlfn.IFNA(SQRT((VLOOKUP(CP$1,DATA!$A$3:$F$301,2,FALSE)-VLOOKUP($A94,DATA!$A$3:$F$301,2,FALSE))^2+(VLOOKUP(CP$1,DATA!$A$3:$F$301,3,FALSE)-VLOOKUP($A94,DATA!$A$3:$F$301,3,FALSE))^2),"")</f>
        <v/>
      </c>
      <c r="CQ94" s="14" t="str">
        <f>_xlfn.IFNA(SQRT((VLOOKUP(CQ$1,DATA!$A$3:$F$301,2,FALSE)-VLOOKUP($A94,DATA!$A$3:$F$301,2,FALSE))^2+(VLOOKUP(CQ$1,DATA!$A$3:$F$301,3,FALSE)-VLOOKUP($A94,DATA!$A$3:$F$301,3,FALSE))^2),"")</f>
        <v/>
      </c>
      <c r="CR94" s="14" t="str">
        <f>_xlfn.IFNA(SQRT((VLOOKUP(CR$1,DATA!$A$3:$F$301,2,FALSE)-VLOOKUP($A94,DATA!$A$3:$F$301,2,FALSE))^2+(VLOOKUP(CR$1,DATA!$A$3:$F$301,3,FALSE)-VLOOKUP($A94,DATA!$A$3:$F$301,3,FALSE))^2),"")</f>
        <v/>
      </c>
      <c r="CS94" s="14" t="str">
        <f>_xlfn.IFNA(SQRT((VLOOKUP(CS$1,DATA!$A$3:$F$301,2,FALSE)-VLOOKUP($A94,DATA!$A$3:$F$301,2,FALSE))^2+(VLOOKUP(CS$1,DATA!$A$3:$F$301,3,FALSE)-VLOOKUP($A94,DATA!$A$3:$F$301,3,FALSE))^2),"")</f>
        <v/>
      </c>
      <c r="CT94" s="14" t="str">
        <f>_xlfn.IFNA(SQRT((VLOOKUP(CT$1,DATA!$A$3:$F$301,2,FALSE)-VLOOKUP($A94,DATA!$A$3:$F$301,2,FALSE))^2+(VLOOKUP(CT$1,DATA!$A$3:$F$301,3,FALSE)-VLOOKUP($A94,DATA!$A$3:$F$301,3,FALSE))^2),"")</f>
        <v/>
      </c>
      <c r="CU94" s="14" t="str">
        <f>_xlfn.IFNA(SQRT((VLOOKUP(CU$1,DATA!$A$3:$F$301,2,FALSE)-VLOOKUP($A94,DATA!$A$3:$F$301,2,FALSE))^2+(VLOOKUP(CU$1,DATA!$A$3:$F$301,3,FALSE)-VLOOKUP($A94,DATA!$A$3:$F$301,3,FALSE))^2),"")</f>
        <v/>
      </c>
      <c r="CV94" s="14" t="str">
        <f>_xlfn.IFNA(SQRT((VLOOKUP(CV$1,DATA!$A$3:$F$301,2,FALSE)-VLOOKUP($A94,DATA!$A$3:$F$301,2,FALSE))^2+(VLOOKUP(CV$1,DATA!$A$3:$F$301,3,FALSE)-VLOOKUP($A94,DATA!$A$3:$F$301,3,FALSE))^2),"")</f>
        <v/>
      </c>
      <c r="CW94" s="14" t="str">
        <f>_xlfn.IFNA(SQRT((VLOOKUP(CW$1,DATA!$A$3:$F$301,2,FALSE)-VLOOKUP($A94,DATA!$A$3:$F$301,2,FALSE))^2+(VLOOKUP(CW$1,DATA!$A$3:$F$301,3,FALSE)-VLOOKUP($A94,DATA!$A$3:$F$301,3,FALSE))^2),"")</f>
        <v/>
      </c>
      <c r="CX94" s="14" t="str">
        <f>_xlfn.IFNA(SQRT((VLOOKUP(CX$1,DATA!$A$3:$F$301,2,FALSE)-VLOOKUP($A94,DATA!$A$3:$F$301,2,FALSE))^2+(VLOOKUP(CX$1,DATA!$A$3:$F$301,3,FALSE)-VLOOKUP($A94,DATA!$A$3:$F$301,3,FALSE))^2),"")</f>
        <v/>
      </c>
    </row>
    <row r="95" spans="1:102">
      <c r="A95" s="13">
        <v>94</v>
      </c>
      <c r="B95" s="14" t="str">
        <f>_xlfn.IFNA(SQRT((VLOOKUP(B$1,DATA!$A$3:$F$301,2,FALSE)-VLOOKUP($A95,DATA!$A$3:$F$301,2,FALSE))^2+(VLOOKUP(B$1,DATA!$A$3:$F$301,3,FALSE)-VLOOKUP($A95,DATA!$A$3:$F$301,3,FALSE))^2),"")</f>
        <v/>
      </c>
      <c r="C95" s="14" t="str">
        <f>_xlfn.IFNA(SQRT((VLOOKUP(C$1,DATA!$A$3:$F$301,2,FALSE)-VLOOKUP($A95,DATA!$A$3:$F$301,2,FALSE))^2+(VLOOKUP(C$1,DATA!$A$3:$F$301,3,FALSE)-VLOOKUP($A95,DATA!$A$3:$F$301,3,FALSE))^2),"")</f>
        <v/>
      </c>
      <c r="D95" s="14" t="str">
        <f>_xlfn.IFNA(SQRT((VLOOKUP(D$1,DATA!$A$3:$F$301,2,FALSE)-VLOOKUP($A95,DATA!$A$3:$F$301,2,FALSE))^2+(VLOOKUP(D$1,DATA!$A$3:$F$301,3,FALSE)-VLOOKUP($A95,DATA!$A$3:$F$301,3,FALSE))^2),"")</f>
        <v/>
      </c>
      <c r="E95" s="14" t="str">
        <f>_xlfn.IFNA(SQRT((VLOOKUP(E$1,DATA!$A$3:$F$301,2,FALSE)-VLOOKUP($A95,DATA!$A$3:$F$301,2,FALSE))^2+(VLOOKUP(E$1,DATA!$A$3:$F$301,3,FALSE)-VLOOKUP($A95,DATA!$A$3:$F$301,3,FALSE))^2),"")</f>
        <v/>
      </c>
      <c r="F95" s="14" t="str">
        <f>_xlfn.IFNA(SQRT((VLOOKUP(F$1,DATA!$A$3:$F$301,2,FALSE)-VLOOKUP($A95,DATA!$A$3:$F$301,2,FALSE))^2+(VLOOKUP(F$1,DATA!$A$3:$F$301,3,FALSE)-VLOOKUP($A95,DATA!$A$3:$F$301,3,FALSE))^2),"")</f>
        <v/>
      </c>
      <c r="G95" s="14" t="str">
        <f>_xlfn.IFNA(SQRT((VLOOKUP(G$1,DATA!$A$3:$F$301,2,FALSE)-VLOOKUP($A95,DATA!$A$3:$F$301,2,FALSE))^2+(VLOOKUP(G$1,DATA!$A$3:$F$301,3,FALSE)-VLOOKUP($A95,DATA!$A$3:$F$301,3,FALSE))^2),"")</f>
        <v/>
      </c>
      <c r="H95" s="14" t="str">
        <f>_xlfn.IFNA(SQRT((VLOOKUP(H$1,DATA!$A$3:$F$301,2,FALSE)-VLOOKUP($A95,DATA!$A$3:$F$301,2,FALSE))^2+(VLOOKUP(H$1,DATA!$A$3:$F$301,3,FALSE)-VLOOKUP($A95,DATA!$A$3:$F$301,3,FALSE))^2),"")</f>
        <v/>
      </c>
      <c r="I95" s="14" t="str">
        <f>_xlfn.IFNA(SQRT((VLOOKUP(I$1,DATA!$A$3:$F$301,2,FALSE)-VLOOKUP($A95,DATA!$A$3:$F$301,2,FALSE))^2+(VLOOKUP(I$1,DATA!$A$3:$F$301,3,FALSE)-VLOOKUP($A95,DATA!$A$3:$F$301,3,FALSE))^2),"")</f>
        <v/>
      </c>
      <c r="J95" s="14" t="str">
        <f>_xlfn.IFNA(SQRT((VLOOKUP(J$1,DATA!$A$3:$F$301,2,FALSE)-VLOOKUP($A95,DATA!$A$3:$F$301,2,FALSE))^2+(VLOOKUP(J$1,DATA!$A$3:$F$301,3,FALSE)-VLOOKUP($A95,DATA!$A$3:$F$301,3,FALSE))^2),"")</f>
        <v/>
      </c>
      <c r="K95" s="14" t="str">
        <f>_xlfn.IFNA(SQRT((VLOOKUP(K$1,DATA!$A$3:$F$301,2,FALSE)-VLOOKUP($A95,DATA!$A$3:$F$301,2,FALSE))^2+(VLOOKUP(K$1,DATA!$A$3:$F$301,3,FALSE)-VLOOKUP($A95,DATA!$A$3:$F$301,3,FALSE))^2),"")</f>
        <v/>
      </c>
      <c r="L95" s="14" t="str">
        <f>_xlfn.IFNA(SQRT((VLOOKUP(L$1,DATA!$A$3:$F$301,2,FALSE)-VLOOKUP($A95,DATA!$A$3:$F$301,2,FALSE))^2+(VLOOKUP(L$1,DATA!$A$3:$F$301,3,FALSE)-VLOOKUP($A95,DATA!$A$3:$F$301,3,FALSE))^2),"")</f>
        <v/>
      </c>
      <c r="M95" s="14" t="str">
        <f>_xlfn.IFNA(SQRT((VLOOKUP(M$1,DATA!$A$3:$F$301,2,FALSE)-VLOOKUP($A95,DATA!$A$3:$F$301,2,FALSE))^2+(VLOOKUP(M$1,DATA!$A$3:$F$301,3,FALSE)-VLOOKUP($A95,DATA!$A$3:$F$301,3,FALSE))^2),"")</f>
        <v/>
      </c>
      <c r="N95" s="14" t="str">
        <f>_xlfn.IFNA(SQRT((VLOOKUP(N$1,DATA!$A$3:$F$301,2,FALSE)-VLOOKUP($A95,DATA!$A$3:$F$301,2,FALSE))^2+(VLOOKUP(N$1,DATA!$A$3:$F$301,3,FALSE)-VLOOKUP($A95,DATA!$A$3:$F$301,3,FALSE))^2),"")</f>
        <v/>
      </c>
      <c r="O95" s="14" t="str">
        <f>_xlfn.IFNA(SQRT((VLOOKUP(O$1,DATA!$A$3:$F$301,2,FALSE)-VLOOKUP($A95,DATA!$A$3:$F$301,2,FALSE))^2+(VLOOKUP(O$1,DATA!$A$3:$F$301,3,FALSE)-VLOOKUP($A95,DATA!$A$3:$F$301,3,FALSE))^2),"")</f>
        <v/>
      </c>
      <c r="P95" s="14" t="str">
        <f>_xlfn.IFNA(SQRT((VLOOKUP(P$1,DATA!$A$3:$F$301,2,FALSE)-VLOOKUP($A95,DATA!$A$3:$F$301,2,FALSE))^2+(VLOOKUP(P$1,DATA!$A$3:$F$301,3,FALSE)-VLOOKUP($A95,DATA!$A$3:$F$301,3,FALSE))^2),"")</f>
        <v/>
      </c>
      <c r="Q95" s="14" t="str">
        <f>_xlfn.IFNA(SQRT((VLOOKUP(Q$1,DATA!$A$3:$F$301,2,FALSE)-VLOOKUP($A95,DATA!$A$3:$F$301,2,FALSE))^2+(VLOOKUP(Q$1,DATA!$A$3:$F$301,3,FALSE)-VLOOKUP($A95,DATA!$A$3:$F$301,3,FALSE))^2),"")</f>
        <v/>
      </c>
      <c r="R95" s="14" t="str">
        <f>_xlfn.IFNA(SQRT((VLOOKUP(R$1,DATA!$A$3:$F$301,2,FALSE)-VLOOKUP($A95,DATA!$A$3:$F$301,2,FALSE))^2+(VLOOKUP(R$1,DATA!$A$3:$F$301,3,FALSE)-VLOOKUP($A95,DATA!$A$3:$F$301,3,FALSE))^2),"")</f>
        <v/>
      </c>
      <c r="S95" s="14" t="str">
        <f>_xlfn.IFNA(SQRT((VLOOKUP(S$1,DATA!$A$3:$F$301,2,FALSE)-VLOOKUP($A95,DATA!$A$3:$F$301,2,FALSE))^2+(VLOOKUP(S$1,DATA!$A$3:$F$301,3,FALSE)-VLOOKUP($A95,DATA!$A$3:$F$301,3,FALSE))^2),"")</f>
        <v/>
      </c>
      <c r="T95" s="14" t="str">
        <f>_xlfn.IFNA(SQRT((VLOOKUP(T$1,DATA!$A$3:$F$301,2,FALSE)-VLOOKUP($A95,DATA!$A$3:$F$301,2,FALSE))^2+(VLOOKUP(T$1,DATA!$A$3:$F$301,3,FALSE)-VLOOKUP($A95,DATA!$A$3:$F$301,3,FALSE))^2),"")</f>
        <v/>
      </c>
      <c r="U95" s="14" t="str">
        <f>_xlfn.IFNA(SQRT((VLOOKUP(U$1,DATA!$A$3:$F$301,2,FALSE)-VLOOKUP($A95,DATA!$A$3:$F$301,2,FALSE))^2+(VLOOKUP(U$1,DATA!$A$3:$F$301,3,FALSE)-VLOOKUP($A95,DATA!$A$3:$F$301,3,FALSE))^2),"")</f>
        <v/>
      </c>
      <c r="V95" s="14" t="str">
        <f>_xlfn.IFNA(SQRT((VLOOKUP(V$1,DATA!$A$3:$F$301,2,FALSE)-VLOOKUP($A95,DATA!$A$3:$F$301,2,FALSE))^2+(VLOOKUP(V$1,DATA!$A$3:$F$301,3,FALSE)-VLOOKUP($A95,DATA!$A$3:$F$301,3,FALSE))^2),"")</f>
        <v/>
      </c>
      <c r="W95" s="14" t="str">
        <f>_xlfn.IFNA(SQRT((VLOOKUP(W$1,DATA!$A$3:$F$301,2,FALSE)-VLOOKUP($A95,DATA!$A$3:$F$301,2,FALSE))^2+(VLOOKUP(W$1,DATA!$A$3:$F$301,3,FALSE)-VLOOKUP($A95,DATA!$A$3:$F$301,3,FALSE))^2),"")</f>
        <v/>
      </c>
      <c r="X95" s="14" t="str">
        <f>_xlfn.IFNA(SQRT((VLOOKUP(X$1,DATA!$A$3:$F$301,2,FALSE)-VLOOKUP($A95,DATA!$A$3:$F$301,2,FALSE))^2+(VLOOKUP(X$1,DATA!$A$3:$F$301,3,FALSE)-VLOOKUP($A95,DATA!$A$3:$F$301,3,FALSE))^2),"")</f>
        <v/>
      </c>
      <c r="Y95" s="14" t="str">
        <f>_xlfn.IFNA(SQRT((VLOOKUP(Y$1,DATA!$A$3:$F$301,2,FALSE)-VLOOKUP($A95,DATA!$A$3:$F$301,2,FALSE))^2+(VLOOKUP(Y$1,DATA!$A$3:$F$301,3,FALSE)-VLOOKUP($A95,DATA!$A$3:$F$301,3,FALSE))^2),"")</f>
        <v/>
      </c>
      <c r="Z95" s="14" t="str">
        <f>_xlfn.IFNA(SQRT((VLOOKUP(Z$1,DATA!$A$3:$F$301,2,FALSE)-VLOOKUP($A95,DATA!$A$3:$F$301,2,FALSE))^2+(VLOOKUP(Z$1,DATA!$A$3:$F$301,3,FALSE)-VLOOKUP($A95,DATA!$A$3:$F$301,3,FALSE))^2),"")</f>
        <v/>
      </c>
      <c r="AA95" s="14" t="str">
        <f>_xlfn.IFNA(SQRT((VLOOKUP(AA$1,DATA!$A$3:$F$301,2,FALSE)-VLOOKUP($A95,DATA!$A$3:$F$301,2,FALSE))^2+(VLOOKUP(AA$1,DATA!$A$3:$F$301,3,FALSE)-VLOOKUP($A95,DATA!$A$3:$F$301,3,FALSE))^2),"")</f>
        <v/>
      </c>
      <c r="AB95" s="14" t="str">
        <f>_xlfn.IFNA(SQRT((VLOOKUP(AB$1,DATA!$A$3:$F$301,2,FALSE)-VLOOKUP($A95,DATA!$A$3:$F$301,2,FALSE))^2+(VLOOKUP(AB$1,DATA!$A$3:$F$301,3,FALSE)-VLOOKUP($A95,DATA!$A$3:$F$301,3,FALSE))^2),"")</f>
        <v/>
      </c>
      <c r="AC95" s="14" t="str">
        <f>_xlfn.IFNA(SQRT((VLOOKUP(AC$1,DATA!$A$3:$F$301,2,FALSE)-VLOOKUP($A95,DATA!$A$3:$F$301,2,FALSE))^2+(VLOOKUP(AC$1,DATA!$A$3:$F$301,3,FALSE)-VLOOKUP($A95,DATA!$A$3:$F$301,3,FALSE))^2),"")</f>
        <v/>
      </c>
      <c r="AD95" s="14" t="str">
        <f>_xlfn.IFNA(SQRT((VLOOKUP(AD$1,DATA!$A$3:$F$301,2,FALSE)-VLOOKUP($A95,DATA!$A$3:$F$301,2,FALSE))^2+(VLOOKUP(AD$1,DATA!$A$3:$F$301,3,FALSE)-VLOOKUP($A95,DATA!$A$3:$F$301,3,FALSE))^2),"")</f>
        <v/>
      </c>
      <c r="AE95" s="14" t="str">
        <f>_xlfn.IFNA(SQRT((VLOOKUP(AE$1,DATA!$A$3:$F$301,2,FALSE)-VLOOKUP($A95,DATA!$A$3:$F$301,2,FALSE))^2+(VLOOKUP(AE$1,DATA!$A$3:$F$301,3,FALSE)-VLOOKUP($A95,DATA!$A$3:$F$301,3,FALSE))^2),"")</f>
        <v/>
      </c>
      <c r="AF95" s="14" t="str">
        <f>_xlfn.IFNA(SQRT((VLOOKUP(AF$1,DATA!$A$3:$F$301,2,FALSE)-VLOOKUP($A95,DATA!$A$3:$F$301,2,FALSE))^2+(VLOOKUP(AF$1,DATA!$A$3:$F$301,3,FALSE)-VLOOKUP($A95,DATA!$A$3:$F$301,3,FALSE))^2),"")</f>
        <v/>
      </c>
      <c r="AG95" s="14" t="str">
        <f>_xlfn.IFNA(SQRT((VLOOKUP(AG$1,DATA!$A$3:$F$301,2,FALSE)-VLOOKUP($A95,DATA!$A$3:$F$301,2,FALSE))^2+(VLOOKUP(AG$1,DATA!$A$3:$F$301,3,FALSE)-VLOOKUP($A95,DATA!$A$3:$F$301,3,FALSE))^2),"")</f>
        <v/>
      </c>
      <c r="AH95" s="14" t="str">
        <f>_xlfn.IFNA(SQRT((VLOOKUP(AH$1,DATA!$A$3:$F$301,2,FALSE)-VLOOKUP($A95,DATA!$A$3:$F$301,2,FALSE))^2+(VLOOKUP(AH$1,DATA!$A$3:$F$301,3,FALSE)-VLOOKUP($A95,DATA!$A$3:$F$301,3,FALSE))^2),"")</f>
        <v/>
      </c>
      <c r="AI95" s="14" t="str">
        <f>_xlfn.IFNA(SQRT((VLOOKUP(AI$1,DATA!$A$3:$F$301,2,FALSE)-VLOOKUP($A95,DATA!$A$3:$F$301,2,FALSE))^2+(VLOOKUP(AI$1,DATA!$A$3:$F$301,3,FALSE)-VLOOKUP($A95,DATA!$A$3:$F$301,3,FALSE))^2),"")</f>
        <v/>
      </c>
      <c r="AJ95" s="14" t="str">
        <f>_xlfn.IFNA(SQRT((VLOOKUP(AJ$1,DATA!$A$3:$F$301,2,FALSE)-VLOOKUP($A95,DATA!$A$3:$F$301,2,FALSE))^2+(VLOOKUP(AJ$1,DATA!$A$3:$F$301,3,FALSE)-VLOOKUP($A95,DATA!$A$3:$F$301,3,FALSE))^2),"")</f>
        <v/>
      </c>
      <c r="AK95" s="14" t="str">
        <f>_xlfn.IFNA(SQRT((VLOOKUP(AK$1,DATA!$A$3:$F$301,2,FALSE)-VLOOKUP($A95,DATA!$A$3:$F$301,2,FALSE))^2+(VLOOKUP(AK$1,DATA!$A$3:$F$301,3,FALSE)-VLOOKUP($A95,DATA!$A$3:$F$301,3,FALSE))^2),"")</f>
        <v/>
      </c>
      <c r="AL95" s="14" t="str">
        <f>_xlfn.IFNA(SQRT((VLOOKUP(AL$1,DATA!$A$3:$F$301,2,FALSE)-VLOOKUP($A95,DATA!$A$3:$F$301,2,FALSE))^2+(VLOOKUP(AL$1,DATA!$A$3:$F$301,3,FALSE)-VLOOKUP($A95,DATA!$A$3:$F$301,3,FALSE))^2),"")</f>
        <v/>
      </c>
      <c r="AM95" s="14" t="str">
        <f>_xlfn.IFNA(SQRT((VLOOKUP(AM$1,DATA!$A$3:$F$301,2,FALSE)-VLOOKUP($A95,DATA!$A$3:$F$301,2,FALSE))^2+(VLOOKUP(AM$1,DATA!$A$3:$F$301,3,FALSE)-VLOOKUP($A95,DATA!$A$3:$F$301,3,FALSE))^2),"")</f>
        <v/>
      </c>
      <c r="AN95" s="14" t="str">
        <f>_xlfn.IFNA(SQRT((VLOOKUP(AN$1,DATA!$A$3:$F$301,2,FALSE)-VLOOKUP($A95,DATA!$A$3:$F$301,2,FALSE))^2+(VLOOKUP(AN$1,DATA!$A$3:$F$301,3,FALSE)-VLOOKUP($A95,DATA!$A$3:$F$301,3,FALSE))^2),"")</f>
        <v/>
      </c>
      <c r="AO95" s="14" t="str">
        <f>_xlfn.IFNA(SQRT((VLOOKUP(AO$1,DATA!$A$3:$F$301,2,FALSE)-VLOOKUP($A95,DATA!$A$3:$F$301,2,FALSE))^2+(VLOOKUP(AO$1,DATA!$A$3:$F$301,3,FALSE)-VLOOKUP($A95,DATA!$A$3:$F$301,3,FALSE))^2),"")</f>
        <v/>
      </c>
      <c r="AP95" s="14" t="str">
        <f>_xlfn.IFNA(SQRT((VLOOKUP(AP$1,DATA!$A$3:$F$301,2,FALSE)-VLOOKUP($A95,DATA!$A$3:$F$301,2,FALSE))^2+(VLOOKUP(AP$1,DATA!$A$3:$F$301,3,FALSE)-VLOOKUP($A95,DATA!$A$3:$F$301,3,FALSE))^2),"")</f>
        <v/>
      </c>
      <c r="AQ95" s="14" t="str">
        <f>_xlfn.IFNA(SQRT((VLOOKUP(AQ$1,DATA!$A$3:$F$301,2,FALSE)-VLOOKUP($A95,DATA!$A$3:$F$301,2,FALSE))^2+(VLOOKUP(AQ$1,DATA!$A$3:$F$301,3,FALSE)-VLOOKUP($A95,DATA!$A$3:$F$301,3,FALSE))^2),"")</f>
        <v/>
      </c>
      <c r="AR95" s="14" t="str">
        <f>_xlfn.IFNA(SQRT((VLOOKUP(AR$1,DATA!$A$3:$F$301,2,FALSE)-VLOOKUP($A95,DATA!$A$3:$F$301,2,FALSE))^2+(VLOOKUP(AR$1,DATA!$A$3:$F$301,3,FALSE)-VLOOKUP($A95,DATA!$A$3:$F$301,3,FALSE))^2),"")</f>
        <v/>
      </c>
      <c r="AS95" s="14" t="str">
        <f>_xlfn.IFNA(SQRT((VLOOKUP(AS$1,DATA!$A$3:$F$301,2,FALSE)-VLOOKUP($A95,DATA!$A$3:$F$301,2,FALSE))^2+(VLOOKUP(AS$1,DATA!$A$3:$F$301,3,FALSE)-VLOOKUP($A95,DATA!$A$3:$F$301,3,FALSE))^2),"")</f>
        <v/>
      </c>
      <c r="AT95" s="14" t="str">
        <f>_xlfn.IFNA(SQRT((VLOOKUP(AT$1,DATA!$A$3:$F$301,2,FALSE)-VLOOKUP($A95,DATA!$A$3:$F$301,2,FALSE))^2+(VLOOKUP(AT$1,DATA!$A$3:$F$301,3,FALSE)-VLOOKUP($A95,DATA!$A$3:$F$301,3,FALSE))^2),"")</f>
        <v/>
      </c>
      <c r="AU95" s="14" t="str">
        <f>_xlfn.IFNA(SQRT((VLOOKUP(AU$1,DATA!$A$3:$F$301,2,FALSE)-VLOOKUP($A95,DATA!$A$3:$F$301,2,FALSE))^2+(VLOOKUP(AU$1,DATA!$A$3:$F$301,3,FALSE)-VLOOKUP($A95,DATA!$A$3:$F$301,3,FALSE))^2),"")</f>
        <v/>
      </c>
      <c r="AV95" s="14" t="str">
        <f>_xlfn.IFNA(SQRT((VLOOKUP(AV$1,DATA!$A$3:$F$301,2,FALSE)-VLOOKUP($A95,DATA!$A$3:$F$301,2,FALSE))^2+(VLOOKUP(AV$1,DATA!$A$3:$F$301,3,FALSE)-VLOOKUP($A95,DATA!$A$3:$F$301,3,FALSE))^2),"")</f>
        <v/>
      </c>
      <c r="AW95" s="14" t="str">
        <f>_xlfn.IFNA(SQRT((VLOOKUP(AW$1,DATA!$A$3:$F$301,2,FALSE)-VLOOKUP($A95,DATA!$A$3:$F$301,2,FALSE))^2+(VLOOKUP(AW$1,DATA!$A$3:$F$301,3,FALSE)-VLOOKUP($A95,DATA!$A$3:$F$301,3,FALSE))^2),"")</f>
        <v/>
      </c>
      <c r="AX95" s="14" t="str">
        <f>_xlfn.IFNA(SQRT((VLOOKUP(AX$1,DATA!$A$3:$F$301,2,FALSE)-VLOOKUP($A95,DATA!$A$3:$F$301,2,FALSE))^2+(VLOOKUP(AX$1,DATA!$A$3:$F$301,3,FALSE)-VLOOKUP($A95,DATA!$A$3:$F$301,3,FALSE))^2),"")</f>
        <v/>
      </c>
      <c r="AY95" s="14" t="str">
        <f>_xlfn.IFNA(SQRT((VLOOKUP(AY$1,DATA!$A$3:$F$301,2,FALSE)-VLOOKUP($A95,DATA!$A$3:$F$301,2,FALSE))^2+(VLOOKUP(AY$1,DATA!$A$3:$F$301,3,FALSE)-VLOOKUP($A95,DATA!$A$3:$F$301,3,FALSE))^2),"")</f>
        <v/>
      </c>
      <c r="AZ95" s="14" t="str">
        <f>_xlfn.IFNA(SQRT((VLOOKUP(AZ$1,DATA!$A$3:$F$301,2,FALSE)-VLOOKUP($A95,DATA!$A$3:$F$301,2,FALSE))^2+(VLOOKUP(AZ$1,DATA!$A$3:$F$301,3,FALSE)-VLOOKUP($A95,DATA!$A$3:$F$301,3,FALSE))^2),"")</f>
        <v/>
      </c>
      <c r="BA95" s="14" t="str">
        <f>_xlfn.IFNA(SQRT((VLOOKUP(BA$1,DATA!$A$3:$F$301,2,FALSE)-VLOOKUP($A95,DATA!$A$3:$F$301,2,FALSE))^2+(VLOOKUP(BA$1,DATA!$A$3:$F$301,3,FALSE)-VLOOKUP($A95,DATA!$A$3:$F$301,3,FALSE))^2),"")</f>
        <v/>
      </c>
      <c r="BB95" s="14" t="str">
        <f>_xlfn.IFNA(SQRT((VLOOKUP(BB$1,DATA!$A$3:$F$301,2,FALSE)-VLOOKUP($A95,DATA!$A$3:$F$301,2,FALSE))^2+(VLOOKUP(BB$1,DATA!$A$3:$F$301,3,FALSE)-VLOOKUP($A95,DATA!$A$3:$F$301,3,FALSE))^2),"")</f>
        <v/>
      </c>
      <c r="BC95" s="14" t="str">
        <f>_xlfn.IFNA(SQRT((VLOOKUP(BC$1,DATA!$A$3:$F$301,2,FALSE)-VLOOKUP($A95,DATA!$A$3:$F$301,2,FALSE))^2+(VLOOKUP(BC$1,DATA!$A$3:$F$301,3,FALSE)-VLOOKUP($A95,DATA!$A$3:$F$301,3,FALSE))^2),"")</f>
        <v/>
      </c>
      <c r="BD95" s="14" t="str">
        <f>_xlfn.IFNA(SQRT((VLOOKUP(BD$1,DATA!$A$3:$F$301,2,FALSE)-VLOOKUP($A95,DATA!$A$3:$F$301,2,FALSE))^2+(VLOOKUP(BD$1,DATA!$A$3:$F$301,3,FALSE)-VLOOKUP($A95,DATA!$A$3:$F$301,3,FALSE))^2),"")</f>
        <v/>
      </c>
      <c r="BE95" s="14" t="str">
        <f>_xlfn.IFNA(SQRT((VLOOKUP(BE$1,DATA!$A$3:$F$301,2,FALSE)-VLOOKUP($A95,DATA!$A$3:$F$301,2,FALSE))^2+(VLOOKUP(BE$1,DATA!$A$3:$F$301,3,FALSE)-VLOOKUP($A95,DATA!$A$3:$F$301,3,FALSE))^2),"")</f>
        <v/>
      </c>
      <c r="BF95" s="14" t="str">
        <f>_xlfn.IFNA(SQRT((VLOOKUP(BF$1,DATA!$A$3:$F$301,2,FALSE)-VLOOKUP($A95,DATA!$A$3:$F$301,2,FALSE))^2+(VLOOKUP(BF$1,DATA!$A$3:$F$301,3,FALSE)-VLOOKUP($A95,DATA!$A$3:$F$301,3,FALSE))^2),"")</f>
        <v/>
      </c>
      <c r="BG95" s="14" t="str">
        <f>_xlfn.IFNA(SQRT((VLOOKUP(BG$1,DATA!$A$3:$F$301,2,FALSE)-VLOOKUP($A95,DATA!$A$3:$F$301,2,FALSE))^2+(VLOOKUP(BG$1,DATA!$A$3:$F$301,3,FALSE)-VLOOKUP($A95,DATA!$A$3:$F$301,3,FALSE))^2),"")</f>
        <v/>
      </c>
      <c r="BH95" s="14" t="str">
        <f>_xlfn.IFNA(SQRT((VLOOKUP(BH$1,DATA!$A$3:$F$301,2,FALSE)-VLOOKUP($A95,DATA!$A$3:$F$301,2,FALSE))^2+(VLOOKUP(BH$1,DATA!$A$3:$F$301,3,FALSE)-VLOOKUP($A95,DATA!$A$3:$F$301,3,FALSE))^2),"")</f>
        <v/>
      </c>
      <c r="BI95" s="14" t="str">
        <f>_xlfn.IFNA(SQRT((VLOOKUP(BI$1,DATA!$A$3:$F$301,2,FALSE)-VLOOKUP($A95,DATA!$A$3:$F$301,2,FALSE))^2+(VLOOKUP(BI$1,DATA!$A$3:$F$301,3,FALSE)-VLOOKUP($A95,DATA!$A$3:$F$301,3,FALSE))^2),"")</f>
        <v/>
      </c>
      <c r="BJ95" s="14" t="str">
        <f>_xlfn.IFNA(SQRT((VLOOKUP(BJ$1,DATA!$A$3:$F$301,2,FALSE)-VLOOKUP($A95,DATA!$A$3:$F$301,2,FALSE))^2+(VLOOKUP(BJ$1,DATA!$A$3:$F$301,3,FALSE)-VLOOKUP($A95,DATA!$A$3:$F$301,3,FALSE))^2),"")</f>
        <v/>
      </c>
      <c r="BK95" s="14" t="str">
        <f>_xlfn.IFNA(SQRT((VLOOKUP(BK$1,DATA!$A$3:$F$301,2,FALSE)-VLOOKUP($A95,DATA!$A$3:$F$301,2,FALSE))^2+(VLOOKUP(BK$1,DATA!$A$3:$F$301,3,FALSE)-VLOOKUP($A95,DATA!$A$3:$F$301,3,FALSE))^2),"")</f>
        <v/>
      </c>
      <c r="BL95" s="14" t="str">
        <f>_xlfn.IFNA(SQRT((VLOOKUP(BL$1,DATA!$A$3:$F$301,2,FALSE)-VLOOKUP($A95,DATA!$A$3:$F$301,2,FALSE))^2+(VLOOKUP(BL$1,DATA!$A$3:$F$301,3,FALSE)-VLOOKUP($A95,DATA!$A$3:$F$301,3,FALSE))^2),"")</f>
        <v/>
      </c>
      <c r="BM95" s="14" t="str">
        <f>_xlfn.IFNA(SQRT((VLOOKUP(BM$1,DATA!$A$3:$F$301,2,FALSE)-VLOOKUP($A95,DATA!$A$3:$F$301,2,FALSE))^2+(VLOOKUP(BM$1,DATA!$A$3:$F$301,3,FALSE)-VLOOKUP($A95,DATA!$A$3:$F$301,3,FALSE))^2),"")</f>
        <v/>
      </c>
      <c r="BN95" s="14" t="str">
        <f>_xlfn.IFNA(SQRT((VLOOKUP(BN$1,DATA!$A$3:$F$301,2,FALSE)-VLOOKUP($A95,DATA!$A$3:$F$301,2,FALSE))^2+(VLOOKUP(BN$1,DATA!$A$3:$F$301,3,FALSE)-VLOOKUP($A95,DATA!$A$3:$F$301,3,FALSE))^2),"")</f>
        <v/>
      </c>
      <c r="BO95" s="14" t="str">
        <f>_xlfn.IFNA(SQRT((VLOOKUP(BO$1,DATA!$A$3:$F$301,2,FALSE)-VLOOKUP($A95,DATA!$A$3:$F$301,2,FALSE))^2+(VLOOKUP(BO$1,DATA!$A$3:$F$301,3,FALSE)-VLOOKUP($A95,DATA!$A$3:$F$301,3,FALSE))^2),"")</f>
        <v/>
      </c>
      <c r="BP95" s="14" t="str">
        <f>_xlfn.IFNA(SQRT((VLOOKUP(BP$1,DATA!$A$3:$F$301,2,FALSE)-VLOOKUP($A95,DATA!$A$3:$F$301,2,FALSE))^2+(VLOOKUP(BP$1,DATA!$A$3:$F$301,3,FALSE)-VLOOKUP($A95,DATA!$A$3:$F$301,3,FALSE))^2),"")</f>
        <v/>
      </c>
      <c r="BQ95" s="14" t="str">
        <f>_xlfn.IFNA(SQRT((VLOOKUP(BQ$1,DATA!$A$3:$F$301,2,FALSE)-VLOOKUP($A95,DATA!$A$3:$F$301,2,FALSE))^2+(VLOOKUP(BQ$1,DATA!$A$3:$F$301,3,FALSE)-VLOOKUP($A95,DATA!$A$3:$F$301,3,FALSE))^2),"")</f>
        <v/>
      </c>
      <c r="BR95" s="14" t="str">
        <f>_xlfn.IFNA(SQRT((VLOOKUP(BR$1,DATA!$A$3:$F$301,2,FALSE)-VLOOKUP($A95,DATA!$A$3:$F$301,2,FALSE))^2+(VLOOKUP(BR$1,DATA!$A$3:$F$301,3,FALSE)-VLOOKUP($A95,DATA!$A$3:$F$301,3,FALSE))^2),"")</f>
        <v/>
      </c>
      <c r="BS95" s="14" t="str">
        <f>_xlfn.IFNA(SQRT((VLOOKUP(BS$1,DATA!$A$3:$F$301,2,FALSE)-VLOOKUP($A95,DATA!$A$3:$F$301,2,FALSE))^2+(VLOOKUP(BS$1,DATA!$A$3:$F$301,3,FALSE)-VLOOKUP($A95,DATA!$A$3:$F$301,3,FALSE))^2),"")</f>
        <v/>
      </c>
      <c r="BT95" s="14" t="str">
        <f>_xlfn.IFNA(SQRT((VLOOKUP(BT$1,DATA!$A$3:$F$301,2,FALSE)-VLOOKUP($A95,DATA!$A$3:$F$301,2,FALSE))^2+(VLOOKUP(BT$1,DATA!$A$3:$F$301,3,FALSE)-VLOOKUP($A95,DATA!$A$3:$F$301,3,FALSE))^2),"")</f>
        <v/>
      </c>
      <c r="BU95" s="14" t="str">
        <f>_xlfn.IFNA(SQRT((VLOOKUP(BU$1,DATA!$A$3:$F$301,2,FALSE)-VLOOKUP($A95,DATA!$A$3:$F$301,2,FALSE))^2+(VLOOKUP(BU$1,DATA!$A$3:$F$301,3,FALSE)-VLOOKUP($A95,DATA!$A$3:$F$301,3,FALSE))^2),"")</f>
        <v/>
      </c>
      <c r="BV95" s="14" t="str">
        <f>_xlfn.IFNA(SQRT((VLOOKUP(BV$1,DATA!$A$3:$F$301,2,FALSE)-VLOOKUP($A95,DATA!$A$3:$F$301,2,FALSE))^2+(VLOOKUP(BV$1,DATA!$A$3:$F$301,3,FALSE)-VLOOKUP($A95,DATA!$A$3:$F$301,3,FALSE))^2),"")</f>
        <v/>
      </c>
      <c r="BW95" s="14" t="str">
        <f>_xlfn.IFNA(SQRT((VLOOKUP(BW$1,DATA!$A$3:$F$301,2,FALSE)-VLOOKUP($A95,DATA!$A$3:$F$301,2,FALSE))^2+(VLOOKUP(BW$1,DATA!$A$3:$F$301,3,FALSE)-VLOOKUP($A95,DATA!$A$3:$F$301,3,FALSE))^2),"")</f>
        <v/>
      </c>
      <c r="BX95" s="14" t="str">
        <f>_xlfn.IFNA(SQRT((VLOOKUP(BX$1,DATA!$A$3:$F$301,2,FALSE)-VLOOKUP($A95,DATA!$A$3:$F$301,2,FALSE))^2+(VLOOKUP(BX$1,DATA!$A$3:$F$301,3,FALSE)-VLOOKUP($A95,DATA!$A$3:$F$301,3,FALSE))^2),"")</f>
        <v/>
      </c>
      <c r="BY95" s="14" t="str">
        <f>_xlfn.IFNA(SQRT((VLOOKUP(BY$1,DATA!$A$3:$F$301,2,FALSE)-VLOOKUP($A95,DATA!$A$3:$F$301,2,FALSE))^2+(VLOOKUP(BY$1,DATA!$A$3:$F$301,3,FALSE)-VLOOKUP($A95,DATA!$A$3:$F$301,3,FALSE))^2),"")</f>
        <v/>
      </c>
      <c r="BZ95" s="14" t="str">
        <f>_xlfn.IFNA(SQRT((VLOOKUP(BZ$1,DATA!$A$3:$F$301,2,FALSE)-VLOOKUP($A95,DATA!$A$3:$F$301,2,FALSE))^2+(VLOOKUP(BZ$1,DATA!$A$3:$F$301,3,FALSE)-VLOOKUP($A95,DATA!$A$3:$F$301,3,FALSE))^2),"")</f>
        <v/>
      </c>
      <c r="CA95" s="14" t="str">
        <f>_xlfn.IFNA(SQRT((VLOOKUP(CA$1,DATA!$A$3:$F$301,2,FALSE)-VLOOKUP($A95,DATA!$A$3:$F$301,2,FALSE))^2+(VLOOKUP(CA$1,DATA!$A$3:$F$301,3,FALSE)-VLOOKUP($A95,DATA!$A$3:$F$301,3,FALSE))^2),"")</f>
        <v/>
      </c>
      <c r="CB95" s="14" t="str">
        <f>_xlfn.IFNA(SQRT((VLOOKUP(CB$1,DATA!$A$3:$F$301,2,FALSE)-VLOOKUP($A95,DATA!$A$3:$F$301,2,FALSE))^2+(VLOOKUP(CB$1,DATA!$A$3:$F$301,3,FALSE)-VLOOKUP($A95,DATA!$A$3:$F$301,3,FALSE))^2),"")</f>
        <v/>
      </c>
      <c r="CC95" s="14" t="str">
        <f>_xlfn.IFNA(SQRT((VLOOKUP(CC$1,DATA!$A$3:$F$301,2,FALSE)-VLOOKUP($A95,DATA!$A$3:$F$301,2,FALSE))^2+(VLOOKUP(CC$1,DATA!$A$3:$F$301,3,FALSE)-VLOOKUP($A95,DATA!$A$3:$F$301,3,FALSE))^2),"")</f>
        <v/>
      </c>
      <c r="CD95" s="14" t="str">
        <f>_xlfn.IFNA(SQRT((VLOOKUP(CD$1,DATA!$A$3:$F$301,2,FALSE)-VLOOKUP($A95,DATA!$A$3:$F$301,2,FALSE))^2+(VLOOKUP(CD$1,DATA!$A$3:$F$301,3,FALSE)-VLOOKUP($A95,DATA!$A$3:$F$301,3,FALSE))^2),"")</f>
        <v/>
      </c>
      <c r="CE95" s="14" t="str">
        <f>_xlfn.IFNA(SQRT((VLOOKUP(CE$1,DATA!$A$3:$F$301,2,FALSE)-VLOOKUP($A95,DATA!$A$3:$F$301,2,FALSE))^2+(VLOOKUP(CE$1,DATA!$A$3:$F$301,3,FALSE)-VLOOKUP($A95,DATA!$A$3:$F$301,3,FALSE))^2),"")</f>
        <v/>
      </c>
      <c r="CF95" s="14" t="str">
        <f>_xlfn.IFNA(SQRT((VLOOKUP(CF$1,DATA!$A$3:$F$301,2,FALSE)-VLOOKUP($A95,DATA!$A$3:$F$301,2,FALSE))^2+(VLOOKUP(CF$1,DATA!$A$3:$F$301,3,FALSE)-VLOOKUP($A95,DATA!$A$3:$F$301,3,FALSE))^2),"")</f>
        <v/>
      </c>
      <c r="CG95" s="14" t="str">
        <f>_xlfn.IFNA(SQRT((VLOOKUP(CG$1,DATA!$A$3:$F$301,2,FALSE)-VLOOKUP($A95,DATA!$A$3:$F$301,2,FALSE))^2+(VLOOKUP(CG$1,DATA!$A$3:$F$301,3,FALSE)-VLOOKUP($A95,DATA!$A$3:$F$301,3,FALSE))^2),"")</f>
        <v/>
      </c>
      <c r="CH95" s="14" t="str">
        <f>_xlfn.IFNA(SQRT((VLOOKUP(CH$1,DATA!$A$3:$F$301,2,FALSE)-VLOOKUP($A95,DATA!$A$3:$F$301,2,FALSE))^2+(VLOOKUP(CH$1,DATA!$A$3:$F$301,3,FALSE)-VLOOKUP($A95,DATA!$A$3:$F$301,3,FALSE))^2),"")</f>
        <v/>
      </c>
      <c r="CI95" s="14" t="str">
        <f>_xlfn.IFNA(SQRT((VLOOKUP(CI$1,DATA!$A$3:$F$301,2,FALSE)-VLOOKUP($A95,DATA!$A$3:$F$301,2,FALSE))^2+(VLOOKUP(CI$1,DATA!$A$3:$F$301,3,FALSE)-VLOOKUP($A95,DATA!$A$3:$F$301,3,FALSE))^2),"")</f>
        <v/>
      </c>
      <c r="CJ95" s="14" t="str">
        <f>_xlfn.IFNA(SQRT((VLOOKUP(CJ$1,DATA!$A$3:$F$301,2,FALSE)-VLOOKUP($A95,DATA!$A$3:$F$301,2,FALSE))^2+(VLOOKUP(CJ$1,DATA!$A$3:$F$301,3,FALSE)-VLOOKUP($A95,DATA!$A$3:$F$301,3,FALSE))^2),"")</f>
        <v/>
      </c>
      <c r="CK95" s="14" t="str">
        <f>_xlfn.IFNA(SQRT((VLOOKUP(CK$1,DATA!$A$3:$F$301,2,FALSE)-VLOOKUP($A95,DATA!$A$3:$F$301,2,FALSE))^2+(VLOOKUP(CK$1,DATA!$A$3:$F$301,3,FALSE)-VLOOKUP($A95,DATA!$A$3:$F$301,3,FALSE))^2),"")</f>
        <v/>
      </c>
      <c r="CL95" s="14" t="str">
        <f>_xlfn.IFNA(SQRT((VLOOKUP(CL$1,DATA!$A$3:$F$301,2,FALSE)-VLOOKUP($A95,DATA!$A$3:$F$301,2,FALSE))^2+(VLOOKUP(CL$1,DATA!$A$3:$F$301,3,FALSE)-VLOOKUP($A95,DATA!$A$3:$F$301,3,FALSE))^2),"")</f>
        <v/>
      </c>
      <c r="CM95" s="14" t="str">
        <f>_xlfn.IFNA(SQRT((VLOOKUP(CM$1,DATA!$A$3:$F$301,2,FALSE)-VLOOKUP($A95,DATA!$A$3:$F$301,2,FALSE))^2+(VLOOKUP(CM$1,DATA!$A$3:$F$301,3,FALSE)-VLOOKUP($A95,DATA!$A$3:$F$301,3,FALSE))^2),"")</f>
        <v/>
      </c>
      <c r="CN95" s="14" t="str">
        <f>_xlfn.IFNA(SQRT((VLOOKUP(CN$1,DATA!$A$3:$F$301,2,FALSE)-VLOOKUP($A95,DATA!$A$3:$F$301,2,FALSE))^2+(VLOOKUP(CN$1,DATA!$A$3:$F$301,3,FALSE)-VLOOKUP($A95,DATA!$A$3:$F$301,3,FALSE))^2),"")</f>
        <v/>
      </c>
      <c r="CO95" s="14" t="str">
        <f>_xlfn.IFNA(SQRT((VLOOKUP(CO$1,DATA!$A$3:$F$301,2,FALSE)-VLOOKUP($A95,DATA!$A$3:$F$301,2,FALSE))^2+(VLOOKUP(CO$1,DATA!$A$3:$F$301,3,FALSE)-VLOOKUP($A95,DATA!$A$3:$F$301,3,FALSE))^2),"")</f>
        <v/>
      </c>
      <c r="CP95" s="14" t="str">
        <f>_xlfn.IFNA(SQRT((VLOOKUP(CP$1,DATA!$A$3:$F$301,2,FALSE)-VLOOKUP($A95,DATA!$A$3:$F$301,2,FALSE))^2+(VLOOKUP(CP$1,DATA!$A$3:$F$301,3,FALSE)-VLOOKUP($A95,DATA!$A$3:$F$301,3,FALSE))^2),"")</f>
        <v/>
      </c>
      <c r="CQ95" s="14" t="str">
        <f>_xlfn.IFNA(SQRT((VLOOKUP(CQ$1,DATA!$A$3:$F$301,2,FALSE)-VLOOKUP($A95,DATA!$A$3:$F$301,2,FALSE))^2+(VLOOKUP(CQ$1,DATA!$A$3:$F$301,3,FALSE)-VLOOKUP($A95,DATA!$A$3:$F$301,3,FALSE))^2),"")</f>
        <v/>
      </c>
      <c r="CR95" s="14" t="str">
        <f>_xlfn.IFNA(SQRT((VLOOKUP(CR$1,DATA!$A$3:$F$301,2,FALSE)-VLOOKUP($A95,DATA!$A$3:$F$301,2,FALSE))^2+(VLOOKUP(CR$1,DATA!$A$3:$F$301,3,FALSE)-VLOOKUP($A95,DATA!$A$3:$F$301,3,FALSE))^2),"")</f>
        <v/>
      </c>
      <c r="CS95" s="14" t="str">
        <f>_xlfn.IFNA(SQRT((VLOOKUP(CS$1,DATA!$A$3:$F$301,2,FALSE)-VLOOKUP($A95,DATA!$A$3:$F$301,2,FALSE))^2+(VLOOKUP(CS$1,DATA!$A$3:$F$301,3,FALSE)-VLOOKUP($A95,DATA!$A$3:$F$301,3,FALSE))^2),"")</f>
        <v/>
      </c>
      <c r="CT95" s="14" t="str">
        <f>_xlfn.IFNA(SQRT((VLOOKUP(CT$1,DATA!$A$3:$F$301,2,FALSE)-VLOOKUP($A95,DATA!$A$3:$F$301,2,FALSE))^2+(VLOOKUP(CT$1,DATA!$A$3:$F$301,3,FALSE)-VLOOKUP($A95,DATA!$A$3:$F$301,3,FALSE))^2),"")</f>
        <v/>
      </c>
      <c r="CU95" s="14" t="str">
        <f>_xlfn.IFNA(SQRT((VLOOKUP(CU$1,DATA!$A$3:$F$301,2,FALSE)-VLOOKUP($A95,DATA!$A$3:$F$301,2,FALSE))^2+(VLOOKUP(CU$1,DATA!$A$3:$F$301,3,FALSE)-VLOOKUP($A95,DATA!$A$3:$F$301,3,FALSE))^2),"")</f>
        <v/>
      </c>
      <c r="CV95" s="14" t="str">
        <f>_xlfn.IFNA(SQRT((VLOOKUP(CV$1,DATA!$A$3:$F$301,2,FALSE)-VLOOKUP($A95,DATA!$A$3:$F$301,2,FALSE))^2+(VLOOKUP(CV$1,DATA!$A$3:$F$301,3,FALSE)-VLOOKUP($A95,DATA!$A$3:$F$301,3,FALSE))^2),"")</f>
        <v/>
      </c>
      <c r="CW95" s="14" t="str">
        <f>_xlfn.IFNA(SQRT((VLOOKUP(CW$1,DATA!$A$3:$F$301,2,FALSE)-VLOOKUP($A95,DATA!$A$3:$F$301,2,FALSE))^2+(VLOOKUP(CW$1,DATA!$A$3:$F$301,3,FALSE)-VLOOKUP($A95,DATA!$A$3:$F$301,3,FALSE))^2),"")</f>
        <v/>
      </c>
      <c r="CX95" s="14" t="str">
        <f>_xlfn.IFNA(SQRT((VLOOKUP(CX$1,DATA!$A$3:$F$301,2,FALSE)-VLOOKUP($A95,DATA!$A$3:$F$301,2,FALSE))^2+(VLOOKUP(CX$1,DATA!$A$3:$F$301,3,FALSE)-VLOOKUP($A95,DATA!$A$3:$F$301,3,FALSE))^2),"")</f>
        <v/>
      </c>
    </row>
    <row r="96" spans="1:102">
      <c r="A96" s="13">
        <v>95</v>
      </c>
      <c r="B96" s="14" t="str">
        <f>_xlfn.IFNA(SQRT((VLOOKUP(B$1,DATA!$A$3:$F$301,2,FALSE)-VLOOKUP($A96,DATA!$A$3:$F$301,2,FALSE))^2+(VLOOKUP(B$1,DATA!$A$3:$F$301,3,FALSE)-VLOOKUP($A96,DATA!$A$3:$F$301,3,FALSE))^2),"")</f>
        <v/>
      </c>
      <c r="C96" s="14" t="str">
        <f>_xlfn.IFNA(SQRT((VLOOKUP(C$1,DATA!$A$3:$F$301,2,FALSE)-VLOOKUP($A96,DATA!$A$3:$F$301,2,FALSE))^2+(VLOOKUP(C$1,DATA!$A$3:$F$301,3,FALSE)-VLOOKUP($A96,DATA!$A$3:$F$301,3,FALSE))^2),"")</f>
        <v/>
      </c>
      <c r="D96" s="14" t="str">
        <f>_xlfn.IFNA(SQRT((VLOOKUP(D$1,DATA!$A$3:$F$301,2,FALSE)-VLOOKUP($A96,DATA!$A$3:$F$301,2,FALSE))^2+(VLOOKUP(D$1,DATA!$A$3:$F$301,3,FALSE)-VLOOKUP($A96,DATA!$A$3:$F$301,3,FALSE))^2),"")</f>
        <v/>
      </c>
      <c r="E96" s="14" t="str">
        <f>_xlfn.IFNA(SQRT((VLOOKUP(E$1,DATA!$A$3:$F$301,2,FALSE)-VLOOKUP($A96,DATA!$A$3:$F$301,2,FALSE))^2+(VLOOKUP(E$1,DATA!$A$3:$F$301,3,FALSE)-VLOOKUP($A96,DATA!$A$3:$F$301,3,FALSE))^2),"")</f>
        <v/>
      </c>
      <c r="F96" s="14" t="str">
        <f>_xlfn.IFNA(SQRT((VLOOKUP(F$1,DATA!$A$3:$F$301,2,FALSE)-VLOOKUP($A96,DATA!$A$3:$F$301,2,FALSE))^2+(VLOOKUP(F$1,DATA!$A$3:$F$301,3,FALSE)-VLOOKUP($A96,DATA!$A$3:$F$301,3,FALSE))^2),"")</f>
        <v/>
      </c>
      <c r="G96" s="14" t="str">
        <f>_xlfn.IFNA(SQRT((VLOOKUP(G$1,DATA!$A$3:$F$301,2,FALSE)-VLOOKUP($A96,DATA!$A$3:$F$301,2,FALSE))^2+(VLOOKUP(G$1,DATA!$A$3:$F$301,3,FALSE)-VLOOKUP($A96,DATA!$A$3:$F$301,3,FALSE))^2),"")</f>
        <v/>
      </c>
      <c r="H96" s="14" t="str">
        <f>_xlfn.IFNA(SQRT((VLOOKUP(H$1,DATA!$A$3:$F$301,2,FALSE)-VLOOKUP($A96,DATA!$A$3:$F$301,2,FALSE))^2+(VLOOKUP(H$1,DATA!$A$3:$F$301,3,FALSE)-VLOOKUP($A96,DATA!$A$3:$F$301,3,FALSE))^2),"")</f>
        <v/>
      </c>
      <c r="I96" s="14" t="str">
        <f>_xlfn.IFNA(SQRT((VLOOKUP(I$1,DATA!$A$3:$F$301,2,FALSE)-VLOOKUP($A96,DATA!$A$3:$F$301,2,FALSE))^2+(VLOOKUP(I$1,DATA!$A$3:$F$301,3,FALSE)-VLOOKUP($A96,DATA!$A$3:$F$301,3,FALSE))^2),"")</f>
        <v/>
      </c>
      <c r="J96" s="14" t="str">
        <f>_xlfn.IFNA(SQRT((VLOOKUP(J$1,DATA!$A$3:$F$301,2,FALSE)-VLOOKUP($A96,DATA!$A$3:$F$301,2,FALSE))^2+(VLOOKUP(J$1,DATA!$A$3:$F$301,3,FALSE)-VLOOKUP($A96,DATA!$A$3:$F$301,3,FALSE))^2),"")</f>
        <v/>
      </c>
      <c r="K96" s="14" t="str">
        <f>_xlfn.IFNA(SQRT((VLOOKUP(K$1,DATA!$A$3:$F$301,2,FALSE)-VLOOKUP($A96,DATA!$A$3:$F$301,2,FALSE))^2+(VLOOKUP(K$1,DATA!$A$3:$F$301,3,FALSE)-VLOOKUP($A96,DATA!$A$3:$F$301,3,FALSE))^2),"")</f>
        <v/>
      </c>
      <c r="L96" s="14" t="str">
        <f>_xlfn.IFNA(SQRT((VLOOKUP(L$1,DATA!$A$3:$F$301,2,FALSE)-VLOOKUP($A96,DATA!$A$3:$F$301,2,FALSE))^2+(VLOOKUP(L$1,DATA!$A$3:$F$301,3,FALSE)-VLOOKUP($A96,DATA!$A$3:$F$301,3,FALSE))^2),"")</f>
        <v/>
      </c>
      <c r="M96" s="14" t="str">
        <f>_xlfn.IFNA(SQRT((VLOOKUP(M$1,DATA!$A$3:$F$301,2,FALSE)-VLOOKUP($A96,DATA!$A$3:$F$301,2,FALSE))^2+(VLOOKUP(M$1,DATA!$A$3:$F$301,3,FALSE)-VLOOKUP($A96,DATA!$A$3:$F$301,3,FALSE))^2),"")</f>
        <v/>
      </c>
      <c r="N96" s="14" t="str">
        <f>_xlfn.IFNA(SQRT((VLOOKUP(N$1,DATA!$A$3:$F$301,2,FALSE)-VLOOKUP($A96,DATA!$A$3:$F$301,2,FALSE))^2+(VLOOKUP(N$1,DATA!$A$3:$F$301,3,FALSE)-VLOOKUP($A96,DATA!$A$3:$F$301,3,FALSE))^2),"")</f>
        <v/>
      </c>
      <c r="O96" s="14" t="str">
        <f>_xlfn.IFNA(SQRT((VLOOKUP(O$1,DATA!$A$3:$F$301,2,FALSE)-VLOOKUP($A96,DATA!$A$3:$F$301,2,FALSE))^2+(VLOOKUP(O$1,DATA!$A$3:$F$301,3,FALSE)-VLOOKUP($A96,DATA!$A$3:$F$301,3,FALSE))^2),"")</f>
        <v/>
      </c>
      <c r="P96" s="14" t="str">
        <f>_xlfn.IFNA(SQRT((VLOOKUP(P$1,DATA!$A$3:$F$301,2,FALSE)-VLOOKUP($A96,DATA!$A$3:$F$301,2,FALSE))^2+(VLOOKUP(P$1,DATA!$A$3:$F$301,3,FALSE)-VLOOKUP($A96,DATA!$A$3:$F$301,3,FALSE))^2),"")</f>
        <v/>
      </c>
      <c r="Q96" s="14" t="str">
        <f>_xlfn.IFNA(SQRT((VLOOKUP(Q$1,DATA!$A$3:$F$301,2,FALSE)-VLOOKUP($A96,DATA!$A$3:$F$301,2,FALSE))^2+(VLOOKUP(Q$1,DATA!$A$3:$F$301,3,FALSE)-VLOOKUP($A96,DATA!$A$3:$F$301,3,FALSE))^2),"")</f>
        <v/>
      </c>
      <c r="R96" s="14" t="str">
        <f>_xlfn.IFNA(SQRT((VLOOKUP(R$1,DATA!$A$3:$F$301,2,FALSE)-VLOOKUP($A96,DATA!$A$3:$F$301,2,FALSE))^2+(VLOOKUP(R$1,DATA!$A$3:$F$301,3,FALSE)-VLOOKUP($A96,DATA!$A$3:$F$301,3,FALSE))^2),"")</f>
        <v/>
      </c>
      <c r="S96" s="14" t="str">
        <f>_xlfn.IFNA(SQRT((VLOOKUP(S$1,DATA!$A$3:$F$301,2,FALSE)-VLOOKUP($A96,DATA!$A$3:$F$301,2,FALSE))^2+(VLOOKUP(S$1,DATA!$A$3:$F$301,3,FALSE)-VLOOKUP($A96,DATA!$A$3:$F$301,3,FALSE))^2),"")</f>
        <v/>
      </c>
      <c r="T96" s="14" t="str">
        <f>_xlfn.IFNA(SQRT((VLOOKUP(T$1,DATA!$A$3:$F$301,2,FALSE)-VLOOKUP($A96,DATA!$A$3:$F$301,2,FALSE))^2+(VLOOKUP(T$1,DATA!$A$3:$F$301,3,FALSE)-VLOOKUP($A96,DATA!$A$3:$F$301,3,FALSE))^2),"")</f>
        <v/>
      </c>
      <c r="U96" s="14" t="str">
        <f>_xlfn.IFNA(SQRT((VLOOKUP(U$1,DATA!$A$3:$F$301,2,FALSE)-VLOOKUP($A96,DATA!$A$3:$F$301,2,FALSE))^2+(VLOOKUP(U$1,DATA!$A$3:$F$301,3,FALSE)-VLOOKUP($A96,DATA!$A$3:$F$301,3,FALSE))^2),"")</f>
        <v/>
      </c>
      <c r="V96" s="14" t="str">
        <f>_xlfn.IFNA(SQRT((VLOOKUP(V$1,DATA!$A$3:$F$301,2,FALSE)-VLOOKUP($A96,DATA!$A$3:$F$301,2,FALSE))^2+(VLOOKUP(V$1,DATA!$A$3:$F$301,3,FALSE)-VLOOKUP($A96,DATA!$A$3:$F$301,3,FALSE))^2),"")</f>
        <v/>
      </c>
      <c r="W96" s="14" t="str">
        <f>_xlfn.IFNA(SQRT((VLOOKUP(W$1,DATA!$A$3:$F$301,2,FALSE)-VLOOKUP($A96,DATA!$A$3:$F$301,2,FALSE))^2+(VLOOKUP(W$1,DATA!$A$3:$F$301,3,FALSE)-VLOOKUP($A96,DATA!$A$3:$F$301,3,FALSE))^2),"")</f>
        <v/>
      </c>
      <c r="X96" s="14" t="str">
        <f>_xlfn.IFNA(SQRT((VLOOKUP(X$1,DATA!$A$3:$F$301,2,FALSE)-VLOOKUP($A96,DATA!$A$3:$F$301,2,FALSE))^2+(VLOOKUP(X$1,DATA!$A$3:$F$301,3,FALSE)-VLOOKUP($A96,DATA!$A$3:$F$301,3,FALSE))^2),"")</f>
        <v/>
      </c>
      <c r="Y96" s="14" t="str">
        <f>_xlfn.IFNA(SQRT((VLOOKUP(Y$1,DATA!$A$3:$F$301,2,FALSE)-VLOOKUP($A96,DATA!$A$3:$F$301,2,FALSE))^2+(VLOOKUP(Y$1,DATA!$A$3:$F$301,3,FALSE)-VLOOKUP($A96,DATA!$A$3:$F$301,3,FALSE))^2),"")</f>
        <v/>
      </c>
      <c r="Z96" s="14" t="str">
        <f>_xlfn.IFNA(SQRT((VLOOKUP(Z$1,DATA!$A$3:$F$301,2,FALSE)-VLOOKUP($A96,DATA!$A$3:$F$301,2,FALSE))^2+(VLOOKUP(Z$1,DATA!$A$3:$F$301,3,FALSE)-VLOOKUP($A96,DATA!$A$3:$F$301,3,FALSE))^2),"")</f>
        <v/>
      </c>
      <c r="AA96" s="14" t="str">
        <f>_xlfn.IFNA(SQRT((VLOOKUP(AA$1,DATA!$A$3:$F$301,2,FALSE)-VLOOKUP($A96,DATA!$A$3:$F$301,2,FALSE))^2+(VLOOKUP(AA$1,DATA!$A$3:$F$301,3,FALSE)-VLOOKUP($A96,DATA!$A$3:$F$301,3,FALSE))^2),"")</f>
        <v/>
      </c>
      <c r="AB96" s="14" t="str">
        <f>_xlfn.IFNA(SQRT((VLOOKUP(AB$1,DATA!$A$3:$F$301,2,FALSE)-VLOOKUP($A96,DATA!$A$3:$F$301,2,FALSE))^2+(VLOOKUP(AB$1,DATA!$A$3:$F$301,3,FALSE)-VLOOKUP($A96,DATA!$A$3:$F$301,3,FALSE))^2),"")</f>
        <v/>
      </c>
      <c r="AC96" s="14" t="str">
        <f>_xlfn.IFNA(SQRT((VLOOKUP(AC$1,DATA!$A$3:$F$301,2,FALSE)-VLOOKUP($A96,DATA!$A$3:$F$301,2,FALSE))^2+(VLOOKUP(AC$1,DATA!$A$3:$F$301,3,FALSE)-VLOOKUP($A96,DATA!$A$3:$F$301,3,FALSE))^2),"")</f>
        <v/>
      </c>
      <c r="AD96" s="14" t="str">
        <f>_xlfn.IFNA(SQRT((VLOOKUP(AD$1,DATA!$A$3:$F$301,2,FALSE)-VLOOKUP($A96,DATA!$A$3:$F$301,2,FALSE))^2+(VLOOKUP(AD$1,DATA!$A$3:$F$301,3,FALSE)-VLOOKUP($A96,DATA!$A$3:$F$301,3,FALSE))^2),"")</f>
        <v/>
      </c>
      <c r="AE96" s="14" t="str">
        <f>_xlfn.IFNA(SQRT((VLOOKUP(AE$1,DATA!$A$3:$F$301,2,FALSE)-VLOOKUP($A96,DATA!$A$3:$F$301,2,FALSE))^2+(VLOOKUP(AE$1,DATA!$A$3:$F$301,3,FALSE)-VLOOKUP($A96,DATA!$A$3:$F$301,3,FALSE))^2),"")</f>
        <v/>
      </c>
      <c r="AF96" s="14" t="str">
        <f>_xlfn.IFNA(SQRT((VLOOKUP(AF$1,DATA!$A$3:$F$301,2,FALSE)-VLOOKUP($A96,DATA!$A$3:$F$301,2,FALSE))^2+(VLOOKUP(AF$1,DATA!$A$3:$F$301,3,FALSE)-VLOOKUP($A96,DATA!$A$3:$F$301,3,FALSE))^2),"")</f>
        <v/>
      </c>
      <c r="AG96" s="14" t="str">
        <f>_xlfn.IFNA(SQRT((VLOOKUP(AG$1,DATA!$A$3:$F$301,2,FALSE)-VLOOKUP($A96,DATA!$A$3:$F$301,2,FALSE))^2+(VLOOKUP(AG$1,DATA!$A$3:$F$301,3,FALSE)-VLOOKUP($A96,DATA!$A$3:$F$301,3,FALSE))^2),"")</f>
        <v/>
      </c>
      <c r="AH96" s="14" t="str">
        <f>_xlfn.IFNA(SQRT((VLOOKUP(AH$1,DATA!$A$3:$F$301,2,FALSE)-VLOOKUP($A96,DATA!$A$3:$F$301,2,FALSE))^2+(VLOOKUP(AH$1,DATA!$A$3:$F$301,3,FALSE)-VLOOKUP($A96,DATA!$A$3:$F$301,3,FALSE))^2),"")</f>
        <v/>
      </c>
      <c r="AI96" s="14" t="str">
        <f>_xlfn.IFNA(SQRT((VLOOKUP(AI$1,DATA!$A$3:$F$301,2,FALSE)-VLOOKUP($A96,DATA!$A$3:$F$301,2,FALSE))^2+(VLOOKUP(AI$1,DATA!$A$3:$F$301,3,FALSE)-VLOOKUP($A96,DATA!$A$3:$F$301,3,FALSE))^2),"")</f>
        <v/>
      </c>
      <c r="AJ96" s="14" t="str">
        <f>_xlfn.IFNA(SQRT((VLOOKUP(AJ$1,DATA!$A$3:$F$301,2,FALSE)-VLOOKUP($A96,DATA!$A$3:$F$301,2,FALSE))^2+(VLOOKUP(AJ$1,DATA!$A$3:$F$301,3,FALSE)-VLOOKUP($A96,DATA!$A$3:$F$301,3,FALSE))^2),"")</f>
        <v/>
      </c>
      <c r="AK96" s="14" t="str">
        <f>_xlfn.IFNA(SQRT((VLOOKUP(AK$1,DATA!$A$3:$F$301,2,FALSE)-VLOOKUP($A96,DATA!$A$3:$F$301,2,FALSE))^2+(VLOOKUP(AK$1,DATA!$A$3:$F$301,3,FALSE)-VLOOKUP($A96,DATA!$A$3:$F$301,3,FALSE))^2),"")</f>
        <v/>
      </c>
      <c r="AL96" s="14" t="str">
        <f>_xlfn.IFNA(SQRT((VLOOKUP(AL$1,DATA!$A$3:$F$301,2,FALSE)-VLOOKUP($A96,DATA!$A$3:$F$301,2,FALSE))^2+(VLOOKUP(AL$1,DATA!$A$3:$F$301,3,FALSE)-VLOOKUP($A96,DATA!$A$3:$F$301,3,FALSE))^2),"")</f>
        <v/>
      </c>
      <c r="AM96" s="14" t="str">
        <f>_xlfn.IFNA(SQRT((VLOOKUP(AM$1,DATA!$A$3:$F$301,2,FALSE)-VLOOKUP($A96,DATA!$A$3:$F$301,2,FALSE))^2+(VLOOKUP(AM$1,DATA!$A$3:$F$301,3,FALSE)-VLOOKUP($A96,DATA!$A$3:$F$301,3,FALSE))^2),"")</f>
        <v/>
      </c>
      <c r="AN96" s="14" t="str">
        <f>_xlfn.IFNA(SQRT((VLOOKUP(AN$1,DATA!$A$3:$F$301,2,FALSE)-VLOOKUP($A96,DATA!$A$3:$F$301,2,FALSE))^2+(VLOOKUP(AN$1,DATA!$A$3:$F$301,3,FALSE)-VLOOKUP($A96,DATA!$A$3:$F$301,3,FALSE))^2),"")</f>
        <v/>
      </c>
      <c r="AO96" s="14" t="str">
        <f>_xlfn.IFNA(SQRT((VLOOKUP(AO$1,DATA!$A$3:$F$301,2,FALSE)-VLOOKUP($A96,DATA!$A$3:$F$301,2,FALSE))^2+(VLOOKUP(AO$1,DATA!$A$3:$F$301,3,FALSE)-VLOOKUP($A96,DATA!$A$3:$F$301,3,FALSE))^2),"")</f>
        <v/>
      </c>
      <c r="AP96" s="14" t="str">
        <f>_xlfn.IFNA(SQRT((VLOOKUP(AP$1,DATA!$A$3:$F$301,2,FALSE)-VLOOKUP($A96,DATA!$A$3:$F$301,2,FALSE))^2+(VLOOKUP(AP$1,DATA!$A$3:$F$301,3,FALSE)-VLOOKUP($A96,DATA!$A$3:$F$301,3,FALSE))^2),"")</f>
        <v/>
      </c>
      <c r="AQ96" s="14" t="str">
        <f>_xlfn.IFNA(SQRT((VLOOKUP(AQ$1,DATA!$A$3:$F$301,2,FALSE)-VLOOKUP($A96,DATA!$A$3:$F$301,2,FALSE))^2+(VLOOKUP(AQ$1,DATA!$A$3:$F$301,3,FALSE)-VLOOKUP($A96,DATA!$A$3:$F$301,3,FALSE))^2),"")</f>
        <v/>
      </c>
      <c r="AR96" s="14" t="str">
        <f>_xlfn.IFNA(SQRT((VLOOKUP(AR$1,DATA!$A$3:$F$301,2,FALSE)-VLOOKUP($A96,DATA!$A$3:$F$301,2,FALSE))^2+(VLOOKUP(AR$1,DATA!$A$3:$F$301,3,FALSE)-VLOOKUP($A96,DATA!$A$3:$F$301,3,FALSE))^2),"")</f>
        <v/>
      </c>
      <c r="AS96" s="14" t="str">
        <f>_xlfn.IFNA(SQRT((VLOOKUP(AS$1,DATA!$A$3:$F$301,2,FALSE)-VLOOKUP($A96,DATA!$A$3:$F$301,2,FALSE))^2+(VLOOKUP(AS$1,DATA!$A$3:$F$301,3,FALSE)-VLOOKUP($A96,DATA!$A$3:$F$301,3,FALSE))^2),"")</f>
        <v/>
      </c>
      <c r="AT96" s="14" t="str">
        <f>_xlfn.IFNA(SQRT((VLOOKUP(AT$1,DATA!$A$3:$F$301,2,FALSE)-VLOOKUP($A96,DATA!$A$3:$F$301,2,FALSE))^2+(VLOOKUP(AT$1,DATA!$A$3:$F$301,3,FALSE)-VLOOKUP($A96,DATA!$A$3:$F$301,3,FALSE))^2),"")</f>
        <v/>
      </c>
      <c r="AU96" s="14" t="str">
        <f>_xlfn.IFNA(SQRT((VLOOKUP(AU$1,DATA!$A$3:$F$301,2,FALSE)-VLOOKUP($A96,DATA!$A$3:$F$301,2,FALSE))^2+(VLOOKUP(AU$1,DATA!$A$3:$F$301,3,FALSE)-VLOOKUP($A96,DATA!$A$3:$F$301,3,FALSE))^2),"")</f>
        <v/>
      </c>
      <c r="AV96" s="14" t="str">
        <f>_xlfn.IFNA(SQRT((VLOOKUP(AV$1,DATA!$A$3:$F$301,2,FALSE)-VLOOKUP($A96,DATA!$A$3:$F$301,2,FALSE))^2+(VLOOKUP(AV$1,DATA!$A$3:$F$301,3,FALSE)-VLOOKUP($A96,DATA!$A$3:$F$301,3,FALSE))^2),"")</f>
        <v/>
      </c>
      <c r="AW96" s="14" t="str">
        <f>_xlfn.IFNA(SQRT((VLOOKUP(AW$1,DATA!$A$3:$F$301,2,FALSE)-VLOOKUP($A96,DATA!$A$3:$F$301,2,FALSE))^2+(VLOOKUP(AW$1,DATA!$A$3:$F$301,3,FALSE)-VLOOKUP($A96,DATA!$A$3:$F$301,3,FALSE))^2),"")</f>
        <v/>
      </c>
      <c r="AX96" s="14" t="str">
        <f>_xlfn.IFNA(SQRT((VLOOKUP(AX$1,DATA!$A$3:$F$301,2,FALSE)-VLOOKUP($A96,DATA!$A$3:$F$301,2,FALSE))^2+(VLOOKUP(AX$1,DATA!$A$3:$F$301,3,FALSE)-VLOOKUP($A96,DATA!$A$3:$F$301,3,FALSE))^2),"")</f>
        <v/>
      </c>
      <c r="AY96" s="14" t="str">
        <f>_xlfn.IFNA(SQRT((VLOOKUP(AY$1,DATA!$A$3:$F$301,2,FALSE)-VLOOKUP($A96,DATA!$A$3:$F$301,2,FALSE))^2+(VLOOKUP(AY$1,DATA!$A$3:$F$301,3,FALSE)-VLOOKUP($A96,DATA!$A$3:$F$301,3,FALSE))^2),"")</f>
        <v/>
      </c>
      <c r="AZ96" s="14" t="str">
        <f>_xlfn.IFNA(SQRT((VLOOKUP(AZ$1,DATA!$A$3:$F$301,2,FALSE)-VLOOKUP($A96,DATA!$A$3:$F$301,2,FALSE))^2+(VLOOKUP(AZ$1,DATA!$A$3:$F$301,3,FALSE)-VLOOKUP($A96,DATA!$A$3:$F$301,3,FALSE))^2),"")</f>
        <v/>
      </c>
      <c r="BA96" s="14" t="str">
        <f>_xlfn.IFNA(SQRT((VLOOKUP(BA$1,DATA!$A$3:$F$301,2,FALSE)-VLOOKUP($A96,DATA!$A$3:$F$301,2,FALSE))^2+(VLOOKUP(BA$1,DATA!$A$3:$F$301,3,FALSE)-VLOOKUP($A96,DATA!$A$3:$F$301,3,FALSE))^2),"")</f>
        <v/>
      </c>
      <c r="BB96" s="14" t="str">
        <f>_xlfn.IFNA(SQRT((VLOOKUP(BB$1,DATA!$A$3:$F$301,2,FALSE)-VLOOKUP($A96,DATA!$A$3:$F$301,2,FALSE))^2+(VLOOKUP(BB$1,DATA!$A$3:$F$301,3,FALSE)-VLOOKUP($A96,DATA!$A$3:$F$301,3,FALSE))^2),"")</f>
        <v/>
      </c>
      <c r="BC96" s="14" t="str">
        <f>_xlfn.IFNA(SQRT((VLOOKUP(BC$1,DATA!$A$3:$F$301,2,FALSE)-VLOOKUP($A96,DATA!$A$3:$F$301,2,FALSE))^2+(VLOOKUP(BC$1,DATA!$A$3:$F$301,3,FALSE)-VLOOKUP($A96,DATA!$A$3:$F$301,3,FALSE))^2),"")</f>
        <v/>
      </c>
      <c r="BD96" s="14" t="str">
        <f>_xlfn.IFNA(SQRT((VLOOKUP(BD$1,DATA!$A$3:$F$301,2,FALSE)-VLOOKUP($A96,DATA!$A$3:$F$301,2,FALSE))^2+(VLOOKUP(BD$1,DATA!$A$3:$F$301,3,FALSE)-VLOOKUP($A96,DATA!$A$3:$F$301,3,FALSE))^2),"")</f>
        <v/>
      </c>
      <c r="BE96" s="14" t="str">
        <f>_xlfn.IFNA(SQRT((VLOOKUP(BE$1,DATA!$A$3:$F$301,2,FALSE)-VLOOKUP($A96,DATA!$A$3:$F$301,2,FALSE))^2+(VLOOKUP(BE$1,DATA!$A$3:$F$301,3,FALSE)-VLOOKUP($A96,DATA!$A$3:$F$301,3,FALSE))^2),"")</f>
        <v/>
      </c>
      <c r="BF96" s="14" t="str">
        <f>_xlfn.IFNA(SQRT((VLOOKUP(BF$1,DATA!$A$3:$F$301,2,FALSE)-VLOOKUP($A96,DATA!$A$3:$F$301,2,FALSE))^2+(VLOOKUP(BF$1,DATA!$A$3:$F$301,3,FALSE)-VLOOKUP($A96,DATA!$A$3:$F$301,3,FALSE))^2),"")</f>
        <v/>
      </c>
      <c r="BG96" s="14" t="str">
        <f>_xlfn.IFNA(SQRT((VLOOKUP(BG$1,DATA!$A$3:$F$301,2,FALSE)-VLOOKUP($A96,DATA!$A$3:$F$301,2,FALSE))^2+(VLOOKUP(BG$1,DATA!$A$3:$F$301,3,FALSE)-VLOOKUP($A96,DATA!$A$3:$F$301,3,FALSE))^2),"")</f>
        <v/>
      </c>
      <c r="BH96" s="14" t="str">
        <f>_xlfn.IFNA(SQRT((VLOOKUP(BH$1,DATA!$A$3:$F$301,2,FALSE)-VLOOKUP($A96,DATA!$A$3:$F$301,2,FALSE))^2+(VLOOKUP(BH$1,DATA!$A$3:$F$301,3,FALSE)-VLOOKUP($A96,DATA!$A$3:$F$301,3,FALSE))^2),"")</f>
        <v/>
      </c>
      <c r="BI96" s="14" t="str">
        <f>_xlfn.IFNA(SQRT((VLOOKUP(BI$1,DATA!$A$3:$F$301,2,FALSE)-VLOOKUP($A96,DATA!$A$3:$F$301,2,FALSE))^2+(VLOOKUP(BI$1,DATA!$A$3:$F$301,3,FALSE)-VLOOKUP($A96,DATA!$A$3:$F$301,3,FALSE))^2),"")</f>
        <v/>
      </c>
      <c r="BJ96" s="14" t="str">
        <f>_xlfn.IFNA(SQRT((VLOOKUP(BJ$1,DATA!$A$3:$F$301,2,FALSE)-VLOOKUP($A96,DATA!$A$3:$F$301,2,FALSE))^2+(VLOOKUP(BJ$1,DATA!$A$3:$F$301,3,FALSE)-VLOOKUP($A96,DATA!$A$3:$F$301,3,FALSE))^2),"")</f>
        <v/>
      </c>
      <c r="BK96" s="14" t="str">
        <f>_xlfn.IFNA(SQRT((VLOOKUP(BK$1,DATA!$A$3:$F$301,2,FALSE)-VLOOKUP($A96,DATA!$A$3:$F$301,2,FALSE))^2+(VLOOKUP(BK$1,DATA!$A$3:$F$301,3,FALSE)-VLOOKUP($A96,DATA!$A$3:$F$301,3,FALSE))^2),"")</f>
        <v/>
      </c>
      <c r="BL96" s="14" t="str">
        <f>_xlfn.IFNA(SQRT((VLOOKUP(BL$1,DATA!$A$3:$F$301,2,FALSE)-VLOOKUP($A96,DATA!$A$3:$F$301,2,FALSE))^2+(VLOOKUP(BL$1,DATA!$A$3:$F$301,3,FALSE)-VLOOKUP($A96,DATA!$A$3:$F$301,3,FALSE))^2),"")</f>
        <v/>
      </c>
      <c r="BM96" s="14" t="str">
        <f>_xlfn.IFNA(SQRT((VLOOKUP(BM$1,DATA!$A$3:$F$301,2,FALSE)-VLOOKUP($A96,DATA!$A$3:$F$301,2,FALSE))^2+(VLOOKUP(BM$1,DATA!$A$3:$F$301,3,FALSE)-VLOOKUP($A96,DATA!$A$3:$F$301,3,FALSE))^2),"")</f>
        <v/>
      </c>
      <c r="BN96" s="14" t="str">
        <f>_xlfn.IFNA(SQRT((VLOOKUP(BN$1,DATA!$A$3:$F$301,2,FALSE)-VLOOKUP($A96,DATA!$A$3:$F$301,2,FALSE))^2+(VLOOKUP(BN$1,DATA!$A$3:$F$301,3,FALSE)-VLOOKUP($A96,DATA!$A$3:$F$301,3,FALSE))^2),"")</f>
        <v/>
      </c>
      <c r="BO96" s="14" t="str">
        <f>_xlfn.IFNA(SQRT((VLOOKUP(BO$1,DATA!$A$3:$F$301,2,FALSE)-VLOOKUP($A96,DATA!$A$3:$F$301,2,FALSE))^2+(VLOOKUP(BO$1,DATA!$A$3:$F$301,3,FALSE)-VLOOKUP($A96,DATA!$A$3:$F$301,3,FALSE))^2),"")</f>
        <v/>
      </c>
      <c r="BP96" s="14" t="str">
        <f>_xlfn.IFNA(SQRT((VLOOKUP(BP$1,DATA!$A$3:$F$301,2,FALSE)-VLOOKUP($A96,DATA!$A$3:$F$301,2,FALSE))^2+(VLOOKUP(BP$1,DATA!$A$3:$F$301,3,FALSE)-VLOOKUP($A96,DATA!$A$3:$F$301,3,FALSE))^2),"")</f>
        <v/>
      </c>
      <c r="BQ96" s="14" t="str">
        <f>_xlfn.IFNA(SQRT((VLOOKUP(BQ$1,DATA!$A$3:$F$301,2,FALSE)-VLOOKUP($A96,DATA!$A$3:$F$301,2,FALSE))^2+(VLOOKUP(BQ$1,DATA!$A$3:$F$301,3,FALSE)-VLOOKUP($A96,DATA!$A$3:$F$301,3,FALSE))^2),"")</f>
        <v/>
      </c>
      <c r="BR96" s="14" t="str">
        <f>_xlfn.IFNA(SQRT((VLOOKUP(BR$1,DATA!$A$3:$F$301,2,FALSE)-VLOOKUP($A96,DATA!$A$3:$F$301,2,FALSE))^2+(VLOOKUP(BR$1,DATA!$A$3:$F$301,3,FALSE)-VLOOKUP($A96,DATA!$A$3:$F$301,3,FALSE))^2),"")</f>
        <v/>
      </c>
      <c r="BS96" s="14" t="str">
        <f>_xlfn.IFNA(SQRT((VLOOKUP(BS$1,DATA!$A$3:$F$301,2,FALSE)-VLOOKUP($A96,DATA!$A$3:$F$301,2,FALSE))^2+(VLOOKUP(BS$1,DATA!$A$3:$F$301,3,FALSE)-VLOOKUP($A96,DATA!$A$3:$F$301,3,FALSE))^2),"")</f>
        <v/>
      </c>
      <c r="BT96" s="14" t="str">
        <f>_xlfn.IFNA(SQRT((VLOOKUP(BT$1,DATA!$A$3:$F$301,2,FALSE)-VLOOKUP($A96,DATA!$A$3:$F$301,2,FALSE))^2+(VLOOKUP(BT$1,DATA!$A$3:$F$301,3,FALSE)-VLOOKUP($A96,DATA!$A$3:$F$301,3,FALSE))^2),"")</f>
        <v/>
      </c>
      <c r="BU96" s="14" t="str">
        <f>_xlfn.IFNA(SQRT((VLOOKUP(BU$1,DATA!$A$3:$F$301,2,FALSE)-VLOOKUP($A96,DATA!$A$3:$F$301,2,FALSE))^2+(VLOOKUP(BU$1,DATA!$A$3:$F$301,3,FALSE)-VLOOKUP($A96,DATA!$A$3:$F$301,3,FALSE))^2),"")</f>
        <v/>
      </c>
      <c r="BV96" s="14" t="str">
        <f>_xlfn.IFNA(SQRT((VLOOKUP(BV$1,DATA!$A$3:$F$301,2,FALSE)-VLOOKUP($A96,DATA!$A$3:$F$301,2,FALSE))^2+(VLOOKUP(BV$1,DATA!$A$3:$F$301,3,FALSE)-VLOOKUP($A96,DATA!$A$3:$F$301,3,FALSE))^2),"")</f>
        <v/>
      </c>
      <c r="BW96" s="14" t="str">
        <f>_xlfn.IFNA(SQRT((VLOOKUP(BW$1,DATA!$A$3:$F$301,2,FALSE)-VLOOKUP($A96,DATA!$A$3:$F$301,2,FALSE))^2+(VLOOKUP(BW$1,DATA!$A$3:$F$301,3,FALSE)-VLOOKUP($A96,DATA!$A$3:$F$301,3,FALSE))^2),"")</f>
        <v/>
      </c>
      <c r="BX96" s="14" t="str">
        <f>_xlfn.IFNA(SQRT((VLOOKUP(BX$1,DATA!$A$3:$F$301,2,FALSE)-VLOOKUP($A96,DATA!$A$3:$F$301,2,FALSE))^2+(VLOOKUP(BX$1,DATA!$A$3:$F$301,3,FALSE)-VLOOKUP($A96,DATA!$A$3:$F$301,3,FALSE))^2),"")</f>
        <v/>
      </c>
      <c r="BY96" s="14" t="str">
        <f>_xlfn.IFNA(SQRT((VLOOKUP(BY$1,DATA!$A$3:$F$301,2,FALSE)-VLOOKUP($A96,DATA!$A$3:$F$301,2,FALSE))^2+(VLOOKUP(BY$1,DATA!$A$3:$F$301,3,FALSE)-VLOOKUP($A96,DATA!$A$3:$F$301,3,FALSE))^2),"")</f>
        <v/>
      </c>
      <c r="BZ96" s="14" t="str">
        <f>_xlfn.IFNA(SQRT((VLOOKUP(BZ$1,DATA!$A$3:$F$301,2,FALSE)-VLOOKUP($A96,DATA!$A$3:$F$301,2,FALSE))^2+(VLOOKUP(BZ$1,DATA!$A$3:$F$301,3,FALSE)-VLOOKUP($A96,DATA!$A$3:$F$301,3,FALSE))^2),"")</f>
        <v/>
      </c>
      <c r="CA96" s="14" t="str">
        <f>_xlfn.IFNA(SQRT((VLOOKUP(CA$1,DATA!$A$3:$F$301,2,FALSE)-VLOOKUP($A96,DATA!$A$3:$F$301,2,FALSE))^2+(VLOOKUP(CA$1,DATA!$A$3:$F$301,3,FALSE)-VLOOKUP($A96,DATA!$A$3:$F$301,3,FALSE))^2),"")</f>
        <v/>
      </c>
      <c r="CB96" s="14" t="str">
        <f>_xlfn.IFNA(SQRT((VLOOKUP(CB$1,DATA!$A$3:$F$301,2,FALSE)-VLOOKUP($A96,DATA!$A$3:$F$301,2,FALSE))^2+(VLOOKUP(CB$1,DATA!$A$3:$F$301,3,FALSE)-VLOOKUP($A96,DATA!$A$3:$F$301,3,FALSE))^2),"")</f>
        <v/>
      </c>
      <c r="CC96" s="14" t="str">
        <f>_xlfn.IFNA(SQRT((VLOOKUP(CC$1,DATA!$A$3:$F$301,2,FALSE)-VLOOKUP($A96,DATA!$A$3:$F$301,2,FALSE))^2+(VLOOKUP(CC$1,DATA!$A$3:$F$301,3,FALSE)-VLOOKUP($A96,DATA!$A$3:$F$301,3,FALSE))^2),"")</f>
        <v/>
      </c>
      <c r="CD96" s="14" t="str">
        <f>_xlfn.IFNA(SQRT((VLOOKUP(CD$1,DATA!$A$3:$F$301,2,FALSE)-VLOOKUP($A96,DATA!$A$3:$F$301,2,FALSE))^2+(VLOOKUP(CD$1,DATA!$A$3:$F$301,3,FALSE)-VLOOKUP($A96,DATA!$A$3:$F$301,3,FALSE))^2),"")</f>
        <v/>
      </c>
      <c r="CE96" s="14" t="str">
        <f>_xlfn.IFNA(SQRT((VLOOKUP(CE$1,DATA!$A$3:$F$301,2,FALSE)-VLOOKUP($A96,DATA!$A$3:$F$301,2,FALSE))^2+(VLOOKUP(CE$1,DATA!$A$3:$F$301,3,FALSE)-VLOOKUP($A96,DATA!$A$3:$F$301,3,FALSE))^2),"")</f>
        <v/>
      </c>
      <c r="CF96" s="14" t="str">
        <f>_xlfn.IFNA(SQRT((VLOOKUP(CF$1,DATA!$A$3:$F$301,2,FALSE)-VLOOKUP($A96,DATA!$A$3:$F$301,2,FALSE))^2+(VLOOKUP(CF$1,DATA!$A$3:$F$301,3,FALSE)-VLOOKUP($A96,DATA!$A$3:$F$301,3,FALSE))^2),"")</f>
        <v/>
      </c>
      <c r="CG96" s="14" t="str">
        <f>_xlfn.IFNA(SQRT((VLOOKUP(CG$1,DATA!$A$3:$F$301,2,FALSE)-VLOOKUP($A96,DATA!$A$3:$F$301,2,FALSE))^2+(VLOOKUP(CG$1,DATA!$A$3:$F$301,3,FALSE)-VLOOKUP($A96,DATA!$A$3:$F$301,3,FALSE))^2),"")</f>
        <v/>
      </c>
      <c r="CH96" s="14" t="str">
        <f>_xlfn.IFNA(SQRT((VLOOKUP(CH$1,DATA!$A$3:$F$301,2,FALSE)-VLOOKUP($A96,DATA!$A$3:$F$301,2,FALSE))^2+(VLOOKUP(CH$1,DATA!$A$3:$F$301,3,FALSE)-VLOOKUP($A96,DATA!$A$3:$F$301,3,FALSE))^2),"")</f>
        <v/>
      </c>
      <c r="CI96" s="14" t="str">
        <f>_xlfn.IFNA(SQRT((VLOOKUP(CI$1,DATA!$A$3:$F$301,2,FALSE)-VLOOKUP($A96,DATA!$A$3:$F$301,2,FALSE))^2+(VLOOKUP(CI$1,DATA!$A$3:$F$301,3,FALSE)-VLOOKUP($A96,DATA!$A$3:$F$301,3,FALSE))^2),"")</f>
        <v/>
      </c>
      <c r="CJ96" s="14" t="str">
        <f>_xlfn.IFNA(SQRT((VLOOKUP(CJ$1,DATA!$A$3:$F$301,2,FALSE)-VLOOKUP($A96,DATA!$A$3:$F$301,2,FALSE))^2+(VLOOKUP(CJ$1,DATA!$A$3:$F$301,3,FALSE)-VLOOKUP($A96,DATA!$A$3:$F$301,3,FALSE))^2),"")</f>
        <v/>
      </c>
      <c r="CK96" s="14" t="str">
        <f>_xlfn.IFNA(SQRT((VLOOKUP(CK$1,DATA!$A$3:$F$301,2,FALSE)-VLOOKUP($A96,DATA!$A$3:$F$301,2,FALSE))^2+(VLOOKUP(CK$1,DATA!$A$3:$F$301,3,FALSE)-VLOOKUP($A96,DATA!$A$3:$F$301,3,FALSE))^2),"")</f>
        <v/>
      </c>
      <c r="CL96" s="14" t="str">
        <f>_xlfn.IFNA(SQRT((VLOOKUP(CL$1,DATA!$A$3:$F$301,2,FALSE)-VLOOKUP($A96,DATA!$A$3:$F$301,2,FALSE))^2+(VLOOKUP(CL$1,DATA!$A$3:$F$301,3,FALSE)-VLOOKUP($A96,DATA!$A$3:$F$301,3,FALSE))^2),"")</f>
        <v/>
      </c>
      <c r="CM96" s="14" t="str">
        <f>_xlfn.IFNA(SQRT((VLOOKUP(CM$1,DATA!$A$3:$F$301,2,FALSE)-VLOOKUP($A96,DATA!$A$3:$F$301,2,FALSE))^2+(VLOOKUP(CM$1,DATA!$A$3:$F$301,3,FALSE)-VLOOKUP($A96,DATA!$A$3:$F$301,3,FALSE))^2),"")</f>
        <v/>
      </c>
      <c r="CN96" s="14" t="str">
        <f>_xlfn.IFNA(SQRT((VLOOKUP(CN$1,DATA!$A$3:$F$301,2,FALSE)-VLOOKUP($A96,DATA!$A$3:$F$301,2,FALSE))^2+(VLOOKUP(CN$1,DATA!$A$3:$F$301,3,FALSE)-VLOOKUP($A96,DATA!$A$3:$F$301,3,FALSE))^2),"")</f>
        <v/>
      </c>
      <c r="CO96" s="14" t="str">
        <f>_xlfn.IFNA(SQRT((VLOOKUP(CO$1,DATA!$A$3:$F$301,2,FALSE)-VLOOKUP($A96,DATA!$A$3:$F$301,2,FALSE))^2+(VLOOKUP(CO$1,DATA!$A$3:$F$301,3,FALSE)-VLOOKUP($A96,DATA!$A$3:$F$301,3,FALSE))^2),"")</f>
        <v/>
      </c>
      <c r="CP96" s="14" t="str">
        <f>_xlfn.IFNA(SQRT((VLOOKUP(CP$1,DATA!$A$3:$F$301,2,FALSE)-VLOOKUP($A96,DATA!$A$3:$F$301,2,FALSE))^2+(VLOOKUP(CP$1,DATA!$A$3:$F$301,3,FALSE)-VLOOKUP($A96,DATA!$A$3:$F$301,3,FALSE))^2),"")</f>
        <v/>
      </c>
      <c r="CQ96" s="14" t="str">
        <f>_xlfn.IFNA(SQRT((VLOOKUP(CQ$1,DATA!$A$3:$F$301,2,FALSE)-VLOOKUP($A96,DATA!$A$3:$F$301,2,FALSE))^2+(VLOOKUP(CQ$1,DATA!$A$3:$F$301,3,FALSE)-VLOOKUP($A96,DATA!$A$3:$F$301,3,FALSE))^2),"")</f>
        <v/>
      </c>
      <c r="CR96" s="14" t="str">
        <f>_xlfn.IFNA(SQRT((VLOOKUP(CR$1,DATA!$A$3:$F$301,2,FALSE)-VLOOKUP($A96,DATA!$A$3:$F$301,2,FALSE))^2+(VLOOKUP(CR$1,DATA!$A$3:$F$301,3,FALSE)-VLOOKUP($A96,DATA!$A$3:$F$301,3,FALSE))^2),"")</f>
        <v/>
      </c>
      <c r="CS96" s="14" t="str">
        <f>_xlfn.IFNA(SQRT((VLOOKUP(CS$1,DATA!$A$3:$F$301,2,FALSE)-VLOOKUP($A96,DATA!$A$3:$F$301,2,FALSE))^2+(VLOOKUP(CS$1,DATA!$A$3:$F$301,3,FALSE)-VLOOKUP($A96,DATA!$A$3:$F$301,3,FALSE))^2),"")</f>
        <v/>
      </c>
      <c r="CT96" s="14" t="str">
        <f>_xlfn.IFNA(SQRT((VLOOKUP(CT$1,DATA!$A$3:$F$301,2,FALSE)-VLOOKUP($A96,DATA!$A$3:$F$301,2,FALSE))^2+(VLOOKUP(CT$1,DATA!$A$3:$F$301,3,FALSE)-VLOOKUP($A96,DATA!$A$3:$F$301,3,FALSE))^2),"")</f>
        <v/>
      </c>
      <c r="CU96" s="14" t="str">
        <f>_xlfn.IFNA(SQRT((VLOOKUP(CU$1,DATA!$A$3:$F$301,2,FALSE)-VLOOKUP($A96,DATA!$A$3:$F$301,2,FALSE))^2+(VLOOKUP(CU$1,DATA!$A$3:$F$301,3,FALSE)-VLOOKUP($A96,DATA!$A$3:$F$301,3,FALSE))^2),"")</f>
        <v/>
      </c>
      <c r="CV96" s="14" t="str">
        <f>_xlfn.IFNA(SQRT((VLOOKUP(CV$1,DATA!$A$3:$F$301,2,FALSE)-VLOOKUP($A96,DATA!$A$3:$F$301,2,FALSE))^2+(VLOOKUP(CV$1,DATA!$A$3:$F$301,3,FALSE)-VLOOKUP($A96,DATA!$A$3:$F$301,3,FALSE))^2),"")</f>
        <v/>
      </c>
      <c r="CW96" s="14" t="str">
        <f>_xlfn.IFNA(SQRT((VLOOKUP(CW$1,DATA!$A$3:$F$301,2,FALSE)-VLOOKUP($A96,DATA!$A$3:$F$301,2,FALSE))^2+(VLOOKUP(CW$1,DATA!$A$3:$F$301,3,FALSE)-VLOOKUP($A96,DATA!$A$3:$F$301,3,FALSE))^2),"")</f>
        <v/>
      </c>
      <c r="CX96" s="14" t="str">
        <f>_xlfn.IFNA(SQRT((VLOOKUP(CX$1,DATA!$A$3:$F$301,2,FALSE)-VLOOKUP($A96,DATA!$A$3:$F$301,2,FALSE))^2+(VLOOKUP(CX$1,DATA!$A$3:$F$301,3,FALSE)-VLOOKUP($A96,DATA!$A$3:$F$301,3,FALSE))^2),"")</f>
        <v/>
      </c>
    </row>
    <row r="97" spans="1:102">
      <c r="A97" s="13">
        <v>96</v>
      </c>
      <c r="B97" s="14" t="str">
        <f>_xlfn.IFNA(SQRT((VLOOKUP(B$1,DATA!$A$3:$F$301,2,FALSE)-VLOOKUP($A97,DATA!$A$3:$F$301,2,FALSE))^2+(VLOOKUP(B$1,DATA!$A$3:$F$301,3,FALSE)-VLOOKUP($A97,DATA!$A$3:$F$301,3,FALSE))^2),"")</f>
        <v/>
      </c>
      <c r="C97" s="14" t="str">
        <f>_xlfn.IFNA(SQRT((VLOOKUP(C$1,DATA!$A$3:$F$301,2,FALSE)-VLOOKUP($A97,DATA!$A$3:$F$301,2,FALSE))^2+(VLOOKUP(C$1,DATA!$A$3:$F$301,3,FALSE)-VLOOKUP($A97,DATA!$A$3:$F$301,3,FALSE))^2),"")</f>
        <v/>
      </c>
      <c r="D97" s="14" t="str">
        <f>_xlfn.IFNA(SQRT((VLOOKUP(D$1,DATA!$A$3:$F$301,2,FALSE)-VLOOKUP($A97,DATA!$A$3:$F$301,2,FALSE))^2+(VLOOKUP(D$1,DATA!$A$3:$F$301,3,FALSE)-VLOOKUP($A97,DATA!$A$3:$F$301,3,FALSE))^2),"")</f>
        <v/>
      </c>
      <c r="E97" s="14" t="str">
        <f>_xlfn.IFNA(SQRT((VLOOKUP(E$1,DATA!$A$3:$F$301,2,FALSE)-VLOOKUP($A97,DATA!$A$3:$F$301,2,FALSE))^2+(VLOOKUP(E$1,DATA!$A$3:$F$301,3,FALSE)-VLOOKUP($A97,DATA!$A$3:$F$301,3,FALSE))^2),"")</f>
        <v/>
      </c>
      <c r="F97" s="14" t="str">
        <f>_xlfn.IFNA(SQRT((VLOOKUP(F$1,DATA!$A$3:$F$301,2,FALSE)-VLOOKUP($A97,DATA!$A$3:$F$301,2,FALSE))^2+(VLOOKUP(F$1,DATA!$A$3:$F$301,3,FALSE)-VLOOKUP($A97,DATA!$A$3:$F$301,3,FALSE))^2),"")</f>
        <v/>
      </c>
      <c r="G97" s="14" t="str">
        <f>_xlfn.IFNA(SQRT((VLOOKUP(G$1,DATA!$A$3:$F$301,2,FALSE)-VLOOKUP($A97,DATA!$A$3:$F$301,2,FALSE))^2+(VLOOKUP(G$1,DATA!$A$3:$F$301,3,FALSE)-VLOOKUP($A97,DATA!$A$3:$F$301,3,FALSE))^2),"")</f>
        <v/>
      </c>
      <c r="H97" s="14" t="str">
        <f>_xlfn.IFNA(SQRT((VLOOKUP(H$1,DATA!$A$3:$F$301,2,FALSE)-VLOOKUP($A97,DATA!$A$3:$F$301,2,FALSE))^2+(VLOOKUP(H$1,DATA!$A$3:$F$301,3,FALSE)-VLOOKUP($A97,DATA!$A$3:$F$301,3,FALSE))^2),"")</f>
        <v/>
      </c>
      <c r="I97" s="14" t="str">
        <f>_xlfn.IFNA(SQRT((VLOOKUP(I$1,DATA!$A$3:$F$301,2,FALSE)-VLOOKUP($A97,DATA!$A$3:$F$301,2,FALSE))^2+(VLOOKUP(I$1,DATA!$A$3:$F$301,3,FALSE)-VLOOKUP($A97,DATA!$A$3:$F$301,3,FALSE))^2),"")</f>
        <v/>
      </c>
      <c r="J97" s="14" t="str">
        <f>_xlfn.IFNA(SQRT((VLOOKUP(J$1,DATA!$A$3:$F$301,2,FALSE)-VLOOKUP($A97,DATA!$A$3:$F$301,2,FALSE))^2+(VLOOKUP(J$1,DATA!$A$3:$F$301,3,FALSE)-VLOOKUP($A97,DATA!$A$3:$F$301,3,FALSE))^2),"")</f>
        <v/>
      </c>
      <c r="K97" s="14" t="str">
        <f>_xlfn.IFNA(SQRT((VLOOKUP(K$1,DATA!$A$3:$F$301,2,FALSE)-VLOOKUP($A97,DATA!$A$3:$F$301,2,FALSE))^2+(VLOOKUP(K$1,DATA!$A$3:$F$301,3,FALSE)-VLOOKUP($A97,DATA!$A$3:$F$301,3,FALSE))^2),"")</f>
        <v/>
      </c>
      <c r="L97" s="14" t="str">
        <f>_xlfn.IFNA(SQRT((VLOOKUP(L$1,DATA!$A$3:$F$301,2,FALSE)-VLOOKUP($A97,DATA!$A$3:$F$301,2,FALSE))^2+(VLOOKUP(L$1,DATA!$A$3:$F$301,3,FALSE)-VLOOKUP($A97,DATA!$A$3:$F$301,3,FALSE))^2),"")</f>
        <v/>
      </c>
      <c r="M97" s="14" t="str">
        <f>_xlfn.IFNA(SQRT((VLOOKUP(M$1,DATA!$A$3:$F$301,2,FALSE)-VLOOKUP($A97,DATA!$A$3:$F$301,2,FALSE))^2+(VLOOKUP(M$1,DATA!$A$3:$F$301,3,FALSE)-VLOOKUP($A97,DATA!$A$3:$F$301,3,FALSE))^2),"")</f>
        <v/>
      </c>
      <c r="N97" s="14" t="str">
        <f>_xlfn.IFNA(SQRT((VLOOKUP(N$1,DATA!$A$3:$F$301,2,FALSE)-VLOOKUP($A97,DATA!$A$3:$F$301,2,FALSE))^2+(VLOOKUP(N$1,DATA!$A$3:$F$301,3,FALSE)-VLOOKUP($A97,DATA!$A$3:$F$301,3,FALSE))^2),"")</f>
        <v/>
      </c>
      <c r="O97" s="14" t="str">
        <f>_xlfn.IFNA(SQRT((VLOOKUP(O$1,DATA!$A$3:$F$301,2,FALSE)-VLOOKUP($A97,DATA!$A$3:$F$301,2,FALSE))^2+(VLOOKUP(O$1,DATA!$A$3:$F$301,3,FALSE)-VLOOKUP($A97,DATA!$A$3:$F$301,3,FALSE))^2),"")</f>
        <v/>
      </c>
      <c r="P97" s="14" t="str">
        <f>_xlfn.IFNA(SQRT((VLOOKUP(P$1,DATA!$A$3:$F$301,2,FALSE)-VLOOKUP($A97,DATA!$A$3:$F$301,2,FALSE))^2+(VLOOKUP(P$1,DATA!$A$3:$F$301,3,FALSE)-VLOOKUP($A97,DATA!$A$3:$F$301,3,FALSE))^2),"")</f>
        <v/>
      </c>
      <c r="Q97" s="14" t="str">
        <f>_xlfn.IFNA(SQRT((VLOOKUP(Q$1,DATA!$A$3:$F$301,2,FALSE)-VLOOKUP($A97,DATA!$A$3:$F$301,2,FALSE))^2+(VLOOKUP(Q$1,DATA!$A$3:$F$301,3,FALSE)-VLOOKUP($A97,DATA!$A$3:$F$301,3,FALSE))^2),"")</f>
        <v/>
      </c>
      <c r="R97" s="14" t="str">
        <f>_xlfn.IFNA(SQRT((VLOOKUP(R$1,DATA!$A$3:$F$301,2,FALSE)-VLOOKUP($A97,DATA!$A$3:$F$301,2,FALSE))^2+(VLOOKUP(R$1,DATA!$A$3:$F$301,3,FALSE)-VLOOKUP($A97,DATA!$A$3:$F$301,3,FALSE))^2),"")</f>
        <v/>
      </c>
      <c r="S97" s="14" t="str">
        <f>_xlfn.IFNA(SQRT((VLOOKUP(S$1,DATA!$A$3:$F$301,2,FALSE)-VLOOKUP($A97,DATA!$A$3:$F$301,2,FALSE))^2+(VLOOKUP(S$1,DATA!$A$3:$F$301,3,FALSE)-VLOOKUP($A97,DATA!$A$3:$F$301,3,FALSE))^2),"")</f>
        <v/>
      </c>
      <c r="T97" s="14" t="str">
        <f>_xlfn.IFNA(SQRT((VLOOKUP(T$1,DATA!$A$3:$F$301,2,FALSE)-VLOOKUP($A97,DATA!$A$3:$F$301,2,FALSE))^2+(VLOOKUP(T$1,DATA!$A$3:$F$301,3,FALSE)-VLOOKUP($A97,DATA!$A$3:$F$301,3,FALSE))^2),"")</f>
        <v/>
      </c>
      <c r="U97" s="14" t="str">
        <f>_xlfn.IFNA(SQRT((VLOOKUP(U$1,DATA!$A$3:$F$301,2,FALSE)-VLOOKUP($A97,DATA!$A$3:$F$301,2,FALSE))^2+(VLOOKUP(U$1,DATA!$A$3:$F$301,3,FALSE)-VLOOKUP($A97,DATA!$A$3:$F$301,3,FALSE))^2),"")</f>
        <v/>
      </c>
      <c r="V97" s="14" t="str">
        <f>_xlfn.IFNA(SQRT((VLOOKUP(V$1,DATA!$A$3:$F$301,2,FALSE)-VLOOKUP($A97,DATA!$A$3:$F$301,2,FALSE))^2+(VLOOKUP(V$1,DATA!$A$3:$F$301,3,FALSE)-VLOOKUP($A97,DATA!$A$3:$F$301,3,FALSE))^2),"")</f>
        <v/>
      </c>
      <c r="W97" s="14" t="str">
        <f>_xlfn.IFNA(SQRT((VLOOKUP(W$1,DATA!$A$3:$F$301,2,FALSE)-VLOOKUP($A97,DATA!$A$3:$F$301,2,FALSE))^2+(VLOOKUP(W$1,DATA!$A$3:$F$301,3,FALSE)-VLOOKUP($A97,DATA!$A$3:$F$301,3,FALSE))^2),"")</f>
        <v/>
      </c>
      <c r="X97" s="14" t="str">
        <f>_xlfn.IFNA(SQRT((VLOOKUP(X$1,DATA!$A$3:$F$301,2,FALSE)-VLOOKUP($A97,DATA!$A$3:$F$301,2,FALSE))^2+(VLOOKUP(X$1,DATA!$A$3:$F$301,3,FALSE)-VLOOKUP($A97,DATA!$A$3:$F$301,3,FALSE))^2),"")</f>
        <v/>
      </c>
      <c r="Y97" s="14" t="str">
        <f>_xlfn.IFNA(SQRT((VLOOKUP(Y$1,DATA!$A$3:$F$301,2,FALSE)-VLOOKUP($A97,DATA!$A$3:$F$301,2,FALSE))^2+(VLOOKUP(Y$1,DATA!$A$3:$F$301,3,FALSE)-VLOOKUP($A97,DATA!$A$3:$F$301,3,FALSE))^2),"")</f>
        <v/>
      </c>
      <c r="Z97" s="14" t="str">
        <f>_xlfn.IFNA(SQRT((VLOOKUP(Z$1,DATA!$A$3:$F$301,2,FALSE)-VLOOKUP($A97,DATA!$A$3:$F$301,2,FALSE))^2+(VLOOKUP(Z$1,DATA!$A$3:$F$301,3,FALSE)-VLOOKUP($A97,DATA!$A$3:$F$301,3,FALSE))^2),"")</f>
        <v/>
      </c>
      <c r="AA97" s="14" t="str">
        <f>_xlfn.IFNA(SQRT((VLOOKUP(AA$1,DATA!$A$3:$F$301,2,FALSE)-VLOOKUP($A97,DATA!$A$3:$F$301,2,FALSE))^2+(VLOOKUP(AA$1,DATA!$A$3:$F$301,3,FALSE)-VLOOKUP($A97,DATA!$A$3:$F$301,3,FALSE))^2),"")</f>
        <v/>
      </c>
      <c r="AB97" s="14" t="str">
        <f>_xlfn.IFNA(SQRT((VLOOKUP(AB$1,DATA!$A$3:$F$301,2,FALSE)-VLOOKUP($A97,DATA!$A$3:$F$301,2,FALSE))^2+(VLOOKUP(AB$1,DATA!$A$3:$F$301,3,FALSE)-VLOOKUP($A97,DATA!$A$3:$F$301,3,FALSE))^2),"")</f>
        <v/>
      </c>
      <c r="AC97" s="14" t="str">
        <f>_xlfn.IFNA(SQRT((VLOOKUP(AC$1,DATA!$A$3:$F$301,2,FALSE)-VLOOKUP($A97,DATA!$A$3:$F$301,2,FALSE))^2+(VLOOKUP(AC$1,DATA!$A$3:$F$301,3,FALSE)-VLOOKUP($A97,DATA!$A$3:$F$301,3,FALSE))^2),"")</f>
        <v/>
      </c>
      <c r="AD97" s="14" t="str">
        <f>_xlfn.IFNA(SQRT((VLOOKUP(AD$1,DATA!$A$3:$F$301,2,FALSE)-VLOOKUP($A97,DATA!$A$3:$F$301,2,FALSE))^2+(VLOOKUP(AD$1,DATA!$A$3:$F$301,3,FALSE)-VLOOKUP($A97,DATA!$A$3:$F$301,3,FALSE))^2),"")</f>
        <v/>
      </c>
      <c r="AE97" s="14" t="str">
        <f>_xlfn.IFNA(SQRT((VLOOKUP(AE$1,DATA!$A$3:$F$301,2,FALSE)-VLOOKUP($A97,DATA!$A$3:$F$301,2,FALSE))^2+(VLOOKUP(AE$1,DATA!$A$3:$F$301,3,FALSE)-VLOOKUP($A97,DATA!$A$3:$F$301,3,FALSE))^2),"")</f>
        <v/>
      </c>
      <c r="AF97" s="14" t="str">
        <f>_xlfn.IFNA(SQRT((VLOOKUP(AF$1,DATA!$A$3:$F$301,2,FALSE)-VLOOKUP($A97,DATA!$A$3:$F$301,2,FALSE))^2+(VLOOKUP(AF$1,DATA!$A$3:$F$301,3,FALSE)-VLOOKUP($A97,DATA!$A$3:$F$301,3,FALSE))^2),"")</f>
        <v/>
      </c>
      <c r="AG97" s="14" t="str">
        <f>_xlfn.IFNA(SQRT((VLOOKUP(AG$1,DATA!$A$3:$F$301,2,FALSE)-VLOOKUP($A97,DATA!$A$3:$F$301,2,FALSE))^2+(VLOOKUP(AG$1,DATA!$A$3:$F$301,3,FALSE)-VLOOKUP($A97,DATA!$A$3:$F$301,3,FALSE))^2),"")</f>
        <v/>
      </c>
      <c r="AH97" s="14" t="str">
        <f>_xlfn.IFNA(SQRT((VLOOKUP(AH$1,DATA!$A$3:$F$301,2,FALSE)-VLOOKUP($A97,DATA!$A$3:$F$301,2,FALSE))^2+(VLOOKUP(AH$1,DATA!$A$3:$F$301,3,FALSE)-VLOOKUP($A97,DATA!$A$3:$F$301,3,FALSE))^2),"")</f>
        <v/>
      </c>
      <c r="AI97" s="14" t="str">
        <f>_xlfn.IFNA(SQRT((VLOOKUP(AI$1,DATA!$A$3:$F$301,2,FALSE)-VLOOKUP($A97,DATA!$A$3:$F$301,2,FALSE))^2+(VLOOKUP(AI$1,DATA!$A$3:$F$301,3,FALSE)-VLOOKUP($A97,DATA!$A$3:$F$301,3,FALSE))^2),"")</f>
        <v/>
      </c>
      <c r="AJ97" s="14" t="str">
        <f>_xlfn.IFNA(SQRT((VLOOKUP(AJ$1,DATA!$A$3:$F$301,2,FALSE)-VLOOKUP($A97,DATA!$A$3:$F$301,2,FALSE))^2+(VLOOKUP(AJ$1,DATA!$A$3:$F$301,3,FALSE)-VLOOKUP($A97,DATA!$A$3:$F$301,3,FALSE))^2),"")</f>
        <v/>
      </c>
      <c r="AK97" s="14" t="str">
        <f>_xlfn.IFNA(SQRT((VLOOKUP(AK$1,DATA!$A$3:$F$301,2,FALSE)-VLOOKUP($A97,DATA!$A$3:$F$301,2,FALSE))^2+(VLOOKUP(AK$1,DATA!$A$3:$F$301,3,FALSE)-VLOOKUP($A97,DATA!$A$3:$F$301,3,FALSE))^2),"")</f>
        <v/>
      </c>
      <c r="AL97" s="14" t="str">
        <f>_xlfn.IFNA(SQRT((VLOOKUP(AL$1,DATA!$A$3:$F$301,2,FALSE)-VLOOKUP($A97,DATA!$A$3:$F$301,2,FALSE))^2+(VLOOKUP(AL$1,DATA!$A$3:$F$301,3,FALSE)-VLOOKUP($A97,DATA!$A$3:$F$301,3,FALSE))^2),"")</f>
        <v/>
      </c>
      <c r="AM97" s="14" t="str">
        <f>_xlfn.IFNA(SQRT((VLOOKUP(AM$1,DATA!$A$3:$F$301,2,FALSE)-VLOOKUP($A97,DATA!$A$3:$F$301,2,FALSE))^2+(VLOOKUP(AM$1,DATA!$A$3:$F$301,3,FALSE)-VLOOKUP($A97,DATA!$A$3:$F$301,3,FALSE))^2),"")</f>
        <v/>
      </c>
      <c r="AN97" s="14" t="str">
        <f>_xlfn.IFNA(SQRT((VLOOKUP(AN$1,DATA!$A$3:$F$301,2,FALSE)-VLOOKUP($A97,DATA!$A$3:$F$301,2,FALSE))^2+(VLOOKUP(AN$1,DATA!$A$3:$F$301,3,FALSE)-VLOOKUP($A97,DATA!$A$3:$F$301,3,FALSE))^2),"")</f>
        <v/>
      </c>
      <c r="AO97" s="14" t="str">
        <f>_xlfn.IFNA(SQRT((VLOOKUP(AO$1,DATA!$A$3:$F$301,2,FALSE)-VLOOKUP($A97,DATA!$A$3:$F$301,2,FALSE))^2+(VLOOKUP(AO$1,DATA!$A$3:$F$301,3,FALSE)-VLOOKUP($A97,DATA!$A$3:$F$301,3,FALSE))^2),"")</f>
        <v/>
      </c>
      <c r="AP97" s="14" t="str">
        <f>_xlfn.IFNA(SQRT((VLOOKUP(AP$1,DATA!$A$3:$F$301,2,FALSE)-VLOOKUP($A97,DATA!$A$3:$F$301,2,FALSE))^2+(VLOOKUP(AP$1,DATA!$A$3:$F$301,3,FALSE)-VLOOKUP($A97,DATA!$A$3:$F$301,3,FALSE))^2),"")</f>
        <v/>
      </c>
      <c r="AQ97" s="14" t="str">
        <f>_xlfn.IFNA(SQRT((VLOOKUP(AQ$1,DATA!$A$3:$F$301,2,FALSE)-VLOOKUP($A97,DATA!$A$3:$F$301,2,FALSE))^2+(VLOOKUP(AQ$1,DATA!$A$3:$F$301,3,FALSE)-VLOOKUP($A97,DATA!$A$3:$F$301,3,FALSE))^2),"")</f>
        <v/>
      </c>
      <c r="AR97" s="14" t="str">
        <f>_xlfn.IFNA(SQRT((VLOOKUP(AR$1,DATA!$A$3:$F$301,2,FALSE)-VLOOKUP($A97,DATA!$A$3:$F$301,2,FALSE))^2+(VLOOKUP(AR$1,DATA!$A$3:$F$301,3,FALSE)-VLOOKUP($A97,DATA!$A$3:$F$301,3,FALSE))^2),"")</f>
        <v/>
      </c>
      <c r="AS97" s="14" t="str">
        <f>_xlfn.IFNA(SQRT((VLOOKUP(AS$1,DATA!$A$3:$F$301,2,FALSE)-VLOOKUP($A97,DATA!$A$3:$F$301,2,FALSE))^2+(VLOOKUP(AS$1,DATA!$A$3:$F$301,3,FALSE)-VLOOKUP($A97,DATA!$A$3:$F$301,3,FALSE))^2),"")</f>
        <v/>
      </c>
      <c r="AT97" s="14" t="str">
        <f>_xlfn.IFNA(SQRT((VLOOKUP(AT$1,DATA!$A$3:$F$301,2,FALSE)-VLOOKUP($A97,DATA!$A$3:$F$301,2,FALSE))^2+(VLOOKUP(AT$1,DATA!$A$3:$F$301,3,FALSE)-VLOOKUP($A97,DATA!$A$3:$F$301,3,FALSE))^2),"")</f>
        <v/>
      </c>
      <c r="AU97" s="14" t="str">
        <f>_xlfn.IFNA(SQRT((VLOOKUP(AU$1,DATA!$A$3:$F$301,2,FALSE)-VLOOKUP($A97,DATA!$A$3:$F$301,2,FALSE))^2+(VLOOKUP(AU$1,DATA!$A$3:$F$301,3,FALSE)-VLOOKUP($A97,DATA!$A$3:$F$301,3,FALSE))^2),"")</f>
        <v/>
      </c>
      <c r="AV97" s="14" t="str">
        <f>_xlfn.IFNA(SQRT((VLOOKUP(AV$1,DATA!$A$3:$F$301,2,FALSE)-VLOOKUP($A97,DATA!$A$3:$F$301,2,FALSE))^2+(VLOOKUP(AV$1,DATA!$A$3:$F$301,3,FALSE)-VLOOKUP($A97,DATA!$A$3:$F$301,3,FALSE))^2),"")</f>
        <v/>
      </c>
      <c r="AW97" s="14" t="str">
        <f>_xlfn.IFNA(SQRT((VLOOKUP(AW$1,DATA!$A$3:$F$301,2,FALSE)-VLOOKUP($A97,DATA!$A$3:$F$301,2,FALSE))^2+(VLOOKUP(AW$1,DATA!$A$3:$F$301,3,FALSE)-VLOOKUP($A97,DATA!$A$3:$F$301,3,FALSE))^2),"")</f>
        <v/>
      </c>
      <c r="AX97" s="14" t="str">
        <f>_xlfn.IFNA(SQRT((VLOOKUP(AX$1,DATA!$A$3:$F$301,2,FALSE)-VLOOKUP($A97,DATA!$A$3:$F$301,2,FALSE))^2+(VLOOKUP(AX$1,DATA!$A$3:$F$301,3,FALSE)-VLOOKUP($A97,DATA!$A$3:$F$301,3,FALSE))^2),"")</f>
        <v/>
      </c>
      <c r="AY97" s="14" t="str">
        <f>_xlfn.IFNA(SQRT((VLOOKUP(AY$1,DATA!$A$3:$F$301,2,FALSE)-VLOOKUP($A97,DATA!$A$3:$F$301,2,FALSE))^2+(VLOOKUP(AY$1,DATA!$A$3:$F$301,3,FALSE)-VLOOKUP($A97,DATA!$A$3:$F$301,3,FALSE))^2),"")</f>
        <v/>
      </c>
      <c r="AZ97" s="14" t="str">
        <f>_xlfn.IFNA(SQRT((VLOOKUP(AZ$1,DATA!$A$3:$F$301,2,FALSE)-VLOOKUP($A97,DATA!$A$3:$F$301,2,FALSE))^2+(VLOOKUP(AZ$1,DATA!$A$3:$F$301,3,FALSE)-VLOOKUP($A97,DATA!$A$3:$F$301,3,FALSE))^2),"")</f>
        <v/>
      </c>
      <c r="BA97" s="14" t="str">
        <f>_xlfn.IFNA(SQRT((VLOOKUP(BA$1,DATA!$A$3:$F$301,2,FALSE)-VLOOKUP($A97,DATA!$A$3:$F$301,2,FALSE))^2+(VLOOKUP(BA$1,DATA!$A$3:$F$301,3,FALSE)-VLOOKUP($A97,DATA!$A$3:$F$301,3,FALSE))^2),"")</f>
        <v/>
      </c>
      <c r="BB97" s="14" t="str">
        <f>_xlfn.IFNA(SQRT((VLOOKUP(BB$1,DATA!$A$3:$F$301,2,FALSE)-VLOOKUP($A97,DATA!$A$3:$F$301,2,FALSE))^2+(VLOOKUP(BB$1,DATA!$A$3:$F$301,3,FALSE)-VLOOKUP($A97,DATA!$A$3:$F$301,3,FALSE))^2),"")</f>
        <v/>
      </c>
      <c r="BC97" s="14" t="str">
        <f>_xlfn.IFNA(SQRT((VLOOKUP(BC$1,DATA!$A$3:$F$301,2,FALSE)-VLOOKUP($A97,DATA!$A$3:$F$301,2,FALSE))^2+(VLOOKUP(BC$1,DATA!$A$3:$F$301,3,FALSE)-VLOOKUP($A97,DATA!$A$3:$F$301,3,FALSE))^2),"")</f>
        <v/>
      </c>
      <c r="BD97" s="14" t="str">
        <f>_xlfn.IFNA(SQRT((VLOOKUP(BD$1,DATA!$A$3:$F$301,2,FALSE)-VLOOKUP($A97,DATA!$A$3:$F$301,2,FALSE))^2+(VLOOKUP(BD$1,DATA!$A$3:$F$301,3,FALSE)-VLOOKUP($A97,DATA!$A$3:$F$301,3,FALSE))^2),"")</f>
        <v/>
      </c>
      <c r="BE97" s="14" t="str">
        <f>_xlfn.IFNA(SQRT((VLOOKUP(BE$1,DATA!$A$3:$F$301,2,FALSE)-VLOOKUP($A97,DATA!$A$3:$F$301,2,FALSE))^2+(VLOOKUP(BE$1,DATA!$A$3:$F$301,3,FALSE)-VLOOKUP($A97,DATA!$A$3:$F$301,3,FALSE))^2),"")</f>
        <v/>
      </c>
      <c r="BF97" s="14" t="str">
        <f>_xlfn.IFNA(SQRT((VLOOKUP(BF$1,DATA!$A$3:$F$301,2,FALSE)-VLOOKUP($A97,DATA!$A$3:$F$301,2,FALSE))^2+(VLOOKUP(BF$1,DATA!$A$3:$F$301,3,FALSE)-VLOOKUP($A97,DATA!$A$3:$F$301,3,FALSE))^2),"")</f>
        <v/>
      </c>
      <c r="BG97" s="14" t="str">
        <f>_xlfn.IFNA(SQRT((VLOOKUP(BG$1,DATA!$A$3:$F$301,2,FALSE)-VLOOKUP($A97,DATA!$A$3:$F$301,2,FALSE))^2+(VLOOKUP(BG$1,DATA!$A$3:$F$301,3,FALSE)-VLOOKUP($A97,DATA!$A$3:$F$301,3,FALSE))^2),"")</f>
        <v/>
      </c>
      <c r="BH97" s="14" t="str">
        <f>_xlfn.IFNA(SQRT((VLOOKUP(BH$1,DATA!$A$3:$F$301,2,FALSE)-VLOOKUP($A97,DATA!$A$3:$F$301,2,FALSE))^2+(VLOOKUP(BH$1,DATA!$A$3:$F$301,3,FALSE)-VLOOKUP($A97,DATA!$A$3:$F$301,3,FALSE))^2),"")</f>
        <v/>
      </c>
      <c r="BI97" s="14" t="str">
        <f>_xlfn.IFNA(SQRT((VLOOKUP(BI$1,DATA!$A$3:$F$301,2,FALSE)-VLOOKUP($A97,DATA!$A$3:$F$301,2,FALSE))^2+(VLOOKUP(BI$1,DATA!$A$3:$F$301,3,FALSE)-VLOOKUP($A97,DATA!$A$3:$F$301,3,FALSE))^2),"")</f>
        <v/>
      </c>
      <c r="BJ97" s="14" t="str">
        <f>_xlfn.IFNA(SQRT((VLOOKUP(BJ$1,DATA!$A$3:$F$301,2,FALSE)-VLOOKUP($A97,DATA!$A$3:$F$301,2,FALSE))^2+(VLOOKUP(BJ$1,DATA!$A$3:$F$301,3,FALSE)-VLOOKUP($A97,DATA!$A$3:$F$301,3,FALSE))^2),"")</f>
        <v/>
      </c>
      <c r="BK97" s="14" t="str">
        <f>_xlfn.IFNA(SQRT((VLOOKUP(BK$1,DATA!$A$3:$F$301,2,FALSE)-VLOOKUP($A97,DATA!$A$3:$F$301,2,FALSE))^2+(VLOOKUP(BK$1,DATA!$A$3:$F$301,3,FALSE)-VLOOKUP($A97,DATA!$A$3:$F$301,3,FALSE))^2),"")</f>
        <v/>
      </c>
      <c r="BL97" s="14" t="str">
        <f>_xlfn.IFNA(SQRT((VLOOKUP(BL$1,DATA!$A$3:$F$301,2,FALSE)-VLOOKUP($A97,DATA!$A$3:$F$301,2,FALSE))^2+(VLOOKUP(BL$1,DATA!$A$3:$F$301,3,FALSE)-VLOOKUP($A97,DATA!$A$3:$F$301,3,FALSE))^2),"")</f>
        <v/>
      </c>
      <c r="BM97" s="14" t="str">
        <f>_xlfn.IFNA(SQRT((VLOOKUP(BM$1,DATA!$A$3:$F$301,2,FALSE)-VLOOKUP($A97,DATA!$A$3:$F$301,2,FALSE))^2+(VLOOKUP(BM$1,DATA!$A$3:$F$301,3,FALSE)-VLOOKUP($A97,DATA!$A$3:$F$301,3,FALSE))^2),"")</f>
        <v/>
      </c>
      <c r="BN97" s="14" t="str">
        <f>_xlfn.IFNA(SQRT((VLOOKUP(BN$1,DATA!$A$3:$F$301,2,FALSE)-VLOOKUP($A97,DATA!$A$3:$F$301,2,FALSE))^2+(VLOOKUP(BN$1,DATA!$A$3:$F$301,3,FALSE)-VLOOKUP($A97,DATA!$A$3:$F$301,3,FALSE))^2),"")</f>
        <v/>
      </c>
      <c r="BO97" s="14" t="str">
        <f>_xlfn.IFNA(SQRT((VLOOKUP(BO$1,DATA!$A$3:$F$301,2,FALSE)-VLOOKUP($A97,DATA!$A$3:$F$301,2,FALSE))^2+(VLOOKUP(BO$1,DATA!$A$3:$F$301,3,FALSE)-VLOOKUP($A97,DATA!$A$3:$F$301,3,FALSE))^2),"")</f>
        <v/>
      </c>
      <c r="BP97" s="14" t="str">
        <f>_xlfn.IFNA(SQRT((VLOOKUP(BP$1,DATA!$A$3:$F$301,2,FALSE)-VLOOKUP($A97,DATA!$A$3:$F$301,2,FALSE))^2+(VLOOKUP(BP$1,DATA!$A$3:$F$301,3,FALSE)-VLOOKUP($A97,DATA!$A$3:$F$301,3,FALSE))^2),"")</f>
        <v/>
      </c>
      <c r="BQ97" s="14" t="str">
        <f>_xlfn.IFNA(SQRT((VLOOKUP(BQ$1,DATA!$A$3:$F$301,2,FALSE)-VLOOKUP($A97,DATA!$A$3:$F$301,2,FALSE))^2+(VLOOKUP(BQ$1,DATA!$A$3:$F$301,3,FALSE)-VLOOKUP($A97,DATA!$A$3:$F$301,3,FALSE))^2),"")</f>
        <v/>
      </c>
      <c r="BR97" s="14" t="str">
        <f>_xlfn.IFNA(SQRT((VLOOKUP(BR$1,DATA!$A$3:$F$301,2,FALSE)-VLOOKUP($A97,DATA!$A$3:$F$301,2,FALSE))^2+(VLOOKUP(BR$1,DATA!$A$3:$F$301,3,FALSE)-VLOOKUP($A97,DATA!$A$3:$F$301,3,FALSE))^2),"")</f>
        <v/>
      </c>
      <c r="BS97" s="14" t="str">
        <f>_xlfn.IFNA(SQRT((VLOOKUP(BS$1,DATA!$A$3:$F$301,2,FALSE)-VLOOKUP($A97,DATA!$A$3:$F$301,2,FALSE))^2+(VLOOKUP(BS$1,DATA!$A$3:$F$301,3,FALSE)-VLOOKUP($A97,DATA!$A$3:$F$301,3,FALSE))^2),"")</f>
        <v/>
      </c>
      <c r="BT97" s="14" t="str">
        <f>_xlfn.IFNA(SQRT((VLOOKUP(BT$1,DATA!$A$3:$F$301,2,FALSE)-VLOOKUP($A97,DATA!$A$3:$F$301,2,FALSE))^2+(VLOOKUP(BT$1,DATA!$A$3:$F$301,3,FALSE)-VLOOKUP($A97,DATA!$A$3:$F$301,3,FALSE))^2),"")</f>
        <v/>
      </c>
      <c r="BU97" s="14" t="str">
        <f>_xlfn.IFNA(SQRT((VLOOKUP(BU$1,DATA!$A$3:$F$301,2,FALSE)-VLOOKUP($A97,DATA!$A$3:$F$301,2,FALSE))^2+(VLOOKUP(BU$1,DATA!$A$3:$F$301,3,FALSE)-VLOOKUP($A97,DATA!$A$3:$F$301,3,FALSE))^2),"")</f>
        <v/>
      </c>
      <c r="BV97" s="14" t="str">
        <f>_xlfn.IFNA(SQRT((VLOOKUP(BV$1,DATA!$A$3:$F$301,2,FALSE)-VLOOKUP($A97,DATA!$A$3:$F$301,2,FALSE))^2+(VLOOKUP(BV$1,DATA!$A$3:$F$301,3,FALSE)-VLOOKUP($A97,DATA!$A$3:$F$301,3,FALSE))^2),"")</f>
        <v/>
      </c>
      <c r="BW97" s="14" t="str">
        <f>_xlfn.IFNA(SQRT((VLOOKUP(BW$1,DATA!$A$3:$F$301,2,FALSE)-VLOOKUP($A97,DATA!$A$3:$F$301,2,FALSE))^2+(VLOOKUP(BW$1,DATA!$A$3:$F$301,3,FALSE)-VLOOKUP($A97,DATA!$A$3:$F$301,3,FALSE))^2),"")</f>
        <v/>
      </c>
      <c r="BX97" s="14" t="str">
        <f>_xlfn.IFNA(SQRT((VLOOKUP(BX$1,DATA!$A$3:$F$301,2,FALSE)-VLOOKUP($A97,DATA!$A$3:$F$301,2,FALSE))^2+(VLOOKUP(BX$1,DATA!$A$3:$F$301,3,FALSE)-VLOOKUP($A97,DATA!$A$3:$F$301,3,FALSE))^2),"")</f>
        <v/>
      </c>
      <c r="BY97" s="14" t="str">
        <f>_xlfn.IFNA(SQRT((VLOOKUP(BY$1,DATA!$A$3:$F$301,2,FALSE)-VLOOKUP($A97,DATA!$A$3:$F$301,2,FALSE))^2+(VLOOKUP(BY$1,DATA!$A$3:$F$301,3,FALSE)-VLOOKUP($A97,DATA!$A$3:$F$301,3,FALSE))^2),"")</f>
        <v/>
      </c>
      <c r="BZ97" s="14" t="str">
        <f>_xlfn.IFNA(SQRT((VLOOKUP(BZ$1,DATA!$A$3:$F$301,2,FALSE)-VLOOKUP($A97,DATA!$A$3:$F$301,2,FALSE))^2+(VLOOKUP(BZ$1,DATA!$A$3:$F$301,3,FALSE)-VLOOKUP($A97,DATA!$A$3:$F$301,3,FALSE))^2),"")</f>
        <v/>
      </c>
      <c r="CA97" s="14" t="str">
        <f>_xlfn.IFNA(SQRT((VLOOKUP(CA$1,DATA!$A$3:$F$301,2,FALSE)-VLOOKUP($A97,DATA!$A$3:$F$301,2,FALSE))^2+(VLOOKUP(CA$1,DATA!$A$3:$F$301,3,FALSE)-VLOOKUP($A97,DATA!$A$3:$F$301,3,FALSE))^2),"")</f>
        <v/>
      </c>
      <c r="CB97" s="14" t="str">
        <f>_xlfn.IFNA(SQRT((VLOOKUP(CB$1,DATA!$A$3:$F$301,2,FALSE)-VLOOKUP($A97,DATA!$A$3:$F$301,2,FALSE))^2+(VLOOKUP(CB$1,DATA!$A$3:$F$301,3,FALSE)-VLOOKUP($A97,DATA!$A$3:$F$301,3,FALSE))^2),"")</f>
        <v/>
      </c>
      <c r="CC97" s="14" t="str">
        <f>_xlfn.IFNA(SQRT((VLOOKUP(CC$1,DATA!$A$3:$F$301,2,FALSE)-VLOOKUP($A97,DATA!$A$3:$F$301,2,FALSE))^2+(VLOOKUP(CC$1,DATA!$A$3:$F$301,3,FALSE)-VLOOKUP($A97,DATA!$A$3:$F$301,3,FALSE))^2),"")</f>
        <v/>
      </c>
      <c r="CD97" s="14" t="str">
        <f>_xlfn.IFNA(SQRT((VLOOKUP(CD$1,DATA!$A$3:$F$301,2,FALSE)-VLOOKUP($A97,DATA!$A$3:$F$301,2,FALSE))^2+(VLOOKUP(CD$1,DATA!$A$3:$F$301,3,FALSE)-VLOOKUP($A97,DATA!$A$3:$F$301,3,FALSE))^2),"")</f>
        <v/>
      </c>
      <c r="CE97" s="14" t="str">
        <f>_xlfn.IFNA(SQRT((VLOOKUP(CE$1,DATA!$A$3:$F$301,2,FALSE)-VLOOKUP($A97,DATA!$A$3:$F$301,2,FALSE))^2+(VLOOKUP(CE$1,DATA!$A$3:$F$301,3,FALSE)-VLOOKUP($A97,DATA!$A$3:$F$301,3,FALSE))^2),"")</f>
        <v/>
      </c>
      <c r="CF97" s="14" t="str">
        <f>_xlfn.IFNA(SQRT((VLOOKUP(CF$1,DATA!$A$3:$F$301,2,FALSE)-VLOOKUP($A97,DATA!$A$3:$F$301,2,FALSE))^2+(VLOOKUP(CF$1,DATA!$A$3:$F$301,3,FALSE)-VLOOKUP($A97,DATA!$A$3:$F$301,3,FALSE))^2),"")</f>
        <v/>
      </c>
      <c r="CG97" s="14" t="str">
        <f>_xlfn.IFNA(SQRT((VLOOKUP(CG$1,DATA!$A$3:$F$301,2,FALSE)-VLOOKUP($A97,DATA!$A$3:$F$301,2,FALSE))^2+(VLOOKUP(CG$1,DATA!$A$3:$F$301,3,FALSE)-VLOOKUP($A97,DATA!$A$3:$F$301,3,FALSE))^2),"")</f>
        <v/>
      </c>
      <c r="CH97" s="14" t="str">
        <f>_xlfn.IFNA(SQRT((VLOOKUP(CH$1,DATA!$A$3:$F$301,2,FALSE)-VLOOKUP($A97,DATA!$A$3:$F$301,2,FALSE))^2+(VLOOKUP(CH$1,DATA!$A$3:$F$301,3,FALSE)-VLOOKUP($A97,DATA!$A$3:$F$301,3,FALSE))^2),"")</f>
        <v/>
      </c>
      <c r="CI97" s="14" t="str">
        <f>_xlfn.IFNA(SQRT((VLOOKUP(CI$1,DATA!$A$3:$F$301,2,FALSE)-VLOOKUP($A97,DATA!$A$3:$F$301,2,FALSE))^2+(VLOOKUP(CI$1,DATA!$A$3:$F$301,3,FALSE)-VLOOKUP($A97,DATA!$A$3:$F$301,3,FALSE))^2),"")</f>
        <v/>
      </c>
      <c r="CJ97" s="14" t="str">
        <f>_xlfn.IFNA(SQRT((VLOOKUP(CJ$1,DATA!$A$3:$F$301,2,FALSE)-VLOOKUP($A97,DATA!$A$3:$F$301,2,FALSE))^2+(VLOOKUP(CJ$1,DATA!$A$3:$F$301,3,FALSE)-VLOOKUP($A97,DATA!$A$3:$F$301,3,FALSE))^2),"")</f>
        <v/>
      </c>
      <c r="CK97" s="14" t="str">
        <f>_xlfn.IFNA(SQRT((VLOOKUP(CK$1,DATA!$A$3:$F$301,2,FALSE)-VLOOKUP($A97,DATA!$A$3:$F$301,2,FALSE))^2+(VLOOKUP(CK$1,DATA!$A$3:$F$301,3,FALSE)-VLOOKUP($A97,DATA!$A$3:$F$301,3,FALSE))^2),"")</f>
        <v/>
      </c>
      <c r="CL97" s="14" t="str">
        <f>_xlfn.IFNA(SQRT((VLOOKUP(CL$1,DATA!$A$3:$F$301,2,FALSE)-VLOOKUP($A97,DATA!$A$3:$F$301,2,FALSE))^2+(VLOOKUP(CL$1,DATA!$A$3:$F$301,3,FALSE)-VLOOKUP($A97,DATA!$A$3:$F$301,3,FALSE))^2),"")</f>
        <v/>
      </c>
      <c r="CM97" s="14" t="str">
        <f>_xlfn.IFNA(SQRT((VLOOKUP(CM$1,DATA!$A$3:$F$301,2,FALSE)-VLOOKUP($A97,DATA!$A$3:$F$301,2,FALSE))^2+(VLOOKUP(CM$1,DATA!$A$3:$F$301,3,FALSE)-VLOOKUP($A97,DATA!$A$3:$F$301,3,FALSE))^2),"")</f>
        <v/>
      </c>
      <c r="CN97" s="14" t="str">
        <f>_xlfn.IFNA(SQRT((VLOOKUP(CN$1,DATA!$A$3:$F$301,2,FALSE)-VLOOKUP($A97,DATA!$A$3:$F$301,2,FALSE))^2+(VLOOKUP(CN$1,DATA!$A$3:$F$301,3,FALSE)-VLOOKUP($A97,DATA!$A$3:$F$301,3,FALSE))^2),"")</f>
        <v/>
      </c>
      <c r="CO97" s="14" t="str">
        <f>_xlfn.IFNA(SQRT((VLOOKUP(CO$1,DATA!$A$3:$F$301,2,FALSE)-VLOOKUP($A97,DATA!$A$3:$F$301,2,FALSE))^2+(VLOOKUP(CO$1,DATA!$A$3:$F$301,3,FALSE)-VLOOKUP($A97,DATA!$A$3:$F$301,3,FALSE))^2),"")</f>
        <v/>
      </c>
      <c r="CP97" s="14" t="str">
        <f>_xlfn.IFNA(SQRT((VLOOKUP(CP$1,DATA!$A$3:$F$301,2,FALSE)-VLOOKUP($A97,DATA!$A$3:$F$301,2,FALSE))^2+(VLOOKUP(CP$1,DATA!$A$3:$F$301,3,FALSE)-VLOOKUP($A97,DATA!$A$3:$F$301,3,FALSE))^2),"")</f>
        <v/>
      </c>
      <c r="CQ97" s="14" t="str">
        <f>_xlfn.IFNA(SQRT((VLOOKUP(CQ$1,DATA!$A$3:$F$301,2,FALSE)-VLOOKUP($A97,DATA!$A$3:$F$301,2,FALSE))^2+(VLOOKUP(CQ$1,DATA!$A$3:$F$301,3,FALSE)-VLOOKUP($A97,DATA!$A$3:$F$301,3,FALSE))^2),"")</f>
        <v/>
      </c>
      <c r="CR97" s="14" t="str">
        <f>_xlfn.IFNA(SQRT((VLOOKUP(CR$1,DATA!$A$3:$F$301,2,FALSE)-VLOOKUP($A97,DATA!$A$3:$F$301,2,FALSE))^2+(VLOOKUP(CR$1,DATA!$A$3:$F$301,3,FALSE)-VLOOKUP($A97,DATA!$A$3:$F$301,3,FALSE))^2),"")</f>
        <v/>
      </c>
      <c r="CS97" s="14" t="str">
        <f>_xlfn.IFNA(SQRT((VLOOKUP(CS$1,DATA!$A$3:$F$301,2,FALSE)-VLOOKUP($A97,DATA!$A$3:$F$301,2,FALSE))^2+(VLOOKUP(CS$1,DATA!$A$3:$F$301,3,FALSE)-VLOOKUP($A97,DATA!$A$3:$F$301,3,FALSE))^2),"")</f>
        <v/>
      </c>
      <c r="CT97" s="14" t="str">
        <f>_xlfn.IFNA(SQRT((VLOOKUP(CT$1,DATA!$A$3:$F$301,2,FALSE)-VLOOKUP($A97,DATA!$A$3:$F$301,2,FALSE))^2+(VLOOKUP(CT$1,DATA!$A$3:$F$301,3,FALSE)-VLOOKUP($A97,DATA!$A$3:$F$301,3,FALSE))^2),"")</f>
        <v/>
      </c>
      <c r="CU97" s="14" t="str">
        <f>_xlfn.IFNA(SQRT((VLOOKUP(CU$1,DATA!$A$3:$F$301,2,FALSE)-VLOOKUP($A97,DATA!$A$3:$F$301,2,FALSE))^2+(VLOOKUP(CU$1,DATA!$A$3:$F$301,3,FALSE)-VLOOKUP($A97,DATA!$A$3:$F$301,3,FALSE))^2),"")</f>
        <v/>
      </c>
      <c r="CV97" s="14" t="str">
        <f>_xlfn.IFNA(SQRT((VLOOKUP(CV$1,DATA!$A$3:$F$301,2,FALSE)-VLOOKUP($A97,DATA!$A$3:$F$301,2,FALSE))^2+(VLOOKUP(CV$1,DATA!$A$3:$F$301,3,FALSE)-VLOOKUP($A97,DATA!$A$3:$F$301,3,FALSE))^2),"")</f>
        <v/>
      </c>
      <c r="CW97" s="14" t="str">
        <f>_xlfn.IFNA(SQRT((VLOOKUP(CW$1,DATA!$A$3:$F$301,2,FALSE)-VLOOKUP($A97,DATA!$A$3:$F$301,2,FALSE))^2+(VLOOKUP(CW$1,DATA!$A$3:$F$301,3,FALSE)-VLOOKUP($A97,DATA!$A$3:$F$301,3,FALSE))^2),"")</f>
        <v/>
      </c>
      <c r="CX97" s="14" t="str">
        <f>_xlfn.IFNA(SQRT((VLOOKUP(CX$1,DATA!$A$3:$F$301,2,FALSE)-VLOOKUP($A97,DATA!$A$3:$F$301,2,FALSE))^2+(VLOOKUP(CX$1,DATA!$A$3:$F$301,3,FALSE)-VLOOKUP($A97,DATA!$A$3:$F$301,3,FALSE))^2),"")</f>
        <v/>
      </c>
    </row>
    <row r="98" spans="1:102">
      <c r="A98" s="13">
        <v>97</v>
      </c>
      <c r="B98" s="14" t="str">
        <f>_xlfn.IFNA(SQRT((VLOOKUP(B$1,DATA!$A$3:$F$301,2,FALSE)-VLOOKUP($A98,DATA!$A$3:$F$301,2,FALSE))^2+(VLOOKUP(B$1,DATA!$A$3:$F$301,3,FALSE)-VLOOKUP($A98,DATA!$A$3:$F$301,3,FALSE))^2),"")</f>
        <v/>
      </c>
      <c r="C98" s="14" t="str">
        <f>_xlfn.IFNA(SQRT((VLOOKUP(C$1,DATA!$A$3:$F$301,2,FALSE)-VLOOKUP($A98,DATA!$A$3:$F$301,2,FALSE))^2+(VLOOKUP(C$1,DATA!$A$3:$F$301,3,FALSE)-VLOOKUP($A98,DATA!$A$3:$F$301,3,FALSE))^2),"")</f>
        <v/>
      </c>
      <c r="D98" s="14" t="str">
        <f>_xlfn.IFNA(SQRT((VLOOKUP(D$1,DATA!$A$3:$F$301,2,FALSE)-VLOOKUP($A98,DATA!$A$3:$F$301,2,FALSE))^2+(VLOOKUP(D$1,DATA!$A$3:$F$301,3,FALSE)-VLOOKUP($A98,DATA!$A$3:$F$301,3,FALSE))^2),"")</f>
        <v/>
      </c>
      <c r="E98" s="14" t="str">
        <f>_xlfn.IFNA(SQRT((VLOOKUP(E$1,DATA!$A$3:$F$301,2,FALSE)-VLOOKUP($A98,DATA!$A$3:$F$301,2,FALSE))^2+(VLOOKUP(E$1,DATA!$A$3:$F$301,3,FALSE)-VLOOKUP($A98,DATA!$A$3:$F$301,3,FALSE))^2),"")</f>
        <v/>
      </c>
      <c r="F98" s="14" t="str">
        <f>_xlfn.IFNA(SQRT((VLOOKUP(F$1,DATA!$A$3:$F$301,2,FALSE)-VLOOKUP($A98,DATA!$A$3:$F$301,2,FALSE))^2+(VLOOKUP(F$1,DATA!$A$3:$F$301,3,FALSE)-VLOOKUP($A98,DATA!$A$3:$F$301,3,FALSE))^2),"")</f>
        <v/>
      </c>
      <c r="G98" s="14" t="str">
        <f>_xlfn.IFNA(SQRT((VLOOKUP(G$1,DATA!$A$3:$F$301,2,FALSE)-VLOOKUP($A98,DATA!$A$3:$F$301,2,FALSE))^2+(VLOOKUP(G$1,DATA!$A$3:$F$301,3,FALSE)-VLOOKUP($A98,DATA!$A$3:$F$301,3,FALSE))^2),"")</f>
        <v/>
      </c>
      <c r="H98" s="14" t="str">
        <f>_xlfn.IFNA(SQRT((VLOOKUP(H$1,DATA!$A$3:$F$301,2,FALSE)-VLOOKUP($A98,DATA!$A$3:$F$301,2,FALSE))^2+(VLOOKUP(H$1,DATA!$A$3:$F$301,3,FALSE)-VLOOKUP($A98,DATA!$A$3:$F$301,3,FALSE))^2),"")</f>
        <v/>
      </c>
      <c r="I98" s="14" t="str">
        <f>_xlfn.IFNA(SQRT((VLOOKUP(I$1,DATA!$A$3:$F$301,2,FALSE)-VLOOKUP($A98,DATA!$A$3:$F$301,2,FALSE))^2+(VLOOKUP(I$1,DATA!$A$3:$F$301,3,FALSE)-VLOOKUP($A98,DATA!$A$3:$F$301,3,FALSE))^2),"")</f>
        <v/>
      </c>
      <c r="J98" s="14" t="str">
        <f>_xlfn.IFNA(SQRT((VLOOKUP(J$1,DATA!$A$3:$F$301,2,FALSE)-VLOOKUP($A98,DATA!$A$3:$F$301,2,FALSE))^2+(VLOOKUP(J$1,DATA!$A$3:$F$301,3,FALSE)-VLOOKUP($A98,DATA!$A$3:$F$301,3,FALSE))^2),"")</f>
        <v/>
      </c>
      <c r="K98" s="14" t="str">
        <f>_xlfn.IFNA(SQRT((VLOOKUP(K$1,DATA!$A$3:$F$301,2,FALSE)-VLOOKUP($A98,DATA!$A$3:$F$301,2,FALSE))^2+(VLOOKUP(K$1,DATA!$A$3:$F$301,3,FALSE)-VLOOKUP($A98,DATA!$A$3:$F$301,3,FALSE))^2),"")</f>
        <v/>
      </c>
      <c r="L98" s="14" t="str">
        <f>_xlfn.IFNA(SQRT((VLOOKUP(L$1,DATA!$A$3:$F$301,2,FALSE)-VLOOKUP($A98,DATA!$A$3:$F$301,2,FALSE))^2+(VLOOKUP(L$1,DATA!$A$3:$F$301,3,FALSE)-VLOOKUP($A98,DATA!$A$3:$F$301,3,FALSE))^2),"")</f>
        <v/>
      </c>
      <c r="M98" s="14" t="str">
        <f>_xlfn.IFNA(SQRT((VLOOKUP(M$1,DATA!$A$3:$F$301,2,FALSE)-VLOOKUP($A98,DATA!$A$3:$F$301,2,FALSE))^2+(VLOOKUP(M$1,DATA!$A$3:$F$301,3,FALSE)-VLOOKUP($A98,DATA!$A$3:$F$301,3,FALSE))^2),"")</f>
        <v/>
      </c>
      <c r="N98" s="14" t="str">
        <f>_xlfn.IFNA(SQRT((VLOOKUP(N$1,DATA!$A$3:$F$301,2,FALSE)-VLOOKUP($A98,DATA!$A$3:$F$301,2,FALSE))^2+(VLOOKUP(N$1,DATA!$A$3:$F$301,3,FALSE)-VLOOKUP($A98,DATA!$A$3:$F$301,3,FALSE))^2),"")</f>
        <v/>
      </c>
      <c r="O98" s="14" t="str">
        <f>_xlfn.IFNA(SQRT((VLOOKUP(O$1,DATA!$A$3:$F$301,2,FALSE)-VLOOKUP($A98,DATA!$A$3:$F$301,2,FALSE))^2+(VLOOKUP(O$1,DATA!$A$3:$F$301,3,FALSE)-VLOOKUP($A98,DATA!$A$3:$F$301,3,FALSE))^2),"")</f>
        <v/>
      </c>
      <c r="P98" s="14" t="str">
        <f>_xlfn.IFNA(SQRT((VLOOKUP(P$1,DATA!$A$3:$F$301,2,FALSE)-VLOOKUP($A98,DATA!$A$3:$F$301,2,FALSE))^2+(VLOOKUP(P$1,DATA!$A$3:$F$301,3,FALSE)-VLOOKUP($A98,DATA!$A$3:$F$301,3,FALSE))^2),"")</f>
        <v/>
      </c>
      <c r="Q98" s="14" t="str">
        <f>_xlfn.IFNA(SQRT((VLOOKUP(Q$1,DATA!$A$3:$F$301,2,FALSE)-VLOOKUP($A98,DATA!$A$3:$F$301,2,FALSE))^2+(VLOOKUP(Q$1,DATA!$A$3:$F$301,3,FALSE)-VLOOKUP($A98,DATA!$A$3:$F$301,3,FALSE))^2),"")</f>
        <v/>
      </c>
      <c r="R98" s="14" t="str">
        <f>_xlfn.IFNA(SQRT((VLOOKUP(R$1,DATA!$A$3:$F$301,2,FALSE)-VLOOKUP($A98,DATA!$A$3:$F$301,2,FALSE))^2+(VLOOKUP(R$1,DATA!$A$3:$F$301,3,FALSE)-VLOOKUP($A98,DATA!$A$3:$F$301,3,FALSE))^2),"")</f>
        <v/>
      </c>
      <c r="S98" s="14" t="str">
        <f>_xlfn.IFNA(SQRT((VLOOKUP(S$1,DATA!$A$3:$F$301,2,FALSE)-VLOOKUP($A98,DATA!$A$3:$F$301,2,FALSE))^2+(VLOOKUP(S$1,DATA!$A$3:$F$301,3,FALSE)-VLOOKUP($A98,DATA!$A$3:$F$301,3,FALSE))^2),"")</f>
        <v/>
      </c>
      <c r="T98" s="14" t="str">
        <f>_xlfn.IFNA(SQRT((VLOOKUP(T$1,DATA!$A$3:$F$301,2,FALSE)-VLOOKUP($A98,DATA!$A$3:$F$301,2,FALSE))^2+(VLOOKUP(T$1,DATA!$A$3:$F$301,3,FALSE)-VLOOKUP($A98,DATA!$A$3:$F$301,3,FALSE))^2),"")</f>
        <v/>
      </c>
      <c r="U98" s="14" t="str">
        <f>_xlfn.IFNA(SQRT((VLOOKUP(U$1,DATA!$A$3:$F$301,2,FALSE)-VLOOKUP($A98,DATA!$A$3:$F$301,2,FALSE))^2+(VLOOKUP(U$1,DATA!$A$3:$F$301,3,FALSE)-VLOOKUP($A98,DATA!$A$3:$F$301,3,FALSE))^2),"")</f>
        <v/>
      </c>
      <c r="V98" s="14" t="str">
        <f>_xlfn.IFNA(SQRT((VLOOKUP(V$1,DATA!$A$3:$F$301,2,FALSE)-VLOOKUP($A98,DATA!$A$3:$F$301,2,FALSE))^2+(VLOOKUP(V$1,DATA!$A$3:$F$301,3,FALSE)-VLOOKUP($A98,DATA!$A$3:$F$301,3,FALSE))^2),"")</f>
        <v/>
      </c>
      <c r="W98" s="14" t="str">
        <f>_xlfn.IFNA(SQRT((VLOOKUP(W$1,DATA!$A$3:$F$301,2,FALSE)-VLOOKUP($A98,DATA!$A$3:$F$301,2,FALSE))^2+(VLOOKUP(W$1,DATA!$A$3:$F$301,3,FALSE)-VLOOKUP($A98,DATA!$A$3:$F$301,3,FALSE))^2),"")</f>
        <v/>
      </c>
      <c r="X98" s="14" t="str">
        <f>_xlfn.IFNA(SQRT((VLOOKUP(X$1,DATA!$A$3:$F$301,2,FALSE)-VLOOKUP($A98,DATA!$A$3:$F$301,2,FALSE))^2+(VLOOKUP(X$1,DATA!$A$3:$F$301,3,FALSE)-VLOOKUP($A98,DATA!$A$3:$F$301,3,FALSE))^2),"")</f>
        <v/>
      </c>
      <c r="Y98" s="14" t="str">
        <f>_xlfn.IFNA(SQRT((VLOOKUP(Y$1,DATA!$A$3:$F$301,2,FALSE)-VLOOKUP($A98,DATA!$A$3:$F$301,2,FALSE))^2+(VLOOKUP(Y$1,DATA!$A$3:$F$301,3,FALSE)-VLOOKUP($A98,DATA!$A$3:$F$301,3,FALSE))^2),"")</f>
        <v/>
      </c>
      <c r="Z98" s="14" t="str">
        <f>_xlfn.IFNA(SQRT((VLOOKUP(Z$1,DATA!$A$3:$F$301,2,FALSE)-VLOOKUP($A98,DATA!$A$3:$F$301,2,FALSE))^2+(VLOOKUP(Z$1,DATA!$A$3:$F$301,3,FALSE)-VLOOKUP($A98,DATA!$A$3:$F$301,3,FALSE))^2),"")</f>
        <v/>
      </c>
      <c r="AA98" s="14" t="str">
        <f>_xlfn.IFNA(SQRT((VLOOKUP(AA$1,DATA!$A$3:$F$301,2,FALSE)-VLOOKUP($A98,DATA!$A$3:$F$301,2,FALSE))^2+(VLOOKUP(AA$1,DATA!$A$3:$F$301,3,FALSE)-VLOOKUP($A98,DATA!$A$3:$F$301,3,FALSE))^2),"")</f>
        <v/>
      </c>
      <c r="AB98" s="14" t="str">
        <f>_xlfn.IFNA(SQRT((VLOOKUP(AB$1,DATA!$A$3:$F$301,2,FALSE)-VLOOKUP($A98,DATA!$A$3:$F$301,2,FALSE))^2+(VLOOKUP(AB$1,DATA!$A$3:$F$301,3,FALSE)-VLOOKUP($A98,DATA!$A$3:$F$301,3,FALSE))^2),"")</f>
        <v/>
      </c>
      <c r="AC98" s="14" t="str">
        <f>_xlfn.IFNA(SQRT((VLOOKUP(AC$1,DATA!$A$3:$F$301,2,FALSE)-VLOOKUP($A98,DATA!$A$3:$F$301,2,FALSE))^2+(VLOOKUP(AC$1,DATA!$A$3:$F$301,3,FALSE)-VLOOKUP($A98,DATA!$A$3:$F$301,3,FALSE))^2),"")</f>
        <v/>
      </c>
      <c r="AD98" s="14" t="str">
        <f>_xlfn.IFNA(SQRT((VLOOKUP(AD$1,DATA!$A$3:$F$301,2,FALSE)-VLOOKUP($A98,DATA!$A$3:$F$301,2,FALSE))^2+(VLOOKUP(AD$1,DATA!$A$3:$F$301,3,FALSE)-VLOOKUP($A98,DATA!$A$3:$F$301,3,FALSE))^2),"")</f>
        <v/>
      </c>
      <c r="AE98" s="14" t="str">
        <f>_xlfn.IFNA(SQRT((VLOOKUP(AE$1,DATA!$A$3:$F$301,2,FALSE)-VLOOKUP($A98,DATA!$A$3:$F$301,2,FALSE))^2+(VLOOKUP(AE$1,DATA!$A$3:$F$301,3,FALSE)-VLOOKUP($A98,DATA!$A$3:$F$301,3,FALSE))^2),"")</f>
        <v/>
      </c>
      <c r="AF98" s="14" t="str">
        <f>_xlfn.IFNA(SQRT((VLOOKUP(AF$1,DATA!$A$3:$F$301,2,FALSE)-VLOOKUP($A98,DATA!$A$3:$F$301,2,FALSE))^2+(VLOOKUP(AF$1,DATA!$A$3:$F$301,3,FALSE)-VLOOKUP($A98,DATA!$A$3:$F$301,3,FALSE))^2),"")</f>
        <v/>
      </c>
      <c r="AG98" s="14" t="str">
        <f>_xlfn.IFNA(SQRT((VLOOKUP(AG$1,DATA!$A$3:$F$301,2,FALSE)-VLOOKUP($A98,DATA!$A$3:$F$301,2,FALSE))^2+(VLOOKUP(AG$1,DATA!$A$3:$F$301,3,FALSE)-VLOOKUP($A98,DATA!$A$3:$F$301,3,FALSE))^2),"")</f>
        <v/>
      </c>
      <c r="AH98" s="14" t="str">
        <f>_xlfn.IFNA(SQRT((VLOOKUP(AH$1,DATA!$A$3:$F$301,2,FALSE)-VLOOKUP($A98,DATA!$A$3:$F$301,2,FALSE))^2+(VLOOKUP(AH$1,DATA!$A$3:$F$301,3,FALSE)-VLOOKUP($A98,DATA!$A$3:$F$301,3,FALSE))^2),"")</f>
        <v/>
      </c>
      <c r="AI98" s="14" t="str">
        <f>_xlfn.IFNA(SQRT((VLOOKUP(AI$1,DATA!$A$3:$F$301,2,FALSE)-VLOOKUP($A98,DATA!$A$3:$F$301,2,FALSE))^2+(VLOOKUP(AI$1,DATA!$A$3:$F$301,3,FALSE)-VLOOKUP($A98,DATA!$A$3:$F$301,3,FALSE))^2),"")</f>
        <v/>
      </c>
      <c r="AJ98" s="14" t="str">
        <f>_xlfn.IFNA(SQRT((VLOOKUP(AJ$1,DATA!$A$3:$F$301,2,FALSE)-VLOOKUP($A98,DATA!$A$3:$F$301,2,FALSE))^2+(VLOOKUP(AJ$1,DATA!$A$3:$F$301,3,FALSE)-VLOOKUP($A98,DATA!$A$3:$F$301,3,FALSE))^2),"")</f>
        <v/>
      </c>
      <c r="AK98" s="14" t="str">
        <f>_xlfn.IFNA(SQRT((VLOOKUP(AK$1,DATA!$A$3:$F$301,2,FALSE)-VLOOKUP($A98,DATA!$A$3:$F$301,2,FALSE))^2+(VLOOKUP(AK$1,DATA!$A$3:$F$301,3,FALSE)-VLOOKUP($A98,DATA!$A$3:$F$301,3,FALSE))^2),"")</f>
        <v/>
      </c>
      <c r="AL98" s="14" t="str">
        <f>_xlfn.IFNA(SQRT((VLOOKUP(AL$1,DATA!$A$3:$F$301,2,FALSE)-VLOOKUP($A98,DATA!$A$3:$F$301,2,FALSE))^2+(VLOOKUP(AL$1,DATA!$A$3:$F$301,3,FALSE)-VLOOKUP($A98,DATA!$A$3:$F$301,3,FALSE))^2),"")</f>
        <v/>
      </c>
      <c r="AM98" s="14" t="str">
        <f>_xlfn.IFNA(SQRT((VLOOKUP(AM$1,DATA!$A$3:$F$301,2,FALSE)-VLOOKUP($A98,DATA!$A$3:$F$301,2,FALSE))^2+(VLOOKUP(AM$1,DATA!$A$3:$F$301,3,FALSE)-VLOOKUP($A98,DATA!$A$3:$F$301,3,FALSE))^2),"")</f>
        <v/>
      </c>
      <c r="AN98" s="14" t="str">
        <f>_xlfn.IFNA(SQRT((VLOOKUP(AN$1,DATA!$A$3:$F$301,2,FALSE)-VLOOKUP($A98,DATA!$A$3:$F$301,2,FALSE))^2+(VLOOKUP(AN$1,DATA!$A$3:$F$301,3,FALSE)-VLOOKUP($A98,DATA!$A$3:$F$301,3,FALSE))^2),"")</f>
        <v/>
      </c>
      <c r="AO98" s="14" t="str">
        <f>_xlfn.IFNA(SQRT((VLOOKUP(AO$1,DATA!$A$3:$F$301,2,FALSE)-VLOOKUP($A98,DATA!$A$3:$F$301,2,FALSE))^2+(VLOOKUP(AO$1,DATA!$A$3:$F$301,3,FALSE)-VLOOKUP($A98,DATA!$A$3:$F$301,3,FALSE))^2),"")</f>
        <v/>
      </c>
      <c r="AP98" s="14" t="str">
        <f>_xlfn.IFNA(SQRT((VLOOKUP(AP$1,DATA!$A$3:$F$301,2,FALSE)-VLOOKUP($A98,DATA!$A$3:$F$301,2,FALSE))^2+(VLOOKUP(AP$1,DATA!$A$3:$F$301,3,FALSE)-VLOOKUP($A98,DATA!$A$3:$F$301,3,FALSE))^2),"")</f>
        <v/>
      </c>
      <c r="AQ98" s="14" t="str">
        <f>_xlfn.IFNA(SQRT((VLOOKUP(AQ$1,DATA!$A$3:$F$301,2,FALSE)-VLOOKUP($A98,DATA!$A$3:$F$301,2,FALSE))^2+(VLOOKUP(AQ$1,DATA!$A$3:$F$301,3,FALSE)-VLOOKUP($A98,DATA!$A$3:$F$301,3,FALSE))^2),"")</f>
        <v/>
      </c>
      <c r="AR98" s="14" t="str">
        <f>_xlfn.IFNA(SQRT((VLOOKUP(AR$1,DATA!$A$3:$F$301,2,FALSE)-VLOOKUP($A98,DATA!$A$3:$F$301,2,FALSE))^2+(VLOOKUP(AR$1,DATA!$A$3:$F$301,3,FALSE)-VLOOKUP($A98,DATA!$A$3:$F$301,3,FALSE))^2),"")</f>
        <v/>
      </c>
      <c r="AS98" s="14" t="str">
        <f>_xlfn.IFNA(SQRT((VLOOKUP(AS$1,DATA!$A$3:$F$301,2,FALSE)-VLOOKUP($A98,DATA!$A$3:$F$301,2,FALSE))^2+(VLOOKUP(AS$1,DATA!$A$3:$F$301,3,FALSE)-VLOOKUP($A98,DATA!$A$3:$F$301,3,FALSE))^2),"")</f>
        <v/>
      </c>
      <c r="AT98" s="14" t="str">
        <f>_xlfn.IFNA(SQRT((VLOOKUP(AT$1,DATA!$A$3:$F$301,2,FALSE)-VLOOKUP($A98,DATA!$A$3:$F$301,2,FALSE))^2+(VLOOKUP(AT$1,DATA!$A$3:$F$301,3,FALSE)-VLOOKUP($A98,DATA!$A$3:$F$301,3,FALSE))^2),"")</f>
        <v/>
      </c>
      <c r="AU98" s="14" t="str">
        <f>_xlfn.IFNA(SQRT((VLOOKUP(AU$1,DATA!$A$3:$F$301,2,FALSE)-VLOOKUP($A98,DATA!$A$3:$F$301,2,FALSE))^2+(VLOOKUP(AU$1,DATA!$A$3:$F$301,3,FALSE)-VLOOKUP($A98,DATA!$A$3:$F$301,3,FALSE))^2),"")</f>
        <v/>
      </c>
      <c r="AV98" s="14" t="str">
        <f>_xlfn.IFNA(SQRT((VLOOKUP(AV$1,DATA!$A$3:$F$301,2,FALSE)-VLOOKUP($A98,DATA!$A$3:$F$301,2,FALSE))^2+(VLOOKUP(AV$1,DATA!$A$3:$F$301,3,FALSE)-VLOOKUP($A98,DATA!$A$3:$F$301,3,FALSE))^2),"")</f>
        <v/>
      </c>
      <c r="AW98" s="14" t="str">
        <f>_xlfn.IFNA(SQRT((VLOOKUP(AW$1,DATA!$A$3:$F$301,2,FALSE)-VLOOKUP($A98,DATA!$A$3:$F$301,2,FALSE))^2+(VLOOKUP(AW$1,DATA!$A$3:$F$301,3,FALSE)-VLOOKUP($A98,DATA!$A$3:$F$301,3,FALSE))^2),"")</f>
        <v/>
      </c>
      <c r="AX98" s="14" t="str">
        <f>_xlfn.IFNA(SQRT((VLOOKUP(AX$1,DATA!$A$3:$F$301,2,FALSE)-VLOOKUP($A98,DATA!$A$3:$F$301,2,FALSE))^2+(VLOOKUP(AX$1,DATA!$A$3:$F$301,3,FALSE)-VLOOKUP($A98,DATA!$A$3:$F$301,3,FALSE))^2),"")</f>
        <v/>
      </c>
      <c r="AY98" s="14" t="str">
        <f>_xlfn.IFNA(SQRT((VLOOKUP(AY$1,DATA!$A$3:$F$301,2,FALSE)-VLOOKUP($A98,DATA!$A$3:$F$301,2,FALSE))^2+(VLOOKUP(AY$1,DATA!$A$3:$F$301,3,FALSE)-VLOOKUP($A98,DATA!$A$3:$F$301,3,FALSE))^2),"")</f>
        <v/>
      </c>
      <c r="AZ98" s="14" t="str">
        <f>_xlfn.IFNA(SQRT((VLOOKUP(AZ$1,DATA!$A$3:$F$301,2,FALSE)-VLOOKUP($A98,DATA!$A$3:$F$301,2,FALSE))^2+(VLOOKUP(AZ$1,DATA!$A$3:$F$301,3,FALSE)-VLOOKUP($A98,DATA!$A$3:$F$301,3,FALSE))^2),"")</f>
        <v/>
      </c>
      <c r="BA98" s="14" t="str">
        <f>_xlfn.IFNA(SQRT((VLOOKUP(BA$1,DATA!$A$3:$F$301,2,FALSE)-VLOOKUP($A98,DATA!$A$3:$F$301,2,FALSE))^2+(VLOOKUP(BA$1,DATA!$A$3:$F$301,3,FALSE)-VLOOKUP($A98,DATA!$A$3:$F$301,3,FALSE))^2),"")</f>
        <v/>
      </c>
      <c r="BB98" s="14" t="str">
        <f>_xlfn.IFNA(SQRT((VLOOKUP(BB$1,DATA!$A$3:$F$301,2,FALSE)-VLOOKUP($A98,DATA!$A$3:$F$301,2,FALSE))^2+(VLOOKUP(BB$1,DATA!$A$3:$F$301,3,FALSE)-VLOOKUP($A98,DATA!$A$3:$F$301,3,FALSE))^2),"")</f>
        <v/>
      </c>
      <c r="BC98" s="14" t="str">
        <f>_xlfn.IFNA(SQRT((VLOOKUP(BC$1,DATA!$A$3:$F$301,2,FALSE)-VLOOKUP($A98,DATA!$A$3:$F$301,2,FALSE))^2+(VLOOKUP(BC$1,DATA!$A$3:$F$301,3,FALSE)-VLOOKUP($A98,DATA!$A$3:$F$301,3,FALSE))^2),"")</f>
        <v/>
      </c>
      <c r="BD98" s="14" t="str">
        <f>_xlfn.IFNA(SQRT((VLOOKUP(BD$1,DATA!$A$3:$F$301,2,FALSE)-VLOOKUP($A98,DATA!$A$3:$F$301,2,FALSE))^2+(VLOOKUP(BD$1,DATA!$A$3:$F$301,3,FALSE)-VLOOKUP($A98,DATA!$A$3:$F$301,3,FALSE))^2),"")</f>
        <v/>
      </c>
      <c r="BE98" s="14" t="str">
        <f>_xlfn.IFNA(SQRT((VLOOKUP(BE$1,DATA!$A$3:$F$301,2,FALSE)-VLOOKUP($A98,DATA!$A$3:$F$301,2,FALSE))^2+(VLOOKUP(BE$1,DATA!$A$3:$F$301,3,FALSE)-VLOOKUP($A98,DATA!$A$3:$F$301,3,FALSE))^2),"")</f>
        <v/>
      </c>
      <c r="BF98" s="14" t="str">
        <f>_xlfn.IFNA(SQRT((VLOOKUP(BF$1,DATA!$A$3:$F$301,2,FALSE)-VLOOKUP($A98,DATA!$A$3:$F$301,2,FALSE))^2+(VLOOKUP(BF$1,DATA!$A$3:$F$301,3,FALSE)-VLOOKUP($A98,DATA!$A$3:$F$301,3,FALSE))^2),"")</f>
        <v/>
      </c>
      <c r="BG98" s="14" t="str">
        <f>_xlfn.IFNA(SQRT((VLOOKUP(BG$1,DATA!$A$3:$F$301,2,FALSE)-VLOOKUP($A98,DATA!$A$3:$F$301,2,FALSE))^2+(VLOOKUP(BG$1,DATA!$A$3:$F$301,3,FALSE)-VLOOKUP($A98,DATA!$A$3:$F$301,3,FALSE))^2),"")</f>
        <v/>
      </c>
      <c r="BH98" s="14" t="str">
        <f>_xlfn.IFNA(SQRT((VLOOKUP(BH$1,DATA!$A$3:$F$301,2,FALSE)-VLOOKUP($A98,DATA!$A$3:$F$301,2,FALSE))^2+(VLOOKUP(BH$1,DATA!$A$3:$F$301,3,FALSE)-VLOOKUP($A98,DATA!$A$3:$F$301,3,FALSE))^2),"")</f>
        <v/>
      </c>
      <c r="BI98" s="14" t="str">
        <f>_xlfn.IFNA(SQRT((VLOOKUP(BI$1,DATA!$A$3:$F$301,2,FALSE)-VLOOKUP($A98,DATA!$A$3:$F$301,2,FALSE))^2+(VLOOKUP(BI$1,DATA!$A$3:$F$301,3,FALSE)-VLOOKUP($A98,DATA!$A$3:$F$301,3,FALSE))^2),"")</f>
        <v/>
      </c>
      <c r="BJ98" s="14" t="str">
        <f>_xlfn.IFNA(SQRT((VLOOKUP(BJ$1,DATA!$A$3:$F$301,2,FALSE)-VLOOKUP($A98,DATA!$A$3:$F$301,2,FALSE))^2+(VLOOKUP(BJ$1,DATA!$A$3:$F$301,3,FALSE)-VLOOKUP($A98,DATA!$A$3:$F$301,3,FALSE))^2),"")</f>
        <v/>
      </c>
      <c r="BK98" s="14" t="str">
        <f>_xlfn.IFNA(SQRT((VLOOKUP(BK$1,DATA!$A$3:$F$301,2,FALSE)-VLOOKUP($A98,DATA!$A$3:$F$301,2,FALSE))^2+(VLOOKUP(BK$1,DATA!$A$3:$F$301,3,FALSE)-VLOOKUP($A98,DATA!$A$3:$F$301,3,FALSE))^2),"")</f>
        <v/>
      </c>
      <c r="BL98" s="14" t="str">
        <f>_xlfn.IFNA(SQRT((VLOOKUP(BL$1,DATA!$A$3:$F$301,2,FALSE)-VLOOKUP($A98,DATA!$A$3:$F$301,2,FALSE))^2+(VLOOKUP(BL$1,DATA!$A$3:$F$301,3,FALSE)-VLOOKUP($A98,DATA!$A$3:$F$301,3,FALSE))^2),"")</f>
        <v/>
      </c>
      <c r="BM98" s="14" t="str">
        <f>_xlfn.IFNA(SQRT((VLOOKUP(BM$1,DATA!$A$3:$F$301,2,FALSE)-VLOOKUP($A98,DATA!$A$3:$F$301,2,FALSE))^2+(VLOOKUP(BM$1,DATA!$A$3:$F$301,3,FALSE)-VLOOKUP($A98,DATA!$A$3:$F$301,3,FALSE))^2),"")</f>
        <v/>
      </c>
      <c r="BN98" s="14" t="str">
        <f>_xlfn.IFNA(SQRT((VLOOKUP(BN$1,DATA!$A$3:$F$301,2,FALSE)-VLOOKUP($A98,DATA!$A$3:$F$301,2,FALSE))^2+(VLOOKUP(BN$1,DATA!$A$3:$F$301,3,FALSE)-VLOOKUP($A98,DATA!$A$3:$F$301,3,FALSE))^2),"")</f>
        <v/>
      </c>
      <c r="BO98" s="14" t="str">
        <f>_xlfn.IFNA(SQRT((VLOOKUP(BO$1,DATA!$A$3:$F$301,2,FALSE)-VLOOKUP($A98,DATA!$A$3:$F$301,2,FALSE))^2+(VLOOKUP(BO$1,DATA!$A$3:$F$301,3,FALSE)-VLOOKUP($A98,DATA!$A$3:$F$301,3,FALSE))^2),"")</f>
        <v/>
      </c>
      <c r="BP98" s="14" t="str">
        <f>_xlfn.IFNA(SQRT((VLOOKUP(BP$1,DATA!$A$3:$F$301,2,FALSE)-VLOOKUP($A98,DATA!$A$3:$F$301,2,FALSE))^2+(VLOOKUP(BP$1,DATA!$A$3:$F$301,3,FALSE)-VLOOKUP($A98,DATA!$A$3:$F$301,3,FALSE))^2),"")</f>
        <v/>
      </c>
      <c r="BQ98" s="14" t="str">
        <f>_xlfn.IFNA(SQRT((VLOOKUP(BQ$1,DATA!$A$3:$F$301,2,FALSE)-VLOOKUP($A98,DATA!$A$3:$F$301,2,FALSE))^2+(VLOOKUP(BQ$1,DATA!$A$3:$F$301,3,FALSE)-VLOOKUP($A98,DATA!$A$3:$F$301,3,FALSE))^2),"")</f>
        <v/>
      </c>
      <c r="BR98" s="14" t="str">
        <f>_xlfn.IFNA(SQRT((VLOOKUP(BR$1,DATA!$A$3:$F$301,2,FALSE)-VLOOKUP($A98,DATA!$A$3:$F$301,2,FALSE))^2+(VLOOKUP(BR$1,DATA!$A$3:$F$301,3,FALSE)-VLOOKUP($A98,DATA!$A$3:$F$301,3,FALSE))^2),"")</f>
        <v/>
      </c>
      <c r="BS98" s="14" t="str">
        <f>_xlfn.IFNA(SQRT((VLOOKUP(BS$1,DATA!$A$3:$F$301,2,FALSE)-VLOOKUP($A98,DATA!$A$3:$F$301,2,FALSE))^2+(VLOOKUP(BS$1,DATA!$A$3:$F$301,3,FALSE)-VLOOKUP($A98,DATA!$A$3:$F$301,3,FALSE))^2),"")</f>
        <v/>
      </c>
      <c r="BT98" s="14" t="str">
        <f>_xlfn.IFNA(SQRT((VLOOKUP(BT$1,DATA!$A$3:$F$301,2,FALSE)-VLOOKUP($A98,DATA!$A$3:$F$301,2,FALSE))^2+(VLOOKUP(BT$1,DATA!$A$3:$F$301,3,FALSE)-VLOOKUP($A98,DATA!$A$3:$F$301,3,FALSE))^2),"")</f>
        <v/>
      </c>
      <c r="BU98" s="14" t="str">
        <f>_xlfn.IFNA(SQRT((VLOOKUP(BU$1,DATA!$A$3:$F$301,2,FALSE)-VLOOKUP($A98,DATA!$A$3:$F$301,2,FALSE))^2+(VLOOKUP(BU$1,DATA!$A$3:$F$301,3,FALSE)-VLOOKUP($A98,DATA!$A$3:$F$301,3,FALSE))^2),"")</f>
        <v/>
      </c>
      <c r="BV98" s="14" t="str">
        <f>_xlfn.IFNA(SQRT((VLOOKUP(BV$1,DATA!$A$3:$F$301,2,FALSE)-VLOOKUP($A98,DATA!$A$3:$F$301,2,FALSE))^2+(VLOOKUP(BV$1,DATA!$A$3:$F$301,3,FALSE)-VLOOKUP($A98,DATA!$A$3:$F$301,3,FALSE))^2),"")</f>
        <v/>
      </c>
      <c r="BW98" s="14" t="str">
        <f>_xlfn.IFNA(SQRT((VLOOKUP(BW$1,DATA!$A$3:$F$301,2,FALSE)-VLOOKUP($A98,DATA!$A$3:$F$301,2,FALSE))^2+(VLOOKUP(BW$1,DATA!$A$3:$F$301,3,FALSE)-VLOOKUP($A98,DATA!$A$3:$F$301,3,FALSE))^2),"")</f>
        <v/>
      </c>
      <c r="BX98" s="14" t="str">
        <f>_xlfn.IFNA(SQRT((VLOOKUP(BX$1,DATA!$A$3:$F$301,2,FALSE)-VLOOKUP($A98,DATA!$A$3:$F$301,2,FALSE))^2+(VLOOKUP(BX$1,DATA!$A$3:$F$301,3,FALSE)-VLOOKUP($A98,DATA!$A$3:$F$301,3,FALSE))^2),"")</f>
        <v/>
      </c>
      <c r="BY98" s="14" t="str">
        <f>_xlfn.IFNA(SQRT((VLOOKUP(BY$1,DATA!$A$3:$F$301,2,FALSE)-VLOOKUP($A98,DATA!$A$3:$F$301,2,FALSE))^2+(VLOOKUP(BY$1,DATA!$A$3:$F$301,3,FALSE)-VLOOKUP($A98,DATA!$A$3:$F$301,3,FALSE))^2),"")</f>
        <v/>
      </c>
      <c r="BZ98" s="14" t="str">
        <f>_xlfn.IFNA(SQRT((VLOOKUP(BZ$1,DATA!$A$3:$F$301,2,FALSE)-VLOOKUP($A98,DATA!$A$3:$F$301,2,FALSE))^2+(VLOOKUP(BZ$1,DATA!$A$3:$F$301,3,FALSE)-VLOOKUP($A98,DATA!$A$3:$F$301,3,FALSE))^2),"")</f>
        <v/>
      </c>
      <c r="CA98" s="14" t="str">
        <f>_xlfn.IFNA(SQRT((VLOOKUP(CA$1,DATA!$A$3:$F$301,2,FALSE)-VLOOKUP($A98,DATA!$A$3:$F$301,2,FALSE))^2+(VLOOKUP(CA$1,DATA!$A$3:$F$301,3,FALSE)-VLOOKUP($A98,DATA!$A$3:$F$301,3,FALSE))^2),"")</f>
        <v/>
      </c>
      <c r="CB98" s="14" t="str">
        <f>_xlfn.IFNA(SQRT((VLOOKUP(CB$1,DATA!$A$3:$F$301,2,FALSE)-VLOOKUP($A98,DATA!$A$3:$F$301,2,FALSE))^2+(VLOOKUP(CB$1,DATA!$A$3:$F$301,3,FALSE)-VLOOKUP($A98,DATA!$A$3:$F$301,3,FALSE))^2),"")</f>
        <v/>
      </c>
      <c r="CC98" s="14" t="str">
        <f>_xlfn.IFNA(SQRT((VLOOKUP(CC$1,DATA!$A$3:$F$301,2,FALSE)-VLOOKUP($A98,DATA!$A$3:$F$301,2,FALSE))^2+(VLOOKUP(CC$1,DATA!$A$3:$F$301,3,FALSE)-VLOOKUP($A98,DATA!$A$3:$F$301,3,FALSE))^2),"")</f>
        <v/>
      </c>
      <c r="CD98" s="14" t="str">
        <f>_xlfn.IFNA(SQRT((VLOOKUP(CD$1,DATA!$A$3:$F$301,2,FALSE)-VLOOKUP($A98,DATA!$A$3:$F$301,2,FALSE))^2+(VLOOKUP(CD$1,DATA!$A$3:$F$301,3,FALSE)-VLOOKUP($A98,DATA!$A$3:$F$301,3,FALSE))^2),"")</f>
        <v/>
      </c>
      <c r="CE98" s="14" t="str">
        <f>_xlfn.IFNA(SQRT((VLOOKUP(CE$1,DATA!$A$3:$F$301,2,FALSE)-VLOOKUP($A98,DATA!$A$3:$F$301,2,FALSE))^2+(VLOOKUP(CE$1,DATA!$A$3:$F$301,3,FALSE)-VLOOKUP($A98,DATA!$A$3:$F$301,3,FALSE))^2),"")</f>
        <v/>
      </c>
      <c r="CF98" s="14" t="str">
        <f>_xlfn.IFNA(SQRT((VLOOKUP(CF$1,DATA!$A$3:$F$301,2,FALSE)-VLOOKUP($A98,DATA!$A$3:$F$301,2,FALSE))^2+(VLOOKUP(CF$1,DATA!$A$3:$F$301,3,FALSE)-VLOOKUP($A98,DATA!$A$3:$F$301,3,FALSE))^2),"")</f>
        <v/>
      </c>
      <c r="CG98" s="14" t="str">
        <f>_xlfn.IFNA(SQRT((VLOOKUP(CG$1,DATA!$A$3:$F$301,2,FALSE)-VLOOKUP($A98,DATA!$A$3:$F$301,2,FALSE))^2+(VLOOKUP(CG$1,DATA!$A$3:$F$301,3,FALSE)-VLOOKUP($A98,DATA!$A$3:$F$301,3,FALSE))^2),"")</f>
        <v/>
      </c>
      <c r="CH98" s="14" t="str">
        <f>_xlfn.IFNA(SQRT((VLOOKUP(CH$1,DATA!$A$3:$F$301,2,FALSE)-VLOOKUP($A98,DATA!$A$3:$F$301,2,FALSE))^2+(VLOOKUP(CH$1,DATA!$A$3:$F$301,3,FALSE)-VLOOKUP($A98,DATA!$A$3:$F$301,3,FALSE))^2),"")</f>
        <v/>
      </c>
      <c r="CI98" s="14" t="str">
        <f>_xlfn.IFNA(SQRT((VLOOKUP(CI$1,DATA!$A$3:$F$301,2,FALSE)-VLOOKUP($A98,DATA!$A$3:$F$301,2,FALSE))^2+(VLOOKUP(CI$1,DATA!$A$3:$F$301,3,FALSE)-VLOOKUP($A98,DATA!$A$3:$F$301,3,FALSE))^2),"")</f>
        <v/>
      </c>
      <c r="CJ98" s="14" t="str">
        <f>_xlfn.IFNA(SQRT((VLOOKUP(CJ$1,DATA!$A$3:$F$301,2,FALSE)-VLOOKUP($A98,DATA!$A$3:$F$301,2,FALSE))^2+(VLOOKUP(CJ$1,DATA!$A$3:$F$301,3,FALSE)-VLOOKUP($A98,DATA!$A$3:$F$301,3,FALSE))^2),"")</f>
        <v/>
      </c>
      <c r="CK98" s="14" t="str">
        <f>_xlfn.IFNA(SQRT((VLOOKUP(CK$1,DATA!$A$3:$F$301,2,FALSE)-VLOOKUP($A98,DATA!$A$3:$F$301,2,FALSE))^2+(VLOOKUP(CK$1,DATA!$A$3:$F$301,3,FALSE)-VLOOKUP($A98,DATA!$A$3:$F$301,3,FALSE))^2),"")</f>
        <v/>
      </c>
      <c r="CL98" s="14" t="str">
        <f>_xlfn.IFNA(SQRT((VLOOKUP(CL$1,DATA!$A$3:$F$301,2,FALSE)-VLOOKUP($A98,DATA!$A$3:$F$301,2,FALSE))^2+(VLOOKUP(CL$1,DATA!$A$3:$F$301,3,FALSE)-VLOOKUP($A98,DATA!$A$3:$F$301,3,FALSE))^2),"")</f>
        <v/>
      </c>
      <c r="CM98" s="14" t="str">
        <f>_xlfn.IFNA(SQRT((VLOOKUP(CM$1,DATA!$A$3:$F$301,2,FALSE)-VLOOKUP($A98,DATA!$A$3:$F$301,2,FALSE))^2+(VLOOKUP(CM$1,DATA!$A$3:$F$301,3,FALSE)-VLOOKUP($A98,DATA!$A$3:$F$301,3,FALSE))^2),"")</f>
        <v/>
      </c>
      <c r="CN98" s="14" t="str">
        <f>_xlfn.IFNA(SQRT((VLOOKUP(CN$1,DATA!$A$3:$F$301,2,FALSE)-VLOOKUP($A98,DATA!$A$3:$F$301,2,FALSE))^2+(VLOOKUP(CN$1,DATA!$A$3:$F$301,3,FALSE)-VLOOKUP($A98,DATA!$A$3:$F$301,3,FALSE))^2),"")</f>
        <v/>
      </c>
      <c r="CO98" s="14" t="str">
        <f>_xlfn.IFNA(SQRT((VLOOKUP(CO$1,DATA!$A$3:$F$301,2,FALSE)-VLOOKUP($A98,DATA!$A$3:$F$301,2,FALSE))^2+(VLOOKUP(CO$1,DATA!$A$3:$F$301,3,FALSE)-VLOOKUP($A98,DATA!$A$3:$F$301,3,FALSE))^2),"")</f>
        <v/>
      </c>
      <c r="CP98" s="14" t="str">
        <f>_xlfn.IFNA(SQRT((VLOOKUP(CP$1,DATA!$A$3:$F$301,2,FALSE)-VLOOKUP($A98,DATA!$A$3:$F$301,2,FALSE))^2+(VLOOKUP(CP$1,DATA!$A$3:$F$301,3,FALSE)-VLOOKUP($A98,DATA!$A$3:$F$301,3,FALSE))^2),"")</f>
        <v/>
      </c>
      <c r="CQ98" s="14" t="str">
        <f>_xlfn.IFNA(SQRT((VLOOKUP(CQ$1,DATA!$A$3:$F$301,2,FALSE)-VLOOKUP($A98,DATA!$A$3:$F$301,2,FALSE))^2+(VLOOKUP(CQ$1,DATA!$A$3:$F$301,3,FALSE)-VLOOKUP($A98,DATA!$A$3:$F$301,3,FALSE))^2),"")</f>
        <v/>
      </c>
      <c r="CR98" s="14" t="str">
        <f>_xlfn.IFNA(SQRT((VLOOKUP(CR$1,DATA!$A$3:$F$301,2,FALSE)-VLOOKUP($A98,DATA!$A$3:$F$301,2,FALSE))^2+(VLOOKUP(CR$1,DATA!$A$3:$F$301,3,FALSE)-VLOOKUP($A98,DATA!$A$3:$F$301,3,FALSE))^2),"")</f>
        <v/>
      </c>
      <c r="CS98" s="14" t="str">
        <f>_xlfn.IFNA(SQRT((VLOOKUP(CS$1,DATA!$A$3:$F$301,2,FALSE)-VLOOKUP($A98,DATA!$A$3:$F$301,2,FALSE))^2+(VLOOKUP(CS$1,DATA!$A$3:$F$301,3,FALSE)-VLOOKUP($A98,DATA!$A$3:$F$301,3,FALSE))^2),"")</f>
        <v/>
      </c>
      <c r="CT98" s="14" t="str">
        <f>_xlfn.IFNA(SQRT((VLOOKUP(CT$1,DATA!$A$3:$F$301,2,FALSE)-VLOOKUP($A98,DATA!$A$3:$F$301,2,FALSE))^2+(VLOOKUP(CT$1,DATA!$A$3:$F$301,3,FALSE)-VLOOKUP($A98,DATA!$A$3:$F$301,3,FALSE))^2),"")</f>
        <v/>
      </c>
      <c r="CU98" s="14" t="str">
        <f>_xlfn.IFNA(SQRT((VLOOKUP(CU$1,DATA!$A$3:$F$301,2,FALSE)-VLOOKUP($A98,DATA!$A$3:$F$301,2,FALSE))^2+(VLOOKUP(CU$1,DATA!$A$3:$F$301,3,FALSE)-VLOOKUP($A98,DATA!$A$3:$F$301,3,FALSE))^2),"")</f>
        <v/>
      </c>
      <c r="CV98" s="14" t="str">
        <f>_xlfn.IFNA(SQRT((VLOOKUP(CV$1,DATA!$A$3:$F$301,2,FALSE)-VLOOKUP($A98,DATA!$A$3:$F$301,2,FALSE))^2+(VLOOKUP(CV$1,DATA!$A$3:$F$301,3,FALSE)-VLOOKUP($A98,DATA!$A$3:$F$301,3,FALSE))^2),"")</f>
        <v/>
      </c>
      <c r="CW98" s="14" t="str">
        <f>_xlfn.IFNA(SQRT((VLOOKUP(CW$1,DATA!$A$3:$F$301,2,FALSE)-VLOOKUP($A98,DATA!$A$3:$F$301,2,FALSE))^2+(VLOOKUP(CW$1,DATA!$A$3:$F$301,3,FALSE)-VLOOKUP($A98,DATA!$A$3:$F$301,3,FALSE))^2),"")</f>
        <v/>
      </c>
      <c r="CX98" s="14" t="str">
        <f>_xlfn.IFNA(SQRT((VLOOKUP(CX$1,DATA!$A$3:$F$301,2,FALSE)-VLOOKUP($A98,DATA!$A$3:$F$301,2,FALSE))^2+(VLOOKUP(CX$1,DATA!$A$3:$F$301,3,FALSE)-VLOOKUP($A98,DATA!$A$3:$F$301,3,FALSE))^2),"")</f>
        <v/>
      </c>
    </row>
    <row r="99" spans="1:102">
      <c r="A99" s="13">
        <v>98</v>
      </c>
      <c r="B99" s="14" t="str">
        <f>_xlfn.IFNA(SQRT((VLOOKUP(B$1,DATA!$A$3:$F$301,2,FALSE)-VLOOKUP($A99,DATA!$A$3:$F$301,2,FALSE))^2+(VLOOKUP(B$1,DATA!$A$3:$F$301,3,FALSE)-VLOOKUP($A99,DATA!$A$3:$F$301,3,FALSE))^2),"")</f>
        <v/>
      </c>
      <c r="C99" s="14" t="str">
        <f>_xlfn.IFNA(SQRT((VLOOKUP(C$1,DATA!$A$3:$F$301,2,FALSE)-VLOOKUP($A99,DATA!$A$3:$F$301,2,FALSE))^2+(VLOOKUP(C$1,DATA!$A$3:$F$301,3,FALSE)-VLOOKUP($A99,DATA!$A$3:$F$301,3,FALSE))^2),"")</f>
        <v/>
      </c>
      <c r="D99" s="14" t="str">
        <f>_xlfn.IFNA(SQRT((VLOOKUP(D$1,DATA!$A$3:$F$301,2,FALSE)-VLOOKUP($A99,DATA!$A$3:$F$301,2,FALSE))^2+(VLOOKUP(D$1,DATA!$A$3:$F$301,3,FALSE)-VLOOKUP($A99,DATA!$A$3:$F$301,3,FALSE))^2),"")</f>
        <v/>
      </c>
      <c r="E99" s="14" t="str">
        <f>_xlfn.IFNA(SQRT((VLOOKUP(E$1,DATA!$A$3:$F$301,2,FALSE)-VLOOKUP($A99,DATA!$A$3:$F$301,2,FALSE))^2+(VLOOKUP(E$1,DATA!$A$3:$F$301,3,FALSE)-VLOOKUP($A99,DATA!$A$3:$F$301,3,FALSE))^2),"")</f>
        <v/>
      </c>
      <c r="F99" s="14" t="str">
        <f>_xlfn.IFNA(SQRT((VLOOKUP(F$1,DATA!$A$3:$F$301,2,FALSE)-VLOOKUP($A99,DATA!$A$3:$F$301,2,FALSE))^2+(VLOOKUP(F$1,DATA!$A$3:$F$301,3,FALSE)-VLOOKUP($A99,DATA!$A$3:$F$301,3,FALSE))^2),"")</f>
        <v/>
      </c>
      <c r="G99" s="14" t="str">
        <f>_xlfn.IFNA(SQRT((VLOOKUP(G$1,DATA!$A$3:$F$301,2,FALSE)-VLOOKUP($A99,DATA!$A$3:$F$301,2,FALSE))^2+(VLOOKUP(G$1,DATA!$A$3:$F$301,3,FALSE)-VLOOKUP($A99,DATA!$A$3:$F$301,3,FALSE))^2),"")</f>
        <v/>
      </c>
      <c r="H99" s="14" t="str">
        <f>_xlfn.IFNA(SQRT((VLOOKUP(H$1,DATA!$A$3:$F$301,2,FALSE)-VLOOKUP($A99,DATA!$A$3:$F$301,2,FALSE))^2+(VLOOKUP(H$1,DATA!$A$3:$F$301,3,FALSE)-VLOOKUP($A99,DATA!$A$3:$F$301,3,FALSE))^2),"")</f>
        <v/>
      </c>
      <c r="I99" s="14" t="str">
        <f>_xlfn.IFNA(SQRT((VLOOKUP(I$1,DATA!$A$3:$F$301,2,FALSE)-VLOOKUP($A99,DATA!$A$3:$F$301,2,FALSE))^2+(VLOOKUP(I$1,DATA!$A$3:$F$301,3,FALSE)-VLOOKUP($A99,DATA!$A$3:$F$301,3,FALSE))^2),"")</f>
        <v/>
      </c>
      <c r="J99" s="14" t="str">
        <f>_xlfn.IFNA(SQRT((VLOOKUP(J$1,DATA!$A$3:$F$301,2,FALSE)-VLOOKUP($A99,DATA!$A$3:$F$301,2,FALSE))^2+(VLOOKUP(J$1,DATA!$A$3:$F$301,3,FALSE)-VLOOKUP($A99,DATA!$A$3:$F$301,3,FALSE))^2),"")</f>
        <v/>
      </c>
      <c r="K99" s="14" t="str">
        <f>_xlfn.IFNA(SQRT((VLOOKUP(K$1,DATA!$A$3:$F$301,2,FALSE)-VLOOKUP($A99,DATA!$A$3:$F$301,2,FALSE))^2+(VLOOKUP(K$1,DATA!$A$3:$F$301,3,FALSE)-VLOOKUP($A99,DATA!$A$3:$F$301,3,FALSE))^2),"")</f>
        <v/>
      </c>
      <c r="L99" s="14" t="str">
        <f>_xlfn.IFNA(SQRT((VLOOKUP(L$1,DATA!$A$3:$F$301,2,FALSE)-VLOOKUP($A99,DATA!$A$3:$F$301,2,FALSE))^2+(VLOOKUP(L$1,DATA!$A$3:$F$301,3,FALSE)-VLOOKUP($A99,DATA!$A$3:$F$301,3,FALSE))^2),"")</f>
        <v/>
      </c>
      <c r="M99" s="14" t="str">
        <f>_xlfn.IFNA(SQRT((VLOOKUP(M$1,DATA!$A$3:$F$301,2,FALSE)-VLOOKUP($A99,DATA!$A$3:$F$301,2,FALSE))^2+(VLOOKUP(M$1,DATA!$A$3:$F$301,3,FALSE)-VLOOKUP($A99,DATA!$A$3:$F$301,3,FALSE))^2),"")</f>
        <v/>
      </c>
      <c r="N99" s="14" t="str">
        <f>_xlfn.IFNA(SQRT((VLOOKUP(N$1,DATA!$A$3:$F$301,2,FALSE)-VLOOKUP($A99,DATA!$A$3:$F$301,2,FALSE))^2+(VLOOKUP(N$1,DATA!$A$3:$F$301,3,FALSE)-VLOOKUP($A99,DATA!$A$3:$F$301,3,FALSE))^2),"")</f>
        <v/>
      </c>
      <c r="O99" s="14" t="str">
        <f>_xlfn.IFNA(SQRT((VLOOKUP(O$1,DATA!$A$3:$F$301,2,FALSE)-VLOOKUP($A99,DATA!$A$3:$F$301,2,FALSE))^2+(VLOOKUP(O$1,DATA!$A$3:$F$301,3,FALSE)-VLOOKUP($A99,DATA!$A$3:$F$301,3,FALSE))^2),"")</f>
        <v/>
      </c>
      <c r="P99" s="14" t="str">
        <f>_xlfn.IFNA(SQRT((VLOOKUP(P$1,DATA!$A$3:$F$301,2,FALSE)-VLOOKUP($A99,DATA!$A$3:$F$301,2,FALSE))^2+(VLOOKUP(P$1,DATA!$A$3:$F$301,3,FALSE)-VLOOKUP($A99,DATA!$A$3:$F$301,3,FALSE))^2),"")</f>
        <v/>
      </c>
      <c r="Q99" s="14" t="str">
        <f>_xlfn.IFNA(SQRT((VLOOKUP(Q$1,DATA!$A$3:$F$301,2,FALSE)-VLOOKUP($A99,DATA!$A$3:$F$301,2,FALSE))^2+(VLOOKUP(Q$1,DATA!$A$3:$F$301,3,FALSE)-VLOOKUP($A99,DATA!$A$3:$F$301,3,FALSE))^2),"")</f>
        <v/>
      </c>
      <c r="R99" s="14" t="str">
        <f>_xlfn.IFNA(SQRT((VLOOKUP(R$1,DATA!$A$3:$F$301,2,FALSE)-VLOOKUP($A99,DATA!$A$3:$F$301,2,FALSE))^2+(VLOOKUP(R$1,DATA!$A$3:$F$301,3,FALSE)-VLOOKUP($A99,DATA!$A$3:$F$301,3,FALSE))^2),"")</f>
        <v/>
      </c>
      <c r="S99" s="14" t="str">
        <f>_xlfn.IFNA(SQRT((VLOOKUP(S$1,DATA!$A$3:$F$301,2,FALSE)-VLOOKUP($A99,DATA!$A$3:$F$301,2,FALSE))^2+(VLOOKUP(S$1,DATA!$A$3:$F$301,3,FALSE)-VLOOKUP($A99,DATA!$A$3:$F$301,3,FALSE))^2),"")</f>
        <v/>
      </c>
      <c r="T99" s="14" t="str">
        <f>_xlfn.IFNA(SQRT((VLOOKUP(T$1,DATA!$A$3:$F$301,2,FALSE)-VLOOKUP($A99,DATA!$A$3:$F$301,2,FALSE))^2+(VLOOKUP(T$1,DATA!$A$3:$F$301,3,FALSE)-VLOOKUP($A99,DATA!$A$3:$F$301,3,FALSE))^2),"")</f>
        <v/>
      </c>
      <c r="U99" s="14" t="str">
        <f>_xlfn.IFNA(SQRT((VLOOKUP(U$1,DATA!$A$3:$F$301,2,FALSE)-VLOOKUP($A99,DATA!$A$3:$F$301,2,FALSE))^2+(VLOOKUP(U$1,DATA!$A$3:$F$301,3,FALSE)-VLOOKUP($A99,DATA!$A$3:$F$301,3,FALSE))^2),"")</f>
        <v/>
      </c>
      <c r="V99" s="14" t="str">
        <f>_xlfn.IFNA(SQRT((VLOOKUP(V$1,DATA!$A$3:$F$301,2,FALSE)-VLOOKUP($A99,DATA!$A$3:$F$301,2,FALSE))^2+(VLOOKUP(V$1,DATA!$A$3:$F$301,3,FALSE)-VLOOKUP($A99,DATA!$A$3:$F$301,3,FALSE))^2),"")</f>
        <v/>
      </c>
      <c r="W99" s="14" t="str">
        <f>_xlfn.IFNA(SQRT((VLOOKUP(W$1,DATA!$A$3:$F$301,2,FALSE)-VLOOKUP($A99,DATA!$A$3:$F$301,2,FALSE))^2+(VLOOKUP(W$1,DATA!$A$3:$F$301,3,FALSE)-VLOOKUP($A99,DATA!$A$3:$F$301,3,FALSE))^2),"")</f>
        <v/>
      </c>
      <c r="X99" s="14" t="str">
        <f>_xlfn.IFNA(SQRT((VLOOKUP(X$1,DATA!$A$3:$F$301,2,FALSE)-VLOOKUP($A99,DATA!$A$3:$F$301,2,FALSE))^2+(VLOOKUP(X$1,DATA!$A$3:$F$301,3,FALSE)-VLOOKUP($A99,DATA!$A$3:$F$301,3,FALSE))^2),"")</f>
        <v/>
      </c>
      <c r="Y99" s="14" t="str">
        <f>_xlfn.IFNA(SQRT((VLOOKUP(Y$1,DATA!$A$3:$F$301,2,FALSE)-VLOOKUP($A99,DATA!$A$3:$F$301,2,FALSE))^2+(VLOOKUP(Y$1,DATA!$A$3:$F$301,3,FALSE)-VLOOKUP($A99,DATA!$A$3:$F$301,3,FALSE))^2),"")</f>
        <v/>
      </c>
      <c r="Z99" s="14" t="str">
        <f>_xlfn.IFNA(SQRT((VLOOKUP(Z$1,DATA!$A$3:$F$301,2,FALSE)-VLOOKUP($A99,DATA!$A$3:$F$301,2,FALSE))^2+(VLOOKUP(Z$1,DATA!$A$3:$F$301,3,FALSE)-VLOOKUP($A99,DATA!$A$3:$F$301,3,FALSE))^2),"")</f>
        <v/>
      </c>
      <c r="AA99" s="14" t="str">
        <f>_xlfn.IFNA(SQRT((VLOOKUP(AA$1,DATA!$A$3:$F$301,2,FALSE)-VLOOKUP($A99,DATA!$A$3:$F$301,2,FALSE))^2+(VLOOKUP(AA$1,DATA!$A$3:$F$301,3,FALSE)-VLOOKUP($A99,DATA!$A$3:$F$301,3,FALSE))^2),"")</f>
        <v/>
      </c>
      <c r="AB99" s="14" t="str">
        <f>_xlfn.IFNA(SQRT((VLOOKUP(AB$1,DATA!$A$3:$F$301,2,FALSE)-VLOOKUP($A99,DATA!$A$3:$F$301,2,FALSE))^2+(VLOOKUP(AB$1,DATA!$A$3:$F$301,3,FALSE)-VLOOKUP($A99,DATA!$A$3:$F$301,3,FALSE))^2),"")</f>
        <v/>
      </c>
      <c r="AC99" s="14" t="str">
        <f>_xlfn.IFNA(SQRT((VLOOKUP(AC$1,DATA!$A$3:$F$301,2,FALSE)-VLOOKUP($A99,DATA!$A$3:$F$301,2,FALSE))^2+(VLOOKUP(AC$1,DATA!$A$3:$F$301,3,FALSE)-VLOOKUP($A99,DATA!$A$3:$F$301,3,FALSE))^2),"")</f>
        <v/>
      </c>
      <c r="AD99" s="14" t="str">
        <f>_xlfn.IFNA(SQRT((VLOOKUP(AD$1,DATA!$A$3:$F$301,2,FALSE)-VLOOKUP($A99,DATA!$A$3:$F$301,2,FALSE))^2+(VLOOKUP(AD$1,DATA!$A$3:$F$301,3,FALSE)-VLOOKUP($A99,DATA!$A$3:$F$301,3,FALSE))^2),"")</f>
        <v/>
      </c>
      <c r="AE99" s="14" t="str">
        <f>_xlfn.IFNA(SQRT((VLOOKUP(AE$1,DATA!$A$3:$F$301,2,FALSE)-VLOOKUP($A99,DATA!$A$3:$F$301,2,FALSE))^2+(VLOOKUP(AE$1,DATA!$A$3:$F$301,3,FALSE)-VLOOKUP($A99,DATA!$A$3:$F$301,3,FALSE))^2),"")</f>
        <v/>
      </c>
      <c r="AF99" s="14" t="str">
        <f>_xlfn.IFNA(SQRT((VLOOKUP(AF$1,DATA!$A$3:$F$301,2,FALSE)-VLOOKUP($A99,DATA!$A$3:$F$301,2,FALSE))^2+(VLOOKUP(AF$1,DATA!$A$3:$F$301,3,FALSE)-VLOOKUP($A99,DATA!$A$3:$F$301,3,FALSE))^2),"")</f>
        <v/>
      </c>
      <c r="AG99" s="14" t="str">
        <f>_xlfn.IFNA(SQRT((VLOOKUP(AG$1,DATA!$A$3:$F$301,2,FALSE)-VLOOKUP($A99,DATA!$A$3:$F$301,2,FALSE))^2+(VLOOKUP(AG$1,DATA!$A$3:$F$301,3,FALSE)-VLOOKUP($A99,DATA!$A$3:$F$301,3,FALSE))^2),"")</f>
        <v/>
      </c>
      <c r="AH99" s="14" t="str">
        <f>_xlfn.IFNA(SQRT((VLOOKUP(AH$1,DATA!$A$3:$F$301,2,FALSE)-VLOOKUP($A99,DATA!$A$3:$F$301,2,FALSE))^2+(VLOOKUP(AH$1,DATA!$A$3:$F$301,3,FALSE)-VLOOKUP($A99,DATA!$A$3:$F$301,3,FALSE))^2),"")</f>
        <v/>
      </c>
      <c r="AI99" s="14" t="str">
        <f>_xlfn.IFNA(SQRT((VLOOKUP(AI$1,DATA!$A$3:$F$301,2,FALSE)-VLOOKUP($A99,DATA!$A$3:$F$301,2,FALSE))^2+(VLOOKUP(AI$1,DATA!$A$3:$F$301,3,FALSE)-VLOOKUP($A99,DATA!$A$3:$F$301,3,FALSE))^2),"")</f>
        <v/>
      </c>
      <c r="AJ99" s="14" t="str">
        <f>_xlfn.IFNA(SQRT((VLOOKUP(AJ$1,DATA!$A$3:$F$301,2,FALSE)-VLOOKUP($A99,DATA!$A$3:$F$301,2,FALSE))^2+(VLOOKUP(AJ$1,DATA!$A$3:$F$301,3,FALSE)-VLOOKUP($A99,DATA!$A$3:$F$301,3,FALSE))^2),"")</f>
        <v/>
      </c>
      <c r="AK99" s="14" t="str">
        <f>_xlfn.IFNA(SQRT((VLOOKUP(AK$1,DATA!$A$3:$F$301,2,FALSE)-VLOOKUP($A99,DATA!$A$3:$F$301,2,FALSE))^2+(VLOOKUP(AK$1,DATA!$A$3:$F$301,3,FALSE)-VLOOKUP($A99,DATA!$A$3:$F$301,3,FALSE))^2),"")</f>
        <v/>
      </c>
      <c r="AL99" s="14" t="str">
        <f>_xlfn.IFNA(SQRT((VLOOKUP(AL$1,DATA!$A$3:$F$301,2,FALSE)-VLOOKUP($A99,DATA!$A$3:$F$301,2,FALSE))^2+(VLOOKUP(AL$1,DATA!$A$3:$F$301,3,FALSE)-VLOOKUP($A99,DATA!$A$3:$F$301,3,FALSE))^2),"")</f>
        <v/>
      </c>
      <c r="AM99" s="14" t="str">
        <f>_xlfn.IFNA(SQRT((VLOOKUP(AM$1,DATA!$A$3:$F$301,2,FALSE)-VLOOKUP($A99,DATA!$A$3:$F$301,2,FALSE))^2+(VLOOKUP(AM$1,DATA!$A$3:$F$301,3,FALSE)-VLOOKUP($A99,DATA!$A$3:$F$301,3,FALSE))^2),"")</f>
        <v/>
      </c>
      <c r="AN99" s="14" t="str">
        <f>_xlfn.IFNA(SQRT((VLOOKUP(AN$1,DATA!$A$3:$F$301,2,FALSE)-VLOOKUP($A99,DATA!$A$3:$F$301,2,FALSE))^2+(VLOOKUP(AN$1,DATA!$A$3:$F$301,3,FALSE)-VLOOKUP($A99,DATA!$A$3:$F$301,3,FALSE))^2),"")</f>
        <v/>
      </c>
      <c r="AO99" s="14" t="str">
        <f>_xlfn.IFNA(SQRT((VLOOKUP(AO$1,DATA!$A$3:$F$301,2,FALSE)-VLOOKUP($A99,DATA!$A$3:$F$301,2,FALSE))^2+(VLOOKUP(AO$1,DATA!$A$3:$F$301,3,FALSE)-VLOOKUP($A99,DATA!$A$3:$F$301,3,FALSE))^2),"")</f>
        <v/>
      </c>
      <c r="AP99" s="14" t="str">
        <f>_xlfn.IFNA(SQRT((VLOOKUP(AP$1,DATA!$A$3:$F$301,2,FALSE)-VLOOKUP($A99,DATA!$A$3:$F$301,2,FALSE))^2+(VLOOKUP(AP$1,DATA!$A$3:$F$301,3,FALSE)-VLOOKUP($A99,DATA!$A$3:$F$301,3,FALSE))^2),"")</f>
        <v/>
      </c>
      <c r="AQ99" s="14" t="str">
        <f>_xlfn.IFNA(SQRT((VLOOKUP(AQ$1,DATA!$A$3:$F$301,2,FALSE)-VLOOKUP($A99,DATA!$A$3:$F$301,2,FALSE))^2+(VLOOKUP(AQ$1,DATA!$A$3:$F$301,3,FALSE)-VLOOKUP($A99,DATA!$A$3:$F$301,3,FALSE))^2),"")</f>
        <v/>
      </c>
      <c r="AR99" s="14" t="str">
        <f>_xlfn.IFNA(SQRT((VLOOKUP(AR$1,DATA!$A$3:$F$301,2,FALSE)-VLOOKUP($A99,DATA!$A$3:$F$301,2,FALSE))^2+(VLOOKUP(AR$1,DATA!$A$3:$F$301,3,FALSE)-VLOOKUP($A99,DATA!$A$3:$F$301,3,FALSE))^2),"")</f>
        <v/>
      </c>
      <c r="AS99" s="14" t="str">
        <f>_xlfn.IFNA(SQRT((VLOOKUP(AS$1,DATA!$A$3:$F$301,2,FALSE)-VLOOKUP($A99,DATA!$A$3:$F$301,2,FALSE))^2+(VLOOKUP(AS$1,DATA!$A$3:$F$301,3,FALSE)-VLOOKUP($A99,DATA!$A$3:$F$301,3,FALSE))^2),"")</f>
        <v/>
      </c>
      <c r="AT99" s="14" t="str">
        <f>_xlfn.IFNA(SQRT((VLOOKUP(AT$1,DATA!$A$3:$F$301,2,FALSE)-VLOOKUP($A99,DATA!$A$3:$F$301,2,FALSE))^2+(VLOOKUP(AT$1,DATA!$A$3:$F$301,3,FALSE)-VLOOKUP($A99,DATA!$A$3:$F$301,3,FALSE))^2),"")</f>
        <v/>
      </c>
      <c r="AU99" s="14" t="str">
        <f>_xlfn.IFNA(SQRT((VLOOKUP(AU$1,DATA!$A$3:$F$301,2,FALSE)-VLOOKUP($A99,DATA!$A$3:$F$301,2,FALSE))^2+(VLOOKUP(AU$1,DATA!$A$3:$F$301,3,FALSE)-VLOOKUP($A99,DATA!$A$3:$F$301,3,FALSE))^2),"")</f>
        <v/>
      </c>
      <c r="AV99" s="14" t="str">
        <f>_xlfn.IFNA(SQRT((VLOOKUP(AV$1,DATA!$A$3:$F$301,2,FALSE)-VLOOKUP($A99,DATA!$A$3:$F$301,2,FALSE))^2+(VLOOKUP(AV$1,DATA!$A$3:$F$301,3,FALSE)-VLOOKUP($A99,DATA!$A$3:$F$301,3,FALSE))^2),"")</f>
        <v/>
      </c>
      <c r="AW99" s="14" t="str">
        <f>_xlfn.IFNA(SQRT((VLOOKUP(AW$1,DATA!$A$3:$F$301,2,FALSE)-VLOOKUP($A99,DATA!$A$3:$F$301,2,FALSE))^2+(VLOOKUP(AW$1,DATA!$A$3:$F$301,3,FALSE)-VLOOKUP($A99,DATA!$A$3:$F$301,3,FALSE))^2),"")</f>
        <v/>
      </c>
      <c r="AX99" s="14" t="str">
        <f>_xlfn.IFNA(SQRT((VLOOKUP(AX$1,DATA!$A$3:$F$301,2,FALSE)-VLOOKUP($A99,DATA!$A$3:$F$301,2,FALSE))^2+(VLOOKUP(AX$1,DATA!$A$3:$F$301,3,FALSE)-VLOOKUP($A99,DATA!$A$3:$F$301,3,FALSE))^2),"")</f>
        <v/>
      </c>
      <c r="AY99" s="14" t="str">
        <f>_xlfn.IFNA(SQRT((VLOOKUP(AY$1,DATA!$A$3:$F$301,2,FALSE)-VLOOKUP($A99,DATA!$A$3:$F$301,2,FALSE))^2+(VLOOKUP(AY$1,DATA!$A$3:$F$301,3,FALSE)-VLOOKUP($A99,DATA!$A$3:$F$301,3,FALSE))^2),"")</f>
        <v/>
      </c>
      <c r="AZ99" s="14" t="str">
        <f>_xlfn.IFNA(SQRT((VLOOKUP(AZ$1,DATA!$A$3:$F$301,2,FALSE)-VLOOKUP($A99,DATA!$A$3:$F$301,2,FALSE))^2+(VLOOKUP(AZ$1,DATA!$A$3:$F$301,3,FALSE)-VLOOKUP($A99,DATA!$A$3:$F$301,3,FALSE))^2),"")</f>
        <v/>
      </c>
      <c r="BA99" s="14" t="str">
        <f>_xlfn.IFNA(SQRT((VLOOKUP(BA$1,DATA!$A$3:$F$301,2,FALSE)-VLOOKUP($A99,DATA!$A$3:$F$301,2,FALSE))^2+(VLOOKUP(BA$1,DATA!$A$3:$F$301,3,FALSE)-VLOOKUP($A99,DATA!$A$3:$F$301,3,FALSE))^2),"")</f>
        <v/>
      </c>
      <c r="BB99" s="14" t="str">
        <f>_xlfn.IFNA(SQRT((VLOOKUP(BB$1,DATA!$A$3:$F$301,2,FALSE)-VLOOKUP($A99,DATA!$A$3:$F$301,2,FALSE))^2+(VLOOKUP(BB$1,DATA!$A$3:$F$301,3,FALSE)-VLOOKUP($A99,DATA!$A$3:$F$301,3,FALSE))^2),"")</f>
        <v/>
      </c>
      <c r="BC99" s="14" t="str">
        <f>_xlfn.IFNA(SQRT((VLOOKUP(BC$1,DATA!$A$3:$F$301,2,FALSE)-VLOOKUP($A99,DATA!$A$3:$F$301,2,FALSE))^2+(VLOOKUP(BC$1,DATA!$A$3:$F$301,3,FALSE)-VLOOKUP($A99,DATA!$A$3:$F$301,3,FALSE))^2),"")</f>
        <v/>
      </c>
      <c r="BD99" s="14" t="str">
        <f>_xlfn.IFNA(SQRT((VLOOKUP(BD$1,DATA!$A$3:$F$301,2,FALSE)-VLOOKUP($A99,DATA!$A$3:$F$301,2,FALSE))^2+(VLOOKUP(BD$1,DATA!$A$3:$F$301,3,FALSE)-VLOOKUP($A99,DATA!$A$3:$F$301,3,FALSE))^2),"")</f>
        <v/>
      </c>
      <c r="BE99" s="14" t="str">
        <f>_xlfn.IFNA(SQRT((VLOOKUP(BE$1,DATA!$A$3:$F$301,2,FALSE)-VLOOKUP($A99,DATA!$A$3:$F$301,2,FALSE))^2+(VLOOKUP(BE$1,DATA!$A$3:$F$301,3,FALSE)-VLOOKUP($A99,DATA!$A$3:$F$301,3,FALSE))^2),"")</f>
        <v/>
      </c>
      <c r="BF99" s="14" t="str">
        <f>_xlfn.IFNA(SQRT((VLOOKUP(BF$1,DATA!$A$3:$F$301,2,FALSE)-VLOOKUP($A99,DATA!$A$3:$F$301,2,FALSE))^2+(VLOOKUP(BF$1,DATA!$A$3:$F$301,3,FALSE)-VLOOKUP($A99,DATA!$A$3:$F$301,3,FALSE))^2),"")</f>
        <v/>
      </c>
      <c r="BG99" s="14" t="str">
        <f>_xlfn.IFNA(SQRT((VLOOKUP(BG$1,DATA!$A$3:$F$301,2,FALSE)-VLOOKUP($A99,DATA!$A$3:$F$301,2,FALSE))^2+(VLOOKUP(BG$1,DATA!$A$3:$F$301,3,FALSE)-VLOOKUP($A99,DATA!$A$3:$F$301,3,FALSE))^2),"")</f>
        <v/>
      </c>
      <c r="BH99" s="14" t="str">
        <f>_xlfn.IFNA(SQRT((VLOOKUP(BH$1,DATA!$A$3:$F$301,2,FALSE)-VLOOKUP($A99,DATA!$A$3:$F$301,2,FALSE))^2+(VLOOKUP(BH$1,DATA!$A$3:$F$301,3,FALSE)-VLOOKUP($A99,DATA!$A$3:$F$301,3,FALSE))^2),"")</f>
        <v/>
      </c>
      <c r="BI99" s="14" t="str">
        <f>_xlfn.IFNA(SQRT((VLOOKUP(BI$1,DATA!$A$3:$F$301,2,FALSE)-VLOOKUP($A99,DATA!$A$3:$F$301,2,FALSE))^2+(VLOOKUP(BI$1,DATA!$A$3:$F$301,3,FALSE)-VLOOKUP($A99,DATA!$A$3:$F$301,3,FALSE))^2),"")</f>
        <v/>
      </c>
      <c r="BJ99" s="14" t="str">
        <f>_xlfn.IFNA(SQRT((VLOOKUP(BJ$1,DATA!$A$3:$F$301,2,FALSE)-VLOOKUP($A99,DATA!$A$3:$F$301,2,FALSE))^2+(VLOOKUP(BJ$1,DATA!$A$3:$F$301,3,FALSE)-VLOOKUP($A99,DATA!$A$3:$F$301,3,FALSE))^2),"")</f>
        <v/>
      </c>
      <c r="BK99" s="14" t="str">
        <f>_xlfn.IFNA(SQRT((VLOOKUP(BK$1,DATA!$A$3:$F$301,2,FALSE)-VLOOKUP($A99,DATA!$A$3:$F$301,2,FALSE))^2+(VLOOKUP(BK$1,DATA!$A$3:$F$301,3,FALSE)-VLOOKUP($A99,DATA!$A$3:$F$301,3,FALSE))^2),"")</f>
        <v/>
      </c>
      <c r="BL99" s="14" t="str">
        <f>_xlfn.IFNA(SQRT((VLOOKUP(BL$1,DATA!$A$3:$F$301,2,FALSE)-VLOOKUP($A99,DATA!$A$3:$F$301,2,FALSE))^2+(VLOOKUP(BL$1,DATA!$A$3:$F$301,3,FALSE)-VLOOKUP($A99,DATA!$A$3:$F$301,3,FALSE))^2),"")</f>
        <v/>
      </c>
      <c r="BM99" s="14" t="str">
        <f>_xlfn.IFNA(SQRT((VLOOKUP(BM$1,DATA!$A$3:$F$301,2,FALSE)-VLOOKUP($A99,DATA!$A$3:$F$301,2,FALSE))^2+(VLOOKUP(BM$1,DATA!$A$3:$F$301,3,FALSE)-VLOOKUP($A99,DATA!$A$3:$F$301,3,FALSE))^2),"")</f>
        <v/>
      </c>
      <c r="BN99" s="14" t="str">
        <f>_xlfn.IFNA(SQRT((VLOOKUP(BN$1,DATA!$A$3:$F$301,2,FALSE)-VLOOKUP($A99,DATA!$A$3:$F$301,2,FALSE))^2+(VLOOKUP(BN$1,DATA!$A$3:$F$301,3,FALSE)-VLOOKUP($A99,DATA!$A$3:$F$301,3,FALSE))^2),"")</f>
        <v/>
      </c>
      <c r="BO99" s="14" t="str">
        <f>_xlfn.IFNA(SQRT((VLOOKUP(BO$1,DATA!$A$3:$F$301,2,FALSE)-VLOOKUP($A99,DATA!$A$3:$F$301,2,FALSE))^2+(VLOOKUP(BO$1,DATA!$A$3:$F$301,3,FALSE)-VLOOKUP($A99,DATA!$A$3:$F$301,3,FALSE))^2),"")</f>
        <v/>
      </c>
      <c r="BP99" s="14" t="str">
        <f>_xlfn.IFNA(SQRT((VLOOKUP(BP$1,DATA!$A$3:$F$301,2,FALSE)-VLOOKUP($A99,DATA!$A$3:$F$301,2,FALSE))^2+(VLOOKUP(BP$1,DATA!$A$3:$F$301,3,FALSE)-VLOOKUP($A99,DATA!$A$3:$F$301,3,FALSE))^2),"")</f>
        <v/>
      </c>
      <c r="BQ99" s="14" t="str">
        <f>_xlfn.IFNA(SQRT((VLOOKUP(BQ$1,DATA!$A$3:$F$301,2,FALSE)-VLOOKUP($A99,DATA!$A$3:$F$301,2,FALSE))^2+(VLOOKUP(BQ$1,DATA!$A$3:$F$301,3,FALSE)-VLOOKUP($A99,DATA!$A$3:$F$301,3,FALSE))^2),"")</f>
        <v/>
      </c>
      <c r="BR99" s="14" t="str">
        <f>_xlfn.IFNA(SQRT((VLOOKUP(BR$1,DATA!$A$3:$F$301,2,FALSE)-VLOOKUP($A99,DATA!$A$3:$F$301,2,FALSE))^2+(VLOOKUP(BR$1,DATA!$A$3:$F$301,3,FALSE)-VLOOKUP($A99,DATA!$A$3:$F$301,3,FALSE))^2),"")</f>
        <v/>
      </c>
      <c r="BS99" s="14" t="str">
        <f>_xlfn.IFNA(SQRT((VLOOKUP(BS$1,DATA!$A$3:$F$301,2,FALSE)-VLOOKUP($A99,DATA!$A$3:$F$301,2,FALSE))^2+(VLOOKUP(BS$1,DATA!$A$3:$F$301,3,FALSE)-VLOOKUP($A99,DATA!$A$3:$F$301,3,FALSE))^2),"")</f>
        <v/>
      </c>
      <c r="BT99" s="14" t="str">
        <f>_xlfn.IFNA(SQRT((VLOOKUP(BT$1,DATA!$A$3:$F$301,2,FALSE)-VLOOKUP($A99,DATA!$A$3:$F$301,2,FALSE))^2+(VLOOKUP(BT$1,DATA!$A$3:$F$301,3,FALSE)-VLOOKUP($A99,DATA!$A$3:$F$301,3,FALSE))^2),"")</f>
        <v/>
      </c>
      <c r="BU99" s="14" t="str">
        <f>_xlfn.IFNA(SQRT((VLOOKUP(BU$1,DATA!$A$3:$F$301,2,FALSE)-VLOOKUP($A99,DATA!$A$3:$F$301,2,FALSE))^2+(VLOOKUP(BU$1,DATA!$A$3:$F$301,3,FALSE)-VLOOKUP($A99,DATA!$A$3:$F$301,3,FALSE))^2),"")</f>
        <v/>
      </c>
      <c r="BV99" s="14" t="str">
        <f>_xlfn.IFNA(SQRT((VLOOKUP(BV$1,DATA!$A$3:$F$301,2,FALSE)-VLOOKUP($A99,DATA!$A$3:$F$301,2,FALSE))^2+(VLOOKUP(BV$1,DATA!$A$3:$F$301,3,FALSE)-VLOOKUP($A99,DATA!$A$3:$F$301,3,FALSE))^2),"")</f>
        <v/>
      </c>
      <c r="BW99" s="14" t="str">
        <f>_xlfn.IFNA(SQRT((VLOOKUP(BW$1,DATA!$A$3:$F$301,2,FALSE)-VLOOKUP($A99,DATA!$A$3:$F$301,2,FALSE))^2+(VLOOKUP(BW$1,DATA!$A$3:$F$301,3,FALSE)-VLOOKUP($A99,DATA!$A$3:$F$301,3,FALSE))^2),"")</f>
        <v/>
      </c>
      <c r="BX99" s="14" t="str">
        <f>_xlfn.IFNA(SQRT((VLOOKUP(BX$1,DATA!$A$3:$F$301,2,FALSE)-VLOOKUP($A99,DATA!$A$3:$F$301,2,FALSE))^2+(VLOOKUP(BX$1,DATA!$A$3:$F$301,3,FALSE)-VLOOKUP($A99,DATA!$A$3:$F$301,3,FALSE))^2),"")</f>
        <v/>
      </c>
      <c r="BY99" s="14" t="str">
        <f>_xlfn.IFNA(SQRT((VLOOKUP(BY$1,DATA!$A$3:$F$301,2,FALSE)-VLOOKUP($A99,DATA!$A$3:$F$301,2,FALSE))^2+(VLOOKUP(BY$1,DATA!$A$3:$F$301,3,FALSE)-VLOOKUP($A99,DATA!$A$3:$F$301,3,FALSE))^2),"")</f>
        <v/>
      </c>
      <c r="BZ99" s="14" t="str">
        <f>_xlfn.IFNA(SQRT((VLOOKUP(BZ$1,DATA!$A$3:$F$301,2,FALSE)-VLOOKUP($A99,DATA!$A$3:$F$301,2,FALSE))^2+(VLOOKUP(BZ$1,DATA!$A$3:$F$301,3,FALSE)-VLOOKUP($A99,DATA!$A$3:$F$301,3,FALSE))^2),"")</f>
        <v/>
      </c>
      <c r="CA99" s="14" t="str">
        <f>_xlfn.IFNA(SQRT((VLOOKUP(CA$1,DATA!$A$3:$F$301,2,FALSE)-VLOOKUP($A99,DATA!$A$3:$F$301,2,FALSE))^2+(VLOOKUP(CA$1,DATA!$A$3:$F$301,3,FALSE)-VLOOKUP($A99,DATA!$A$3:$F$301,3,FALSE))^2),"")</f>
        <v/>
      </c>
      <c r="CB99" s="14" t="str">
        <f>_xlfn.IFNA(SQRT((VLOOKUP(CB$1,DATA!$A$3:$F$301,2,FALSE)-VLOOKUP($A99,DATA!$A$3:$F$301,2,FALSE))^2+(VLOOKUP(CB$1,DATA!$A$3:$F$301,3,FALSE)-VLOOKUP($A99,DATA!$A$3:$F$301,3,FALSE))^2),"")</f>
        <v/>
      </c>
      <c r="CC99" s="14" t="str">
        <f>_xlfn.IFNA(SQRT((VLOOKUP(CC$1,DATA!$A$3:$F$301,2,FALSE)-VLOOKUP($A99,DATA!$A$3:$F$301,2,FALSE))^2+(VLOOKUP(CC$1,DATA!$A$3:$F$301,3,FALSE)-VLOOKUP($A99,DATA!$A$3:$F$301,3,FALSE))^2),"")</f>
        <v/>
      </c>
      <c r="CD99" s="14" t="str">
        <f>_xlfn.IFNA(SQRT((VLOOKUP(CD$1,DATA!$A$3:$F$301,2,FALSE)-VLOOKUP($A99,DATA!$A$3:$F$301,2,FALSE))^2+(VLOOKUP(CD$1,DATA!$A$3:$F$301,3,FALSE)-VLOOKUP($A99,DATA!$A$3:$F$301,3,FALSE))^2),"")</f>
        <v/>
      </c>
      <c r="CE99" s="14" t="str">
        <f>_xlfn.IFNA(SQRT((VLOOKUP(CE$1,DATA!$A$3:$F$301,2,FALSE)-VLOOKUP($A99,DATA!$A$3:$F$301,2,FALSE))^2+(VLOOKUP(CE$1,DATA!$A$3:$F$301,3,FALSE)-VLOOKUP($A99,DATA!$A$3:$F$301,3,FALSE))^2),"")</f>
        <v/>
      </c>
      <c r="CF99" s="14" t="str">
        <f>_xlfn.IFNA(SQRT((VLOOKUP(CF$1,DATA!$A$3:$F$301,2,FALSE)-VLOOKUP($A99,DATA!$A$3:$F$301,2,FALSE))^2+(VLOOKUP(CF$1,DATA!$A$3:$F$301,3,FALSE)-VLOOKUP($A99,DATA!$A$3:$F$301,3,FALSE))^2),"")</f>
        <v/>
      </c>
      <c r="CG99" s="14" t="str">
        <f>_xlfn.IFNA(SQRT((VLOOKUP(CG$1,DATA!$A$3:$F$301,2,FALSE)-VLOOKUP($A99,DATA!$A$3:$F$301,2,FALSE))^2+(VLOOKUP(CG$1,DATA!$A$3:$F$301,3,FALSE)-VLOOKUP($A99,DATA!$A$3:$F$301,3,FALSE))^2),"")</f>
        <v/>
      </c>
      <c r="CH99" s="14" t="str">
        <f>_xlfn.IFNA(SQRT((VLOOKUP(CH$1,DATA!$A$3:$F$301,2,FALSE)-VLOOKUP($A99,DATA!$A$3:$F$301,2,FALSE))^2+(VLOOKUP(CH$1,DATA!$A$3:$F$301,3,FALSE)-VLOOKUP($A99,DATA!$A$3:$F$301,3,FALSE))^2),"")</f>
        <v/>
      </c>
      <c r="CI99" s="14" t="str">
        <f>_xlfn.IFNA(SQRT((VLOOKUP(CI$1,DATA!$A$3:$F$301,2,FALSE)-VLOOKUP($A99,DATA!$A$3:$F$301,2,FALSE))^2+(VLOOKUP(CI$1,DATA!$A$3:$F$301,3,FALSE)-VLOOKUP($A99,DATA!$A$3:$F$301,3,FALSE))^2),"")</f>
        <v/>
      </c>
      <c r="CJ99" s="14" t="str">
        <f>_xlfn.IFNA(SQRT((VLOOKUP(CJ$1,DATA!$A$3:$F$301,2,FALSE)-VLOOKUP($A99,DATA!$A$3:$F$301,2,FALSE))^2+(VLOOKUP(CJ$1,DATA!$A$3:$F$301,3,FALSE)-VLOOKUP($A99,DATA!$A$3:$F$301,3,FALSE))^2),"")</f>
        <v/>
      </c>
      <c r="CK99" s="14" t="str">
        <f>_xlfn.IFNA(SQRT((VLOOKUP(CK$1,DATA!$A$3:$F$301,2,FALSE)-VLOOKUP($A99,DATA!$A$3:$F$301,2,FALSE))^2+(VLOOKUP(CK$1,DATA!$A$3:$F$301,3,FALSE)-VLOOKUP($A99,DATA!$A$3:$F$301,3,FALSE))^2),"")</f>
        <v/>
      </c>
      <c r="CL99" s="14" t="str">
        <f>_xlfn.IFNA(SQRT((VLOOKUP(CL$1,DATA!$A$3:$F$301,2,FALSE)-VLOOKUP($A99,DATA!$A$3:$F$301,2,FALSE))^2+(VLOOKUP(CL$1,DATA!$A$3:$F$301,3,FALSE)-VLOOKUP($A99,DATA!$A$3:$F$301,3,FALSE))^2),"")</f>
        <v/>
      </c>
      <c r="CM99" s="14" t="str">
        <f>_xlfn.IFNA(SQRT((VLOOKUP(CM$1,DATA!$A$3:$F$301,2,FALSE)-VLOOKUP($A99,DATA!$A$3:$F$301,2,FALSE))^2+(VLOOKUP(CM$1,DATA!$A$3:$F$301,3,FALSE)-VLOOKUP($A99,DATA!$A$3:$F$301,3,FALSE))^2),"")</f>
        <v/>
      </c>
      <c r="CN99" s="14" t="str">
        <f>_xlfn.IFNA(SQRT((VLOOKUP(CN$1,DATA!$A$3:$F$301,2,FALSE)-VLOOKUP($A99,DATA!$A$3:$F$301,2,FALSE))^2+(VLOOKUP(CN$1,DATA!$A$3:$F$301,3,FALSE)-VLOOKUP($A99,DATA!$A$3:$F$301,3,FALSE))^2),"")</f>
        <v/>
      </c>
      <c r="CO99" s="14" t="str">
        <f>_xlfn.IFNA(SQRT((VLOOKUP(CO$1,DATA!$A$3:$F$301,2,FALSE)-VLOOKUP($A99,DATA!$A$3:$F$301,2,FALSE))^2+(VLOOKUP(CO$1,DATA!$A$3:$F$301,3,FALSE)-VLOOKUP($A99,DATA!$A$3:$F$301,3,FALSE))^2),"")</f>
        <v/>
      </c>
      <c r="CP99" s="14" t="str">
        <f>_xlfn.IFNA(SQRT((VLOOKUP(CP$1,DATA!$A$3:$F$301,2,FALSE)-VLOOKUP($A99,DATA!$A$3:$F$301,2,FALSE))^2+(VLOOKUP(CP$1,DATA!$A$3:$F$301,3,FALSE)-VLOOKUP($A99,DATA!$A$3:$F$301,3,FALSE))^2),"")</f>
        <v/>
      </c>
      <c r="CQ99" s="14" t="str">
        <f>_xlfn.IFNA(SQRT((VLOOKUP(CQ$1,DATA!$A$3:$F$301,2,FALSE)-VLOOKUP($A99,DATA!$A$3:$F$301,2,FALSE))^2+(VLOOKUP(CQ$1,DATA!$A$3:$F$301,3,FALSE)-VLOOKUP($A99,DATA!$A$3:$F$301,3,FALSE))^2),"")</f>
        <v/>
      </c>
      <c r="CR99" s="14" t="str">
        <f>_xlfn.IFNA(SQRT((VLOOKUP(CR$1,DATA!$A$3:$F$301,2,FALSE)-VLOOKUP($A99,DATA!$A$3:$F$301,2,FALSE))^2+(VLOOKUP(CR$1,DATA!$A$3:$F$301,3,FALSE)-VLOOKUP($A99,DATA!$A$3:$F$301,3,FALSE))^2),"")</f>
        <v/>
      </c>
      <c r="CS99" s="14" t="str">
        <f>_xlfn.IFNA(SQRT((VLOOKUP(CS$1,DATA!$A$3:$F$301,2,FALSE)-VLOOKUP($A99,DATA!$A$3:$F$301,2,FALSE))^2+(VLOOKUP(CS$1,DATA!$A$3:$F$301,3,FALSE)-VLOOKUP($A99,DATA!$A$3:$F$301,3,FALSE))^2),"")</f>
        <v/>
      </c>
      <c r="CT99" s="14" t="str">
        <f>_xlfn.IFNA(SQRT((VLOOKUP(CT$1,DATA!$A$3:$F$301,2,FALSE)-VLOOKUP($A99,DATA!$A$3:$F$301,2,FALSE))^2+(VLOOKUP(CT$1,DATA!$A$3:$F$301,3,FALSE)-VLOOKUP($A99,DATA!$A$3:$F$301,3,FALSE))^2),"")</f>
        <v/>
      </c>
      <c r="CU99" s="14" t="str">
        <f>_xlfn.IFNA(SQRT((VLOOKUP(CU$1,DATA!$A$3:$F$301,2,FALSE)-VLOOKUP($A99,DATA!$A$3:$F$301,2,FALSE))^2+(VLOOKUP(CU$1,DATA!$A$3:$F$301,3,FALSE)-VLOOKUP($A99,DATA!$A$3:$F$301,3,FALSE))^2),"")</f>
        <v/>
      </c>
      <c r="CV99" s="14" t="str">
        <f>_xlfn.IFNA(SQRT((VLOOKUP(CV$1,DATA!$A$3:$F$301,2,FALSE)-VLOOKUP($A99,DATA!$A$3:$F$301,2,FALSE))^2+(VLOOKUP(CV$1,DATA!$A$3:$F$301,3,FALSE)-VLOOKUP($A99,DATA!$A$3:$F$301,3,FALSE))^2),"")</f>
        <v/>
      </c>
      <c r="CW99" s="14" t="str">
        <f>_xlfn.IFNA(SQRT((VLOOKUP(CW$1,DATA!$A$3:$F$301,2,FALSE)-VLOOKUP($A99,DATA!$A$3:$F$301,2,FALSE))^2+(VLOOKUP(CW$1,DATA!$A$3:$F$301,3,FALSE)-VLOOKUP($A99,DATA!$A$3:$F$301,3,FALSE))^2),"")</f>
        <v/>
      </c>
      <c r="CX99" s="14" t="str">
        <f>_xlfn.IFNA(SQRT((VLOOKUP(CX$1,DATA!$A$3:$F$301,2,FALSE)-VLOOKUP($A99,DATA!$A$3:$F$301,2,FALSE))^2+(VLOOKUP(CX$1,DATA!$A$3:$F$301,3,FALSE)-VLOOKUP($A99,DATA!$A$3:$F$301,3,FALSE))^2),"")</f>
        <v/>
      </c>
    </row>
    <row r="100" spans="1:102">
      <c r="A100" s="13">
        <v>99</v>
      </c>
      <c r="B100" s="14" t="str">
        <f>_xlfn.IFNA(SQRT((VLOOKUP(B$1,DATA!$A$3:$F$301,2,FALSE)-VLOOKUP($A100,DATA!$A$3:$F$301,2,FALSE))^2+(VLOOKUP(B$1,DATA!$A$3:$F$301,3,FALSE)-VLOOKUP($A100,DATA!$A$3:$F$301,3,FALSE))^2),"")</f>
        <v/>
      </c>
      <c r="C100" s="14" t="str">
        <f>_xlfn.IFNA(SQRT((VLOOKUP(C$1,DATA!$A$3:$F$301,2,FALSE)-VLOOKUP($A100,DATA!$A$3:$F$301,2,FALSE))^2+(VLOOKUP(C$1,DATA!$A$3:$F$301,3,FALSE)-VLOOKUP($A100,DATA!$A$3:$F$301,3,FALSE))^2),"")</f>
        <v/>
      </c>
      <c r="D100" s="14" t="str">
        <f>_xlfn.IFNA(SQRT((VLOOKUP(D$1,DATA!$A$3:$F$301,2,FALSE)-VLOOKUP($A100,DATA!$A$3:$F$301,2,FALSE))^2+(VLOOKUP(D$1,DATA!$A$3:$F$301,3,FALSE)-VLOOKUP($A100,DATA!$A$3:$F$301,3,FALSE))^2),"")</f>
        <v/>
      </c>
      <c r="E100" s="14" t="str">
        <f>_xlfn.IFNA(SQRT((VLOOKUP(E$1,DATA!$A$3:$F$301,2,FALSE)-VLOOKUP($A100,DATA!$A$3:$F$301,2,FALSE))^2+(VLOOKUP(E$1,DATA!$A$3:$F$301,3,FALSE)-VLOOKUP($A100,DATA!$A$3:$F$301,3,FALSE))^2),"")</f>
        <v/>
      </c>
      <c r="F100" s="14" t="str">
        <f>_xlfn.IFNA(SQRT((VLOOKUP(F$1,DATA!$A$3:$F$301,2,FALSE)-VLOOKUP($A100,DATA!$A$3:$F$301,2,FALSE))^2+(VLOOKUP(F$1,DATA!$A$3:$F$301,3,FALSE)-VLOOKUP($A100,DATA!$A$3:$F$301,3,FALSE))^2),"")</f>
        <v/>
      </c>
      <c r="G100" s="14" t="str">
        <f>_xlfn.IFNA(SQRT((VLOOKUP(G$1,DATA!$A$3:$F$301,2,FALSE)-VLOOKUP($A100,DATA!$A$3:$F$301,2,FALSE))^2+(VLOOKUP(G$1,DATA!$A$3:$F$301,3,FALSE)-VLOOKUP($A100,DATA!$A$3:$F$301,3,FALSE))^2),"")</f>
        <v/>
      </c>
      <c r="H100" s="14" t="str">
        <f>_xlfn.IFNA(SQRT((VLOOKUP(H$1,DATA!$A$3:$F$301,2,FALSE)-VLOOKUP($A100,DATA!$A$3:$F$301,2,FALSE))^2+(VLOOKUP(H$1,DATA!$A$3:$F$301,3,FALSE)-VLOOKUP($A100,DATA!$A$3:$F$301,3,FALSE))^2),"")</f>
        <v/>
      </c>
      <c r="I100" s="14" t="str">
        <f>_xlfn.IFNA(SQRT((VLOOKUP(I$1,DATA!$A$3:$F$301,2,FALSE)-VLOOKUP($A100,DATA!$A$3:$F$301,2,FALSE))^2+(VLOOKUP(I$1,DATA!$A$3:$F$301,3,FALSE)-VLOOKUP($A100,DATA!$A$3:$F$301,3,FALSE))^2),"")</f>
        <v/>
      </c>
      <c r="J100" s="14" t="str">
        <f>_xlfn.IFNA(SQRT((VLOOKUP(J$1,DATA!$A$3:$F$301,2,FALSE)-VLOOKUP($A100,DATA!$A$3:$F$301,2,FALSE))^2+(VLOOKUP(J$1,DATA!$A$3:$F$301,3,FALSE)-VLOOKUP($A100,DATA!$A$3:$F$301,3,FALSE))^2),"")</f>
        <v/>
      </c>
      <c r="K100" s="14" t="str">
        <f>_xlfn.IFNA(SQRT((VLOOKUP(K$1,DATA!$A$3:$F$301,2,FALSE)-VLOOKUP($A100,DATA!$A$3:$F$301,2,FALSE))^2+(VLOOKUP(K$1,DATA!$A$3:$F$301,3,FALSE)-VLOOKUP($A100,DATA!$A$3:$F$301,3,FALSE))^2),"")</f>
        <v/>
      </c>
      <c r="L100" s="14" t="str">
        <f>_xlfn.IFNA(SQRT((VLOOKUP(L$1,DATA!$A$3:$F$301,2,FALSE)-VLOOKUP($A100,DATA!$A$3:$F$301,2,FALSE))^2+(VLOOKUP(L$1,DATA!$A$3:$F$301,3,FALSE)-VLOOKUP($A100,DATA!$A$3:$F$301,3,FALSE))^2),"")</f>
        <v/>
      </c>
      <c r="M100" s="14" t="str">
        <f>_xlfn.IFNA(SQRT((VLOOKUP(M$1,DATA!$A$3:$F$301,2,FALSE)-VLOOKUP($A100,DATA!$A$3:$F$301,2,FALSE))^2+(VLOOKUP(M$1,DATA!$A$3:$F$301,3,FALSE)-VLOOKUP($A100,DATA!$A$3:$F$301,3,FALSE))^2),"")</f>
        <v/>
      </c>
      <c r="N100" s="14" t="str">
        <f>_xlfn.IFNA(SQRT((VLOOKUP(N$1,DATA!$A$3:$F$301,2,FALSE)-VLOOKUP($A100,DATA!$A$3:$F$301,2,FALSE))^2+(VLOOKUP(N$1,DATA!$A$3:$F$301,3,FALSE)-VLOOKUP($A100,DATA!$A$3:$F$301,3,FALSE))^2),"")</f>
        <v/>
      </c>
      <c r="O100" s="14" t="str">
        <f>_xlfn.IFNA(SQRT((VLOOKUP(O$1,DATA!$A$3:$F$301,2,FALSE)-VLOOKUP($A100,DATA!$A$3:$F$301,2,FALSE))^2+(VLOOKUP(O$1,DATA!$A$3:$F$301,3,FALSE)-VLOOKUP($A100,DATA!$A$3:$F$301,3,FALSE))^2),"")</f>
        <v/>
      </c>
      <c r="P100" s="14" t="str">
        <f>_xlfn.IFNA(SQRT((VLOOKUP(P$1,DATA!$A$3:$F$301,2,FALSE)-VLOOKUP($A100,DATA!$A$3:$F$301,2,FALSE))^2+(VLOOKUP(P$1,DATA!$A$3:$F$301,3,FALSE)-VLOOKUP($A100,DATA!$A$3:$F$301,3,FALSE))^2),"")</f>
        <v/>
      </c>
      <c r="Q100" s="14" t="str">
        <f>_xlfn.IFNA(SQRT((VLOOKUP(Q$1,DATA!$A$3:$F$301,2,FALSE)-VLOOKUP($A100,DATA!$A$3:$F$301,2,FALSE))^2+(VLOOKUP(Q$1,DATA!$A$3:$F$301,3,FALSE)-VLOOKUP($A100,DATA!$A$3:$F$301,3,FALSE))^2),"")</f>
        <v/>
      </c>
      <c r="R100" s="14" t="str">
        <f>_xlfn.IFNA(SQRT((VLOOKUP(R$1,DATA!$A$3:$F$301,2,FALSE)-VLOOKUP($A100,DATA!$A$3:$F$301,2,FALSE))^2+(VLOOKUP(R$1,DATA!$A$3:$F$301,3,FALSE)-VLOOKUP($A100,DATA!$A$3:$F$301,3,FALSE))^2),"")</f>
        <v/>
      </c>
      <c r="S100" s="14" t="str">
        <f>_xlfn.IFNA(SQRT((VLOOKUP(S$1,DATA!$A$3:$F$301,2,FALSE)-VLOOKUP($A100,DATA!$A$3:$F$301,2,FALSE))^2+(VLOOKUP(S$1,DATA!$A$3:$F$301,3,FALSE)-VLOOKUP($A100,DATA!$A$3:$F$301,3,FALSE))^2),"")</f>
        <v/>
      </c>
      <c r="T100" s="14" t="str">
        <f>_xlfn.IFNA(SQRT((VLOOKUP(T$1,DATA!$A$3:$F$301,2,FALSE)-VLOOKUP($A100,DATA!$A$3:$F$301,2,FALSE))^2+(VLOOKUP(T$1,DATA!$A$3:$F$301,3,FALSE)-VLOOKUP($A100,DATA!$A$3:$F$301,3,FALSE))^2),"")</f>
        <v/>
      </c>
      <c r="U100" s="14" t="str">
        <f>_xlfn.IFNA(SQRT((VLOOKUP(U$1,DATA!$A$3:$F$301,2,FALSE)-VLOOKUP($A100,DATA!$A$3:$F$301,2,FALSE))^2+(VLOOKUP(U$1,DATA!$A$3:$F$301,3,FALSE)-VLOOKUP($A100,DATA!$A$3:$F$301,3,FALSE))^2),"")</f>
        <v/>
      </c>
      <c r="V100" s="14" t="str">
        <f>_xlfn.IFNA(SQRT((VLOOKUP(V$1,DATA!$A$3:$F$301,2,FALSE)-VLOOKUP($A100,DATA!$A$3:$F$301,2,FALSE))^2+(VLOOKUP(V$1,DATA!$A$3:$F$301,3,FALSE)-VLOOKUP($A100,DATA!$A$3:$F$301,3,FALSE))^2),"")</f>
        <v/>
      </c>
      <c r="W100" s="14" t="str">
        <f>_xlfn.IFNA(SQRT((VLOOKUP(W$1,DATA!$A$3:$F$301,2,FALSE)-VLOOKUP($A100,DATA!$A$3:$F$301,2,FALSE))^2+(VLOOKUP(W$1,DATA!$A$3:$F$301,3,FALSE)-VLOOKUP($A100,DATA!$A$3:$F$301,3,FALSE))^2),"")</f>
        <v/>
      </c>
      <c r="X100" s="14" t="str">
        <f>_xlfn.IFNA(SQRT((VLOOKUP(X$1,DATA!$A$3:$F$301,2,FALSE)-VLOOKUP($A100,DATA!$A$3:$F$301,2,FALSE))^2+(VLOOKUP(X$1,DATA!$A$3:$F$301,3,FALSE)-VLOOKUP($A100,DATA!$A$3:$F$301,3,FALSE))^2),"")</f>
        <v/>
      </c>
      <c r="Y100" s="14" t="str">
        <f>_xlfn.IFNA(SQRT((VLOOKUP(Y$1,DATA!$A$3:$F$301,2,FALSE)-VLOOKUP($A100,DATA!$A$3:$F$301,2,FALSE))^2+(VLOOKUP(Y$1,DATA!$A$3:$F$301,3,FALSE)-VLOOKUP($A100,DATA!$A$3:$F$301,3,FALSE))^2),"")</f>
        <v/>
      </c>
      <c r="Z100" s="14" t="str">
        <f>_xlfn.IFNA(SQRT((VLOOKUP(Z$1,DATA!$A$3:$F$301,2,FALSE)-VLOOKUP($A100,DATA!$A$3:$F$301,2,FALSE))^2+(VLOOKUP(Z$1,DATA!$A$3:$F$301,3,FALSE)-VLOOKUP($A100,DATA!$A$3:$F$301,3,FALSE))^2),"")</f>
        <v/>
      </c>
      <c r="AA100" s="14" t="str">
        <f>_xlfn.IFNA(SQRT((VLOOKUP(AA$1,DATA!$A$3:$F$301,2,FALSE)-VLOOKUP($A100,DATA!$A$3:$F$301,2,FALSE))^2+(VLOOKUP(AA$1,DATA!$A$3:$F$301,3,FALSE)-VLOOKUP($A100,DATA!$A$3:$F$301,3,FALSE))^2),"")</f>
        <v/>
      </c>
      <c r="AB100" s="14" t="str">
        <f>_xlfn.IFNA(SQRT((VLOOKUP(AB$1,DATA!$A$3:$F$301,2,FALSE)-VLOOKUP($A100,DATA!$A$3:$F$301,2,FALSE))^2+(VLOOKUP(AB$1,DATA!$A$3:$F$301,3,FALSE)-VLOOKUP($A100,DATA!$A$3:$F$301,3,FALSE))^2),"")</f>
        <v/>
      </c>
      <c r="AC100" s="14" t="str">
        <f>_xlfn.IFNA(SQRT((VLOOKUP(AC$1,DATA!$A$3:$F$301,2,FALSE)-VLOOKUP($A100,DATA!$A$3:$F$301,2,FALSE))^2+(VLOOKUP(AC$1,DATA!$A$3:$F$301,3,FALSE)-VLOOKUP($A100,DATA!$A$3:$F$301,3,FALSE))^2),"")</f>
        <v/>
      </c>
      <c r="AD100" s="14" t="str">
        <f>_xlfn.IFNA(SQRT((VLOOKUP(AD$1,DATA!$A$3:$F$301,2,FALSE)-VLOOKUP($A100,DATA!$A$3:$F$301,2,FALSE))^2+(VLOOKUP(AD$1,DATA!$A$3:$F$301,3,FALSE)-VLOOKUP($A100,DATA!$A$3:$F$301,3,FALSE))^2),"")</f>
        <v/>
      </c>
      <c r="AE100" s="14" t="str">
        <f>_xlfn.IFNA(SQRT((VLOOKUP(AE$1,DATA!$A$3:$F$301,2,FALSE)-VLOOKUP($A100,DATA!$A$3:$F$301,2,FALSE))^2+(VLOOKUP(AE$1,DATA!$A$3:$F$301,3,FALSE)-VLOOKUP($A100,DATA!$A$3:$F$301,3,FALSE))^2),"")</f>
        <v/>
      </c>
      <c r="AF100" s="14" t="str">
        <f>_xlfn.IFNA(SQRT((VLOOKUP(AF$1,DATA!$A$3:$F$301,2,FALSE)-VLOOKUP($A100,DATA!$A$3:$F$301,2,FALSE))^2+(VLOOKUP(AF$1,DATA!$A$3:$F$301,3,FALSE)-VLOOKUP($A100,DATA!$A$3:$F$301,3,FALSE))^2),"")</f>
        <v/>
      </c>
      <c r="AG100" s="14" t="str">
        <f>_xlfn.IFNA(SQRT((VLOOKUP(AG$1,DATA!$A$3:$F$301,2,FALSE)-VLOOKUP($A100,DATA!$A$3:$F$301,2,FALSE))^2+(VLOOKUP(AG$1,DATA!$A$3:$F$301,3,FALSE)-VLOOKUP($A100,DATA!$A$3:$F$301,3,FALSE))^2),"")</f>
        <v/>
      </c>
      <c r="AH100" s="14" t="str">
        <f>_xlfn.IFNA(SQRT((VLOOKUP(AH$1,DATA!$A$3:$F$301,2,FALSE)-VLOOKUP($A100,DATA!$A$3:$F$301,2,FALSE))^2+(VLOOKUP(AH$1,DATA!$A$3:$F$301,3,FALSE)-VLOOKUP($A100,DATA!$A$3:$F$301,3,FALSE))^2),"")</f>
        <v/>
      </c>
      <c r="AI100" s="14" t="str">
        <f>_xlfn.IFNA(SQRT((VLOOKUP(AI$1,DATA!$A$3:$F$301,2,FALSE)-VLOOKUP($A100,DATA!$A$3:$F$301,2,FALSE))^2+(VLOOKUP(AI$1,DATA!$A$3:$F$301,3,FALSE)-VLOOKUP($A100,DATA!$A$3:$F$301,3,FALSE))^2),"")</f>
        <v/>
      </c>
      <c r="AJ100" s="14" t="str">
        <f>_xlfn.IFNA(SQRT((VLOOKUP(AJ$1,DATA!$A$3:$F$301,2,FALSE)-VLOOKUP($A100,DATA!$A$3:$F$301,2,FALSE))^2+(VLOOKUP(AJ$1,DATA!$A$3:$F$301,3,FALSE)-VLOOKUP($A100,DATA!$A$3:$F$301,3,FALSE))^2),"")</f>
        <v/>
      </c>
      <c r="AK100" s="14" t="str">
        <f>_xlfn.IFNA(SQRT((VLOOKUP(AK$1,DATA!$A$3:$F$301,2,FALSE)-VLOOKUP($A100,DATA!$A$3:$F$301,2,FALSE))^2+(VLOOKUP(AK$1,DATA!$A$3:$F$301,3,FALSE)-VLOOKUP($A100,DATA!$A$3:$F$301,3,FALSE))^2),"")</f>
        <v/>
      </c>
      <c r="AL100" s="14" t="str">
        <f>_xlfn.IFNA(SQRT((VLOOKUP(AL$1,DATA!$A$3:$F$301,2,FALSE)-VLOOKUP($A100,DATA!$A$3:$F$301,2,FALSE))^2+(VLOOKUP(AL$1,DATA!$A$3:$F$301,3,FALSE)-VLOOKUP($A100,DATA!$A$3:$F$301,3,FALSE))^2),"")</f>
        <v/>
      </c>
      <c r="AM100" s="14" t="str">
        <f>_xlfn.IFNA(SQRT((VLOOKUP(AM$1,DATA!$A$3:$F$301,2,FALSE)-VLOOKUP($A100,DATA!$A$3:$F$301,2,FALSE))^2+(VLOOKUP(AM$1,DATA!$A$3:$F$301,3,FALSE)-VLOOKUP($A100,DATA!$A$3:$F$301,3,FALSE))^2),"")</f>
        <v/>
      </c>
      <c r="AN100" s="14" t="str">
        <f>_xlfn.IFNA(SQRT((VLOOKUP(AN$1,DATA!$A$3:$F$301,2,FALSE)-VLOOKUP($A100,DATA!$A$3:$F$301,2,FALSE))^2+(VLOOKUP(AN$1,DATA!$A$3:$F$301,3,FALSE)-VLOOKUP($A100,DATA!$A$3:$F$301,3,FALSE))^2),"")</f>
        <v/>
      </c>
      <c r="AO100" s="14" t="str">
        <f>_xlfn.IFNA(SQRT((VLOOKUP(AO$1,DATA!$A$3:$F$301,2,FALSE)-VLOOKUP($A100,DATA!$A$3:$F$301,2,FALSE))^2+(VLOOKUP(AO$1,DATA!$A$3:$F$301,3,FALSE)-VLOOKUP($A100,DATA!$A$3:$F$301,3,FALSE))^2),"")</f>
        <v/>
      </c>
      <c r="AP100" s="14" t="str">
        <f>_xlfn.IFNA(SQRT((VLOOKUP(AP$1,DATA!$A$3:$F$301,2,FALSE)-VLOOKUP($A100,DATA!$A$3:$F$301,2,FALSE))^2+(VLOOKUP(AP$1,DATA!$A$3:$F$301,3,FALSE)-VLOOKUP($A100,DATA!$A$3:$F$301,3,FALSE))^2),"")</f>
        <v/>
      </c>
      <c r="AQ100" s="14" t="str">
        <f>_xlfn.IFNA(SQRT((VLOOKUP(AQ$1,DATA!$A$3:$F$301,2,FALSE)-VLOOKUP($A100,DATA!$A$3:$F$301,2,FALSE))^2+(VLOOKUP(AQ$1,DATA!$A$3:$F$301,3,FALSE)-VLOOKUP($A100,DATA!$A$3:$F$301,3,FALSE))^2),"")</f>
        <v/>
      </c>
      <c r="AR100" s="14" t="str">
        <f>_xlfn.IFNA(SQRT((VLOOKUP(AR$1,DATA!$A$3:$F$301,2,FALSE)-VLOOKUP($A100,DATA!$A$3:$F$301,2,FALSE))^2+(VLOOKUP(AR$1,DATA!$A$3:$F$301,3,FALSE)-VLOOKUP($A100,DATA!$A$3:$F$301,3,FALSE))^2),"")</f>
        <v/>
      </c>
      <c r="AS100" s="14" t="str">
        <f>_xlfn.IFNA(SQRT((VLOOKUP(AS$1,DATA!$A$3:$F$301,2,FALSE)-VLOOKUP($A100,DATA!$A$3:$F$301,2,FALSE))^2+(VLOOKUP(AS$1,DATA!$A$3:$F$301,3,FALSE)-VLOOKUP($A100,DATA!$A$3:$F$301,3,FALSE))^2),"")</f>
        <v/>
      </c>
      <c r="AT100" s="14" t="str">
        <f>_xlfn.IFNA(SQRT((VLOOKUP(AT$1,DATA!$A$3:$F$301,2,FALSE)-VLOOKUP($A100,DATA!$A$3:$F$301,2,FALSE))^2+(VLOOKUP(AT$1,DATA!$A$3:$F$301,3,FALSE)-VLOOKUP($A100,DATA!$A$3:$F$301,3,FALSE))^2),"")</f>
        <v/>
      </c>
      <c r="AU100" s="14" t="str">
        <f>_xlfn.IFNA(SQRT((VLOOKUP(AU$1,DATA!$A$3:$F$301,2,FALSE)-VLOOKUP($A100,DATA!$A$3:$F$301,2,FALSE))^2+(VLOOKUP(AU$1,DATA!$A$3:$F$301,3,FALSE)-VLOOKUP($A100,DATA!$A$3:$F$301,3,FALSE))^2),"")</f>
        <v/>
      </c>
      <c r="AV100" s="14" t="str">
        <f>_xlfn.IFNA(SQRT((VLOOKUP(AV$1,DATA!$A$3:$F$301,2,FALSE)-VLOOKUP($A100,DATA!$A$3:$F$301,2,FALSE))^2+(VLOOKUP(AV$1,DATA!$A$3:$F$301,3,FALSE)-VLOOKUP($A100,DATA!$A$3:$F$301,3,FALSE))^2),"")</f>
        <v/>
      </c>
      <c r="AW100" s="14" t="str">
        <f>_xlfn.IFNA(SQRT((VLOOKUP(AW$1,DATA!$A$3:$F$301,2,FALSE)-VLOOKUP($A100,DATA!$A$3:$F$301,2,FALSE))^2+(VLOOKUP(AW$1,DATA!$A$3:$F$301,3,FALSE)-VLOOKUP($A100,DATA!$A$3:$F$301,3,FALSE))^2),"")</f>
        <v/>
      </c>
      <c r="AX100" s="14" t="str">
        <f>_xlfn.IFNA(SQRT((VLOOKUP(AX$1,DATA!$A$3:$F$301,2,FALSE)-VLOOKUP($A100,DATA!$A$3:$F$301,2,FALSE))^2+(VLOOKUP(AX$1,DATA!$A$3:$F$301,3,FALSE)-VLOOKUP($A100,DATA!$A$3:$F$301,3,FALSE))^2),"")</f>
        <v/>
      </c>
      <c r="AY100" s="14" t="str">
        <f>_xlfn.IFNA(SQRT((VLOOKUP(AY$1,DATA!$A$3:$F$301,2,FALSE)-VLOOKUP($A100,DATA!$A$3:$F$301,2,FALSE))^2+(VLOOKUP(AY$1,DATA!$A$3:$F$301,3,FALSE)-VLOOKUP($A100,DATA!$A$3:$F$301,3,FALSE))^2),"")</f>
        <v/>
      </c>
      <c r="AZ100" s="14" t="str">
        <f>_xlfn.IFNA(SQRT((VLOOKUP(AZ$1,DATA!$A$3:$F$301,2,FALSE)-VLOOKUP($A100,DATA!$A$3:$F$301,2,FALSE))^2+(VLOOKUP(AZ$1,DATA!$A$3:$F$301,3,FALSE)-VLOOKUP($A100,DATA!$A$3:$F$301,3,FALSE))^2),"")</f>
        <v/>
      </c>
      <c r="BA100" s="14" t="str">
        <f>_xlfn.IFNA(SQRT((VLOOKUP(BA$1,DATA!$A$3:$F$301,2,FALSE)-VLOOKUP($A100,DATA!$A$3:$F$301,2,FALSE))^2+(VLOOKUP(BA$1,DATA!$A$3:$F$301,3,FALSE)-VLOOKUP($A100,DATA!$A$3:$F$301,3,FALSE))^2),"")</f>
        <v/>
      </c>
      <c r="BB100" s="14" t="str">
        <f>_xlfn.IFNA(SQRT((VLOOKUP(BB$1,DATA!$A$3:$F$301,2,FALSE)-VLOOKUP($A100,DATA!$A$3:$F$301,2,FALSE))^2+(VLOOKUP(BB$1,DATA!$A$3:$F$301,3,FALSE)-VLOOKUP($A100,DATA!$A$3:$F$301,3,FALSE))^2),"")</f>
        <v/>
      </c>
      <c r="BC100" s="14" t="str">
        <f>_xlfn.IFNA(SQRT((VLOOKUP(BC$1,DATA!$A$3:$F$301,2,FALSE)-VLOOKUP($A100,DATA!$A$3:$F$301,2,FALSE))^2+(VLOOKUP(BC$1,DATA!$A$3:$F$301,3,FALSE)-VLOOKUP($A100,DATA!$A$3:$F$301,3,FALSE))^2),"")</f>
        <v/>
      </c>
      <c r="BD100" s="14" t="str">
        <f>_xlfn.IFNA(SQRT((VLOOKUP(BD$1,DATA!$A$3:$F$301,2,FALSE)-VLOOKUP($A100,DATA!$A$3:$F$301,2,FALSE))^2+(VLOOKUP(BD$1,DATA!$A$3:$F$301,3,FALSE)-VLOOKUP($A100,DATA!$A$3:$F$301,3,FALSE))^2),"")</f>
        <v/>
      </c>
      <c r="BE100" s="14" t="str">
        <f>_xlfn.IFNA(SQRT((VLOOKUP(BE$1,DATA!$A$3:$F$301,2,FALSE)-VLOOKUP($A100,DATA!$A$3:$F$301,2,FALSE))^2+(VLOOKUP(BE$1,DATA!$A$3:$F$301,3,FALSE)-VLOOKUP($A100,DATA!$A$3:$F$301,3,FALSE))^2),"")</f>
        <v/>
      </c>
      <c r="BF100" s="14" t="str">
        <f>_xlfn.IFNA(SQRT((VLOOKUP(BF$1,DATA!$A$3:$F$301,2,FALSE)-VLOOKUP($A100,DATA!$A$3:$F$301,2,FALSE))^2+(VLOOKUP(BF$1,DATA!$A$3:$F$301,3,FALSE)-VLOOKUP($A100,DATA!$A$3:$F$301,3,FALSE))^2),"")</f>
        <v/>
      </c>
      <c r="BG100" s="14" t="str">
        <f>_xlfn.IFNA(SQRT((VLOOKUP(BG$1,DATA!$A$3:$F$301,2,FALSE)-VLOOKUP($A100,DATA!$A$3:$F$301,2,FALSE))^2+(VLOOKUP(BG$1,DATA!$A$3:$F$301,3,FALSE)-VLOOKUP($A100,DATA!$A$3:$F$301,3,FALSE))^2),"")</f>
        <v/>
      </c>
      <c r="BH100" s="14" t="str">
        <f>_xlfn.IFNA(SQRT((VLOOKUP(BH$1,DATA!$A$3:$F$301,2,FALSE)-VLOOKUP($A100,DATA!$A$3:$F$301,2,FALSE))^2+(VLOOKUP(BH$1,DATA!$A$3:$F$301,3,FALSE)-VLOOKUP($A100,DATA!$A$3:$F$301,3,FALSE))^2),"")</f>
        <v/>
      </c>
      <c r="BI100" s="14" t="str">
        <f>_xlfn.IFNA(SQRT((VLOOKUP(BI$1,DATA!$A$3:$F$301,2,FALSE)-VLOOKUP($A100,DATA!$A$3:$F$301,2,FALSE))^2+(VLOOKUP(BI$1,DATA!$A$3:$F$301,3,FALSE)-VLOOKUP($A100,DATA!$A$3:$F$301,3,FALSE))^2),"")</f>
        <v/>
      </c>
      <c r="BJ100" s="14" t="str">
        <f>_xlfn.IFNA(SQRT((VLOOKUP(BJ$1,DATA!$A$3:$F$301,2,FALSE)-VLOOKUP($A100,DATA!$A$3:$F$301,2,FALSE))^2+(VLOOKUP(BJ$1,DATA!$A$3:$F$301,3,FALSE)-VLOOKUP($A100,DATA!$A$3:$F$301,3,FALSE))^2),"")</f>
        <v/>
      </c>
      <c r="BK100" s="14" t="str">
        <f>_xlfn.IFNA(SQRT((VLOOKUP(BK$1,DATA!$A$3:$F$301,2,FALSE)-VLOOKUP($A100,DATA!$A$3:$F$301,2,FALSE))^2+(VLOOKUP(BK$1,DATA!$A$3:$F$301,3,FALSE)-VLOOKUP($A100,DATA!$A$3:$F$301,3,FALSE))^2),"")</f>
        <v/>
      </c>
      <c r="BL100" s="14" t="str">
        <f>_xlfn.IFNA(SQRT((VLOOKUP(BL$1,DATA!$A$3:$F$301,2,FALSE)-VLOOKUP($A100,DATA!$A$3:$F$301,2,FALSE))^2+(VLOOKUP(BL$1,DATA!$A$3:$F$301,3,FALSE)-VLOOKUP($A100,DATA!$A$3:$F$301,3,FALSE))^2),"")</f>
        <v/>
      </c>
      <c r="BM100" s="14" t="str">
        <f>_xlfn.IFNA(SQRT((VLOOKUP(BM$1,DATA!$A$3:$F$301,2,FALSE)-VLOOKUP($A100,DATA!$A$3:$F$301,2,FALSE))^2+(VLOOKUP(BM$1,DATA!$A$3:$F$301,3,FALSE)-VLOOKUP($A100,DATA!$A$3:$F$301,3,FALSE))^2),"")</f>
        <v/>
      </c>
      <c r="BN100" s="14" t="str">
        <f>_xlfn.IFNA(SQRT((VLOOKUP(BN$1,DATA!$A$3:$F$301,2,FALSE)-VLOOKUP($A100,DATA!$A$3:$F$301,2,FALSE))^2+(VLOOKUP(BN$1,DATA!$A$3:$F$301,3,FALSE)-VLOOKUP($A100,DATA!$A$3:$F$301,3,FALSE))^2),"")</f>
        <v/>
      </c>
      <c r="BO100" s="14" t="str">
        <f>_xlfn.IFNA(SQRT((VLOOKUP(BO$1,DATA!$A$3:$F$301,2,FALSE)-VLOOKUP($A100,DATA!$A$3:$F$301,2,FALSE))^2+(VLOOKUP(BO$1,DATA!$A$3:$F$301,3,FALSE)-VLOOKUP($A100,DATA!$A$3:$F$301,3,FALSE))^2),"")</f>
        <v/>
      </c>
      <c r="BP100" s="14" t="str">
        <f>_xlfn.IFNA(SQRT((VLOOKUP(BP$1,DATA!$A$3:$F$301,2,FALSE)-VLOOKUP($A100,DATA!$A$3:$F$301,2,FALSE))^2+(VLOOKUP(BP$1,DATA!$A$3:$F$301,3,FALSE)-VLOOKUP($A100,DATA!$A$3:$F$301,3,FALSE))^2),"")</f>
        <v/>
      </c>
      <c r="BQ100" s="14" t="str">
        <f>_xlfn.IFNA(SQRT((VLOOKUP(BQ$1,DATA!$A$3:$F$301,2,FALSE)-VLOOKUP($A100,DATA!$A$3:$F$301,2,FALSE))^2+(VLOOKUP(BQ$1,DATA!$A$3:$F$301,3,FALSE)-VLOOKUP($A100,DATA!$A$3:$F$301,3,FALSE))^2),"")</f>
        <v/>
      </c>
      <c r="BR100" s="14" t="str">
        <f>_xlfn.IFNA(SQRT((VLOOKUP(BR$1,DATA!$A$3:$F$301,2,FALSE)-VLOOKUP($A100,DATA!$A$3:$F$301,2,FALSE))^2+(VLOOKUP(BR$1,DATA!$A$3:$F$301,3,FALSE)-VLOOKUP($A100,DATA!$A$3:$F$301,3,FALSE))^2),"")</f>
        <v/>
      </c>
      <c r="BS100" s="14" t="str">
        <f>_xlfn.IFNA(SQRT((VLOOKUP(BS$1,DATA!$A$3:$F$301,2,FALSE)-VLOOKUP($A100,DATA!$A$3:$F$301,2,FALSE))^2+(VLOOKUP(BS$1,DATA!$A$3:$F$301,3,FALSE)-VLOOKUP($A100,DATA!$A$3:$F$301,3,FALSE))^2),"")</f>
        <v/>
      </c>
      <c r="BT100" s="14" t="str">
        <f>_xlfn.IFNA(SQRT((VLOOKUP(BT$1,DATA!$A$3:$F$301,2,FALSE)-VLOOKUP($A100,DATA!$A$3:$F$301,2,FALSE))^2+(VLOOKUP(BT$1,DATA!$A$3:$F$301,3,FALSE)-VLOOKUP($A100,DATA!$A$3:$F$301,3,FALSE))^2),"")</f>
        <v/>
      </c>
      <c r="BU100" s="14" t="str">
        <f>_xlfn.IFNA(SQRT((VLOOKUP(BU$1,DATA!$A$3:$F$301,2,FALSE)-VLOOKUP($A100,DATA!$A$3:$F$301,2,FALSE))^2+(VLOOKUP(BU$1,DATA!$A$3:$F$301,3,FALSE)-VLOOKUP($A100,DATA!$A$3:$F$301,3,FALSE))^2),"")</f>
        <v/>
      </c>
      <c r="BV100" s="14" t="str">
        <f>_xlfn.IFNA(SQRT((VLOOKUP(BV$1,DATA!$A$3:$F$301,2,FALSE)-VLOOKUP($A100,DATA!$A$3:$F$301,2,FALSE))^2+(VLOOKUP(BV$1,DATA!$A$3:$F$301,3,FALSE)-VLOOKUP($A100,DATA!$A$3:$F$301,3,FALSE))^2),"")</f>
        <v/>
      </c>
      <c r="BW100" s="14" t="str">
        <f>_xlfn.IFNA(SQRT((VLOOKUP(BW$1,DATA!$A$3:$F$301,2,FALSE)-VLOOKUP($A100,DATA!$A$3:$F$301,2,FALSE))^2+(VLOOKUP(BW$1,DATA!$A$3:$F$301,3,FALSE)-VLOOKUP($A100,DATA!$A$3:$F$301,3,FALSE))^2),"")</f>
        <v/>
      </c>
      <c r="BX100" s="14" t="str">
        <f>_xlfn.IFNA(SQRT((VLOOKUP(BX$1,DATA!$A$3:$F$301,2,FALSE)-VLOOKUP($A100,DATA!$A$3:$F$301,2,FALSE))^2+(VLOOKUP(BX$1,DATA!$A$3:$F$301,3,FALSE)-VLOOKUP($A100,DATA!$A$3:$F$301,3,FALSE))^2),"")</f>
        <v/>
      </c>
      <c r="BY100" s="14" t="str">
        <f>_xlfn.IFNA(SQRT((VLOOKUP(BY$1,DATA!$A$3:$F$301,2,FALSE)-VLOOKUP($A100,DATA!$A$3:$F$301,2,FALSE))^2+(VLOOKUP(BY$1,DATA!$A$3:$F$301,3,FALSE)-VLOOKUP($A100,DATA!$A$3:$F$301,3,FALSE))^2),"")</f>
        <v/>
      </c>
      <c r="BZ100" s="14" t="str">
        <f>_xlfn.IFNA(SQRT((VLOOKUP(BZ$1,DATA!$A$3:$F$301,2,FALSE)-VLOOKUP($A100,DATA!$A$3:$F$301,2,FALSE))^2+(VLOOKUP(BZ$1,DATA!$A$3:$F$301,3,FALSE)-VLOOKUP($A100,DATA!$A$3:$F$301,3,FALSE))^2),"")</f>
        <v/>
      </c>
      <c r="CA100" s="14" t="str">
        <f>_xlfn.IFNA(SQRT((VLOOKUP(CA$1,DATA!$A$3:$F$301,2,FALSE)-VLOOKUP($A100,DATA!$A$3:$F$301,2,FALSE))^2+(VLOOKUP(CA$1,DATA!$A$3:$F$301,3,FALSE)-VLOOKUP($A100,DATA!$A$3:$F$301,3,FALSE))^2),"")</f>
        <v/>
      </c>
      <c r="CB100" s="14" t="str">
        <f>_xlfn.IFNA(SQRT((VLOOKUP(CB$1,DATA!$A$3:$F$301,2,FALSE)-VLOOKUP($A100,DATA!$A$3:$F$301,2,FALSE))^2+(VLOOKUP(CB$1,DATA!$A$3:$F$301,3,FALSE)-VLOOKUP($A100,DATA!$A$3:$F$301,3,FALSE))^2),"")</f>
        <v/>
      </c>
      <c r="CC100" s="14" t="str">
        <f>_xlfn.IFNA(SQRT((VLOOKUP(CC$1,DATA!$A$3:$F$301,2,FALSE)-VLOOKUP($A100,DATA!$A$3:$F$301,2,FALSE))^2+(VLOOKUP(CC$1,DATA!$A$3:$F$301,3,FALSE)-VLOOKUP($A100,DATA!$A$3:$F$301,3,FALSE))^2),"")</f>
        <v/>
      </c>
      <c r="CD100" s="14" t="str">
        <f>_xlfn.IFNA(SQRT((VLOOKUP(CD$1,DATA!$A$3:$F$301,2,FALSE)-VLOOKUP($A100,DATA!$A$3:$F$301,2,FALSE))^2+(VLOOKUP(CD$1,DATA!$A$3:$F$301,3,FALSE)-VLOOKUP($A100,DATA!$A$3:$F$301,3,FALSE))^2),"")</f>
        <v/>
      </c>
      <c r="CE100" s="14" t="str">
        <f>_xlfn.IFNA(SQRT((VLOOKUP(CE$1,DATA!$A$3:$F$301,2,FALSE)-VLOOKUP($A100,DATA!$A$3:$F$301,2,FALSE))^2+(VLOOKUP(CE$1,DATA!$A$3:$F$301,3,FALSE)-VLOOKUP($A100,DATA!$A$3:$F$301,3,FALSE))^2),"")</f>
        <v/>
      </c>
      <c r="CF100" s="14" t="str">
        <f>_xlfn.IFNA(SQRT((VLOOKUP(CF$1,DATA!$A$3:$F$301,2,FALSE)-VLOOKUP($A100,DATA!$A$3:$F$301,2,FALSE))^2+(VLOOKUP(CF$1,DATA!$A$3:$F$301,3,FALSE)-VLOOKUP($A100,DATA!$A$3:$F$301,3,FALSE))^2),"")</f>
        <v/>
      </c>
      <c r="CG100" s="14" t="str">
        <f>_xlfn.IFNA(SQRT((VLOOKUP(CG$1,DATA!$A$3:$F$301,2,FALSE)-VLOOKUP($A100,DATA!$A$3:$F$301,2,FALSE))^2+(VLOOKUP(CG$1,DATA!$A$3:$F$301,3,FALSE)-VLOOKUP($A100,DATA!$A$3:$F$301,3,FALSE))^2),"")</f>
        <v/>
      </c>
      <c r="CH100" s="14" t="str">
        <f>_xlfn.IFNA(SQRT((VLOOKUP(CH$1,DATA!$A$3:$F$301,2,FALSE)-VLOOKUP($A100,DATA!$A$3:$F$301,2,FALSE))^2+(VLOOKUP(CH$1,DATA!$A$3:$F$301,3,FALSE)-VLOOKUP($A100,DATA!$A$3:$F$301,3,FALSE))^2),"")</f>
        <v/>
      </c>
      <c r="CI100" s="14" t="str">
        <f>_xlfn.IFNA(SQRT((VLOOKUP(CI$1,DATA!$A$3:$F$301,2,FALSE)-VLOOKUP($A100,DATA!$A$3:$F$301,2,FALSE))^2+(VLOOKUP(CI$1,DATA!$A$3:$F$301,3,FALSE)-VLOOKUP($A100,DATA!$A$3:$F$301,3,FALSE))^2),"")</f>
        <v/>
      </c>
      <c r="CJ100" s="14" t="str">
        <f>_xlfn.IFNA(SQRT((VLOOKUP(CJ$1,DATA!$A$3:$F$301,2,FALSE)-VLOOKUP($A100,DATA!$A$3:$F$301,2,FALSE))^2+(VLOOKUP(CJ$1,DATA!$A$3:$F$301,3,FALSE)-VLOOKUP($A100,DATA!$A$3:$F$301,3,FALSE))^2),"")</f>
        <v/>
      </c>
      <c r="CK100" s="14" t="str">
        <f>_xlfn.IFNA(SQRT((VLOOKUP(CK$1,DATA!$A$3:$F$301,2,FALSE)-VLOOKUP($A100,DATA!$A$3:$F$301,2,FALSE))^2+(VLOOKUP(CK$1,DATA!$A$3:$F$301,3,FALSE)-VLOOKUP($A100,DATA!$A$3:$F$301,3,FALSE))^2),"")</f>
        <v/>
      </c>
      <c r="CL100" s="14" t="str">
        <f>_xlfn.IFNA(SQRT((VLOOKUP(CL$1,DATA!$A$3:$F$301,2,FALSE)-VLOOKUP($A100,DATA!$A$3:$F$301,2,FALSE))^2+(VLOOKUP(CL$1,DATA!$A$3:$F$301,3,FALSE)-VLOOKUP($A100,DATA!$A$3:$F$301,3,FALSE))^2),"")</f>
        <v/>
      </c>
      <c r="CM100" s="14" t="str">
        <f>_xlfn.IFNA(SQRT((VLOOKUP(CM$1,DATA!$A$3:$F$301,2,FALSE)-VLOOKUP($A100,DATA!$A$3:$F$301,2,FALSE))^2+(VLOOKUP(CM$1,DATA!$A$3:$F$301,3,FALSE)-VLOOKUP($A100,DATA!$A$3:$F$301,3,FALSE))^2),"")</f>
        <v/>
      </c>
      <c r="CN100" s="14" t="str">
        <f>_xlfn.IFNA(SQRT((VLOOKUP(CN$1,DATA!$A$3:$F$301,2,FALSE)-VLOOKUP($A100,DATA!$A$3:$F$301,2,FALSE))^2+(VLOOKUP(CN$1,DATA!$A$3:$F$301,3,FALSE)-VLOOKUP($A100,DATA!$A$3:$F$301,3,FALSE))^2),"")</f>
        <v/>
      </c>
      <c r="CO100" s="14" t="str">
        <f>_xlfn.IFNA(SQRT((VLOOKUP(CO$1,DATA!$A$3:$F$301,2,FALSE)-VLOOKUP($A100,DATA!$A$3:$F$301,2,FALSE))^2+(VLOOKUP(CO$1,DATA!$A$3:$F$301,3,FALSE)-VLOOKUP($A100,DATA!$A$3:$F$301,3,FALSE))^2),"")</f>
        <v/>
      </c>
      <c r="CP100" s="14" t="str">
        <f>_xlfn.IFNA(SQRT((VLOOKUP(CP$1,DATA!$A$3:$F$301,2,FALSE)-VLOOKUP($A100,DATA!$A$3:$F$301,2,FALSE))^2+(VLOOKUP(CP$1,DATA!$A$3:$F$301,3,FALSE)-VLOOKUP($A100,DATA!$A$3:$F$301,3,FALSE))^2),"")</f>
        <v/>
      </c>
      <c r="CQ100" s="14" t="str">
        <f>_xlfn.IFNA(SQRT((VLOOKUP(CQ$1,DATA!$A$3:$F$301,2,FALSE)-VLOOKUP($A100,DATA!$A$3:$F$301,2,FALSE))^2+(VLOOKUP(CQ$1,DATA!$A$3:$F$301,3,FALSE)-VLOOKUP($A100,DATA!$A$3:$F$301,3,FALSE))^2),"")</f>
        <v/>
      </c>
      <c r="CR100" s="14" t="str">
        <f>_xlfn.IFNA(SQRT((VLOOKUP(CR$1,DATA!$A$3:$F$301,2,FALSE)-VLOOKUP($A100,DATA!$A$3:$F$301,2,FALSE))^2+(VLOOKUP(CR$1,DATA!$A$3:$F$301,3,FALSE)-VLOOKUP($A100,DATA!$A$3:$F$301,3,FALSE))^2),"")</f>
        <v/>
      </c>
      <c r="CS100" s="14" t="str">
        <f>_xlfn.IFNA(SQRT((VLOOKUP(CS$1,DATA!$A$3:$F$301,2,FALSE)-VLOOKUP($A100,DATA!$A$3:$F$301,2,FALSE))^2+(VLOOKUP(CS$1,DATA!$A$3:$F$301,3,FALSE)-VLOOKUP($A100,DATA!$A$3:$F$301,3,FALSE))^2),"")</f>
        <v/>
      </c>
      <c r="CT100" s="14" t="str">
        <f>_xlfn.IFNA(SQRT((VLOOKUP(CT$1,DATA!$A$3:$F$301,2,FALSE)-VLOOKUP($A100,DATA!$A$3:$F$301,2,FALSE))^2+(VLOOKUP(CT$1,DATA!$A$3:$F$301,3,FALSE)-VLOOKUP($A100,DATA!$A$3:$F$301,3,FALSE))^2),"")</f>
        <v/>
      </c>
      <c r="CU100" s="14" t="str">
        <f>_xlfn.IFNA(SQRT((VLOOKUP(CU$1,DATA!$A$3:$F$301,2,FALSE)-VLOOKUP($A100,DATA!$A$3:$F$301,2,FALSE))^2+(VLOOKUP(CU$1,DATA!$A$3:$F$301,3,FALSE)-VLOOKUP($A100,DATA!$A$3:$F$301,3,FALSE))^2),"")</f>
        <v/>
      </c>
      <c r="CV100" s="14" t="str">
        <f>_xlfn.IFNA(SQRT((VLOOKUP(CV$1,DATA!$A$3:$F$301,2,FALSE)-VLOOKUP($A100,DATA!$A$3:$F$301,2,FALSE))^2+(VLOOKUP(CV$1,DATA!$A$3:$F$301,3,FALSE)-VLOOKUP($A100,DATA!$A$3:$F$301,3,FALSE))^2),"")</f>
        <v/>
      </c>
      <c r="CW100" s="14" t="str">
        <f>_xlfn.IFNA(SQRT((VLOOKUP(CW$1,DATA!$A$3:$F$301,2,FALSE)-VLOOKUP($A100,DATA!$A$3:$F$301,2,FALSE))^2+(VLOOKUP(CW$1,DATA!$A$3:$F$301,3,FALSE)-VLOOKUP($A100,DATA!$A$3:$F$301,3,FALSE))^2),"")</f>
        <v/>
      </c>
      <c r="CX100" s="14" t="str">
        <f>_xlfn.IFNA(SQRT((VLOOKUP(CX$1,DATA!$A$3:$F$301,2,FALSE)-VLOOKUP($A100,DATA!$A$3:$F$301,2,FALSE))^2+(VLOOKUP(CX$1,DATA!$A$3:$F$301,3,FALSE)-VLOOKUP($A100,DATA!$A$3:$F$301,3,FALSE))^2),"")</f>
        <v/>
      </c>
    </row>
    <row r="101" spans="1:102">
      <c r="A101" s="13">
        <v>100</v>
      </c>
      <c r="B101" s="14" t="str">
        <f>_xlfn.IFNA(SQRT((VLOOKUP(B$1,DATA!$A$3:$F$301,2,FALSE)-VLOOKUP($A101,DATA!$A$3:$F$301,2,FALSE))^2+(VLOOKUP(B$1,DATA!$A$3:$F$301,3,FALSE)-VLOOKUP($A101,DATA!$A$3:$F$301,3,FALSE))^2),"")</f>
        <v/>
      </c>
      <c r="C101" s="14" t="str">
        <f>_xlfn.IFNA(SQRT((VLOOKUP(C$1,DATA!$A$3:$F$301,2,FALSE)-VLOOKUP($A101,DATA!$A$3:$F$301,2,FALSE))^2+(VLOOKUP(C$1,DATA!$A$3:$F$301,3,FALSE)-VLOOKUP($A101,DATA!$A$3:$F$301,3,FALSE))^2),"")</f>
        <v/>
      </c>
      <c r="D101" s="14" t="str">
        <f>_xlfn.IFNA(SQRT((VLOOKUP(D$1,DATA!$A$3:$F$301,2,FALSE)-VLOOKUP($A101,DATA!$A$3:$F$301,2,FALSE))^2+(VLOOKUP(D$1,DATA!$A$3:$F$301,3,FALSE)-VLOOKUP($A101,DATA!$A$3:$F$301,3,FALSE))^2),"")</f>
        <v/>
      </c>
      <c r="E101" s="14" t="str">
        <f>_xlfn.IFNA(SQRT((VLOOKUP(E$1,DATA!$A$3:$F$301,2,FALSE)-VLOOKUP($A101,DATA!$A$3:$F$301,2,FALSE))^2+(VLOOKUP(E$1,DATA!$A$3:$F$301,3,FALSE)-VLOOKUP($A101,DATA!$A$3:$F$301,3,FALSE))^2),"")</f>
        <v/>
      </c>
      <c r="F101" s="14" t="str">
        <f>_xlfn.IFNA(SQRT((VLOOKUP(F$1,DATA!$A$3:$F$301,2,FALSE)-VLOOKUP($A101,DATA!$A$3:$F$301,2,FALSE))^2+(VLOOKUP(F$1,DATA!$A$3:$F$301,3,FALSE)-VLOOKUP($A101,DATA!$A$3:$F$301,3,FALSE))^2),"")</f>
        <v/>
      </c>
      <c r="G101" s="14" t="str">
        <f>_xlfn.IFNA(SQRT((VLOOKUP(G$1,DATA!$A$3:$F$301,2,FALSE)-VLOOKUP($A101,DATA!$A$3:$F$301,2,FALSE))^2+(VLOOKUP(G$1,DATA!$A$3:$F$301,3,FALSE)-VLOOKUP($A101,DATA!$A$3:$F$301,3,FALSE))^2),"")</f>
        <v/>
      </c>
      <c r="H101" s="14" t="str">
        <f>_xlfn.IFNA(SQRT((VLOOKUP(H$1,DATA!$A$3:$F$301,2,FALSE)-VLOOKUP($A101,DATA!$A$3:$F$301,2,FALSE))^2+(VLOOKUP(H$1,DATA!$A$3:$F$301,3,FALSE)-VLOOKUP($A101,DATA!$A$3:$F$301,3,FALSE))^2),"")</f>
        <v/>
      </c>
      <c r="I101" s="14" t="str">
        <f>_xlfn.IFNA(SQRT((VLOOKUP(I$1,DATA!$A$3:$F$301,2,FALSE)-VLOOKUP($A101,DATA!$A$3:$F$301,2,FALSE))^2+(VLOOKUP(I$1,DATA!$A$3:$F$301,3,FALSE)-VLOOKUP($A101,DATA!$A$3:$F$301,3,FALSE))^2),"")</f>
        <v/>
      </c>
      <c r="J101" s="14" t="str">
        <f>_xlfn.IFNA(SQRT((VLOOKUP(J$1,DATA!$A$3:$F$301,2,FALSE)-VLOOKUP($A101,DATA!$A$3:$F$301,2,FALSE))^2+(VLOOKUP(J$1,DATA!$A$3:$F$301,3,FALSE)-VLOOKUP($A101,DATA!$A$3:$F$301,3,FALSE))^2),"")</f>
        <v/>
      </c>
      <c r="K101" s="14" t="str">
        <f>_xlfn.IFNA(SQRT((VLOOKUP(K$1,DATA!$A$3:$F$301,2,FALSE)-VLOOKUP($A101,DATA!$A$3:$F$301,2,FALSE))^2+(VLOOKUP(K$1,DATA!$A$3:$F$301,3,FALSE)-VLOOKUP($A101,DATA!$A$3:$F$301,3,FALSE))^2),"")</f>
        <v/>
      </c>
      <c r="L101" s="14" t="str">
        <f>_xlfn.IFNA(SQRT((VLOOKUP(L$1,DATA!$A$3:$F$301,2,FALSE)-VLOOKUP($A101,DATA!$A$3:$F$301,2,FALSE))^2+(VLOOKUP(L$1,DATA!$A$3:$F$301,3,FALSE)-VLOOKUP($A101,DATA!$A$3:$F$301,3,FALSE))^2),"")</f>
        <v/>
      </c>
      <c r="M101" s="14" t="str">
        <f>_xlfn.IFNA(SQRT((VLOOKUP(M$1,DATA!$A$3:$F$301,2,FALSE)-VLOOKUP($A101,DATA!$A$3:$F$301,2,FALSE))^2+(VLOOKUP(M$1,DATA!$A$3:$F$301,3,FALSE)-VLOOKUP($A101,DATA!$A$3:$F$301,3,FALSE))^2),"")</f>
        <v/>
      </c>
      <c r="N101" s="14" t="str">
        <f>_xlfn.IFNA(SQRT((VLOOKUP(N$1,DATA!$A$3:$F$301,2,FALSE)-VLOOKUP($A101,DATA!$A$3:$F$301,2,FALSE))^2+(VLOOKUP(N$1,DATA!$A$3:$F$301,3,FALSE)-VLOOKUP($A101,DATA!$A$3:$F$301,3,FALSE))^2),"")</f>
        <v/>
      </c>
      <c r="O101" s="14" t="str">
        <f>_xlfn.IFNA(SQRT((VLOOKUP(O$1,DATA!$A$3:$F$301,2,FALSE)-VLOOKUP($A101,DATA!$A$3:$F$301,2,FALSE))^2+(VLOOKUP(O$1,DATA!$A$3:$F$301,3,FALSE)-VLOOKUP($A101,DATA!$A$3:$F$301,3,FALSE))^2),"")</f>
        <v/>
      </c>
      <c r="P101" s="14" t="str">
        <f>_xlfn.IFNA(SQRT((VLOOKUP(P$1,DATA!$A$3:$F$301,2,FALSE)-VLOOKUP($A101,DATA!$A$3:$F$301,2,FALSE))^2+(VLOOKUP(P$1,DATA!$A$3:$F$301,3,FALSE)-VLOOKUP($A101,DATA!$A$3:$F$301,3,FALSE))^2),"")</f>
        <v/>
      </c>
      <c r="Q101" s="14" t="str">
        <f>_xlfn.IFNA(SQRT((VLOOKUP(Q$1,DATA!$A$3:$F$301,2,FALSE)-VLOOKUP($A101,DATA!$A$3:$F$301,2,FALSE))^2+(VLOOKUP(Q$1,DATA!$A$3:$F$301,3,FALSE)-VLOOKUP($A101,DATA!$A$3:$F$301,3,FALSE))^2),"")</f>
        <v/>
      </c>
      <c r="R101" s="14" t="str">
        <f>_xlfn.IFNA(SQRT((VLOOKUP(R$1,DATA!$A$3:$F$301,2,FALSE)-VLOOKUP($A101,DATA!$A$3:$F$301,2,FALSE))^2+(VLOOKUP(R$1,DATA!$A$3:$F$301,3,FALSE)-VLOOKUP($A101,DATA!$A$3:$F$301,3,FALSE))^2),"")</f>
        <v/>
      </c>
      <c r="S101" s="14" t="str">
        <f>_xlfn.IFNA(SQRT((VLOOKUP(S$1,DATA!$A$3:$F$301,2,FALSE)-VLOOKUP($A101,DATA!$A$3:$F$301,2,FALSE))^2+(VLOOKUP(S$1,DATA!$A$3:$F$301,3,FALSE)-VLOOKUP($A101,DATA!$A$3:$F$301,3,FALSE))^2),"")</f>
        <v/>
      </c>
      <c r="T101" s="14" t="str">
        <f>_xlfn.IFNA(SQRT((VLOOKUP(T$1,DATA!$A$3:$F$301,2,FALSE)-VLOOKUP($A101,DATA!$A$3:$F$301,2,FALSE))^2+(VLOOKUP(T$1,DATA!$A$3:$F$301,3,FALSE)-VLOOKUP($A101,DATA!$A$3:$F$301,3,FALSE))^2),"")</f>
        <v/>
      </c>
      <c r="U101" s="14" t="str">
        <f>_xlfn.IFNA(SQRT((VLOOKUP(U$1,DATA!$A$3:$F$301,2,FALSE)-VLOOKUP($A101,DATA!$A$3:$F$301,2,FALSE))^2+(VLOOKUP(U$1,DATA!$A$3:$F$301,3,FALSE)-VLOOKUP($A101,DATA!$A$3:$F$301,3,FALSE))^2),"")</f>
        <v/>
      </c>
      <c r="V101" s="14" t="str">
        <f>_xlfn.IFNA(SQRT((VLOOKUP(V$1,DATA!$A$3:$F$301,2,FALSE)-VLOOKUP($A101,DATA!$A$3:$F$301,2,FALSE))^2+(VLOOKUP(V$1,DATA!$A$3:$F$301,3,FALSE)-VLOOKUP($A101,DATA!$A$3:$F$301,3,FALSE))^2),"")</f>
        <v/>
      </c>
      <c r="W101" s="14" t="str">
        <f>_xlfn.IFNA(SQRT((VLOOKUP(W$1,DATA!$A$3:$F$301,2,FALSE)-VLOOKUP($A101,DATA!$A$3:$F$301,2,FALSE))^2+(VLOOKUP(W$1,DATA!$A$3:$F$301,3,FALSE)-VLOOKUP($A101,DATA!$A$3:$F$301,3,FALSE))^2),"")</f>
        <v/>
      </c>
      <c r="X101" s="14" t="str">
        <f>_xlfn.IFNA(SQRT((VLOOKUP(X$1,DATA!$A$3:$F$301,2,FALSE)-VLOOKUP($A101,DATA!$A$3:$F$301,2,FALSE))^2+(VLOOKUP(X$1,DATA!$A$3:$F$301,3,FALSE)-VLOOKUP($A101,DATA!$A$3:$F$301,3,FALSE))^2),"")</f>
        <v/>
      </c>
      <c r="Y101" s="14" t="str">
        <f>_xlfn.IFNA(SQRT((VLOOKUP(Y$1,DATA!$A$3:$F$301,2,FALSE)-VLOOKUP($A101,DATA!$A$3:$F$301,2,FALSE))^2+(VLOOKUP(Y$1,DATA!$A$3:$F$301,3,FALSE)-VLOOKUP($A101,DATA!$A$3:$F$301,3,FALSE))^2),"")</f>
        <v/>
      </c>
      <c r="Z101" s="14" t="str">
        <f>_xlfn.IFNA(SQRT((VLOOKUP(Z$1,DATA!$A$3:$F$301,2,FALSE)-VLOOKUP($A101,DATA!$A$3:$F$301,2,FALSE))^2+(VLOOKUP(Z$1,DATA!$A$3:$F$301,3,FALSE)-VLOOKUP($A101,DATA!$A$3:$F$301,3,FALSE))^2),"")</f>
        <v/>
      </c>
      <c r="AA101" s="14" t="str">
        <f>_xlfn.IFNA(SQRT((VLOOKUP(AA$1,DATA!$A$3:$F$301,2,FALSE)-VLOOKUP($A101,DATA!$A$3:$F$301,2,FALSE))^2+(VLOOKUP(AA$1,DATA!$A$3:$F$301,3,FALSE)-VLOOKUP($A101,DATA!$A$3:$F$301,3,FALSE))^2),"")</f>
        <v/>
      </c>
      <c r="AB101" s="14" t="str">
        <f>_xlfn.IFNA(SQRT((VLOOKUP(AB$1,DATA!$A$3:$F$301,2,FALSE)-VLOOKUP($A101,DATA!$A$3:$F$301,2,FALSE))^2+(VLOOKUP(AB$1,DATA!$A$3:$F$301,3,FALSE)-VLOOKUP($A101,DATA!$A$3:$F$301,3,FALSE))^2),"")</f>
        <v/>
      </c>
      <c r="AC101" s="14" t="str">
        <f>_xlfn.IFNA(SQRT((VLOOKUP(AC$1,DATA!$A$3:$F$301,2,FALSE)-VLOOKUP($A101,DATA!$A$3:$F$301,2,FALSE))^2+(VLOOKUP(AC$1,DATA!$A$3:$F$301,3,FALSE)-VLOOKUP($A101,DATA!$A$3:$F$301,3,FALSE))^2),"")</f>
        <v/>
      </c>
      <c r="AD101" s="14" t="str">
        <f>_xlfn.IFNA(SQRT((VLOOKUP(AD$1,DATA!$A$3:$F$301,2,FALSE)-VLOOKUP($A101,DATA!$A$3:$F$301,2,FALSE))^2+(VLOOKUP(AD$1,DATA!$A$3:$F$301,3,FALSE)-VLOOKUP($A101,DATA!$A$3:$F$301,3,FALSE))^2),"")</f>
        <v/>
      </c>
      <c r="AE101" s="14" t="str">
        <f>_xlfn.IFNA(SQRT((VLOOKUP(AE$1,DATA!$A$3:$F$301,2,FALSE)-VLOOKUP($A101,DATA!$A$3:$F$301,2,FALSE))^2+(VLOOKUP(AE$1,DATA!$A$3:$F$301,3,FALSE)-VLOOKUP($A101,DATA!$A$3:$F$301,3,FALSE))^2),"")</f>
        <v/>
      </c>
      <c r="AF101" s="14" t="str">
        <f>_xlfn.IFNA(SQRT((VLOOKUP(AF$1,DATA!$A$3:$F$301,2,FALSE)-VLOOKUP($A101,DATA!$A$3:$F$301,2,FALSE))^2+(VLOOKUP(AF$1,DATA!$A$3:$F$301,3,FALSE)-VLOOKUP($A101,DATA!$A$3:$F$301,3,FALSE))^2),"")</f>
        <v/>
      </c>
      <c r="AG101" s="14" t="str">
        <f>_xlfn.IFNA(SQRT((VLOOKUP(AG$1,DATA!$A$3:$F$301,2,FALSE)-VLOOKUP($A101,DATA!$A$3:$F$301,2,FALSE))^2+(VLOOKUP(AG$1,DATA!$A$3:$F$301,3,FALSE)-VLOOKUP($A101,DATA!$A$3:$F$301,3,FALSE))^2),"")</f>
        <v/>
      </c>
      <c r="AH101" s="14" t="str">
        <f>_xlfn.IFNA(SQRT((VLOOKUP(AH$1,DATA!$A$3:$F$301,2,FALSE)-VLOOKUP($A101,DATA!$A$3:$F$301,2,FALSE))^2+(VLOOKUP(AH$1,DATA!$A$3:$F$301,3,FALSE)-VLOOKUP($A101,DATA!$A$3:$F$301,3,FALSE))^2),"")</f>
        <v/>
      </c>
      <c r="AI101" s="14" t="str">
        <f>_xlfn.IFNA(SQRT((VLOOKUP(AI$1,DATA!$A$3:$F$301,2,FALSE)-VLOOKUP($A101,DATA!$A$3:$F$301,2,FALSE))^2+(VLOOKUP(AI$1,DATA!$A$3:$F$301,3,FALSE)-VLOOKUP($A101,DATA!$A$3:$F$301,3,FALSE))^2),"")</f>
        <v/>
      </c>
      <c r="AJ101" s="14" t="str">
        <f>_xlfn.IFNA(SQRT((VLOOKUP(AJ$1,DATA!$A$3:$F$301,2,FALSE)-VLOOKUP($A101,DATA!$A$3:$F$301,2,FALSE))^2+(VLOOKUP(AJ$1,DATA!$A$3:$F$301,3,FALSE)-VLOOKUP($A101,DATA!$A$3:$F$301,3,FALSE))^2),"")</f>
        <v/>
      </c>
      <c r="AK101" s="14" t="str">
        <f>_xlfn.IFNA(SQRT((VLOOKUP(AK$1,DATA!$A$3:$F$301,2,FALSE)-VLOOKUP($A101,DATA!$A$3:$F$301,2,FALSE))^2+(VLOOKUP(AK$1,DATA!$A$3:$F$301,3,FALSE)-VLOOKUP($A101,DATA!$A$3:$F$301,3,FALSE))^2),"")</f>
        <v/>
      </c>
      <c r="AL101" s="14" t="str">
        <f>_xlfn.IFNA(SQRT((VLOOKUP(AL$1,DATA!$A$3:$F$301,2,FALSE)-VLOOKUP($A101,DATA!$A$3:$F$301,2,FALSE))^2+(VLOOKUP(AL$1,DATA!$A$3:$F$301,3,FALSE)-VLOOKUP($A101,DATA!$A$3:$F$301,3,FALSE))^2),"")</f>
        <v/>
      </c>
      <c r="AM101" s="14" t="str">
        <f>_xlfn.IFNA(SQRT((VLOOKUP(AM$1,DATA!$A$3:$F$301,2,FALSE)-VLOOKUP($A101,DATA!$A$3:$F$301,2,FALSE))^2+(VLOOKUP(AM$1,DATA!$A$3:$F$301,3,FALSE)-VLOOKUP($A101,DATA!$A$3:$F$301,3,FALSE))^2),"")</f>
        <v/>
      </c>
      <c r="AN101" s="14" t="str">
        <f>_xlfn.IFNA(SQRT((VLOOKUP(AN$1,DATA!$A$3:$F$301,2,FALSE)-VLOOKUP($A101,DATA!$A$3:$F$301,2,FALSE))^2+(VLOOKUP(AN$1,DATA!$A$3:$F$301,3,FALSE)-VLOOKUP($A101,DATA!$A$3:$F$301,3,FALSE))^2),"")</f>
        <v/>
      </c>
      <c r="AO101" s="14" t="str">
        <f>_xlfn.IFNA(SQRT((VLOOKUP(AO$1,DATA!$A$3:$F$301,2,FALSE)-VLOOKUP($A101,DATA!$A$3:$F$301,2,FALSE))^2+(VLOOKUP(AO$1,DATA!$A$3:$F$301,3,FALSE)-VLOOKUP($A101,DATA!$A$3:$F$301,3,FALSE))^2),"")</f>
        <v/>
      </c>
      <c r="AP101" s="14" t="str">
        <f>_xlfn.IFNA(SQRT((VLOOKUP(AP$1,DATA!$A$3:$F$301,2,FALSE)-VLOOKUP($A101,DATA!$A$3:$F$301,2,FALSE))^2+(VLOOKUP(AP$1,DATA!$A$3:$F$301,3,FALSE)-VLOOKUP($A101,DATA!$A$3:$F$301,3,FALSE))^2),"")</f>
        <v/>
      </c>
      <c r="AQ101" s="14" t="str">
        <f>_xlfn.IFNA(SQRT((VLOOKUP(AQ$1,DATA!$A$3:$F$301,2,FALSE)-VLOOKUP($A101,DATA!$A$3:$F$301,2,FALSE))^2+(VLOOKUP(AQ$1,DATA!$A$3:$F$301,3,FALSE)-VLOOKUP($A101,DATA!$A$3:$F$301,3,FALSE))^2),"")</f>
        <v/>
      </c>
      <c r="AR101" s="14" t="str">
        <f>_xlfn.IFNA(SQRT((VLOOKUP(AR$1,DATA!$A$3:$F$301,2,FALSE)-VLOOKUP($A101,DATA!$A$3:$F$301,2,FALSE))^2+(VLOOKUP(AR$1,DATA!$A$3:$F$301,3,FALSE)-VLOOKUP($A101,DATA!$A$3:$F$301,3,FALSE))^2),"")</f>
        <v/>
      </c>
      <c r="AS101" s="14" t="str">
        <f>_xlfn.IFNA(SQRT((VLOOKUP(AS$1,DATA!$A$3:$F$301,2,FALSE)-VLOOKUP($A101,DATA!$A$3:$F$301,2,FALSE))^2+(VLOOKUP(AS$1,DATA!$A$3:$F$301,3,FALSE)-VLOOKUP($A101,DATA!$A$3:$F$301,3,FALSE))^2),"")</f>
        <v/>
      </c>
      <c r="AT101" s="14" t="str">
        <f>_xlfn.IFNA(SQRT((VLOOKUP(AT$1,DATA!$A$3:$F$301,2,FALSE)-VLOOKUP($A101,DATA!$A$3:$F$301,2,FALSE))^2+(VLOOKUP(AT$1,DATA!$A$3:$F$301,3,FALSE)-VLOOKUP($A101,DATA!$A$3:$F$301,3,FALSE))^2),"")</f>
        <v/>
      </c>
      <c r="AU101" s="14" t="str">
        <f>_xlfn.IFNA(SQRT((VLOOKUP(AU$1,DATA!$A$3:$F$301,2,FALSE)-VLOOKUP($A101,DATA!$A$3:$F$301,2,FALSE))^2+(VLOOKUP(AU$1,DATA!$A$3:$F$301,3,FALSE)-VLOOKUP($A101,DATA!$A$3:$F$301,3,FALSE))^2),"")</f>
        <v/>
      </c>
      <c r="AV101" s="14" t="str">
        <f>_xlfn.IFNA(SQRT((VLOOKUP(AV$1,DATA!$A$3:$F$301,2,FALSE)-VLOOKUP($A101,DATA!$A$3:$F$301,2,FALSE))^2+(VLOOKUP(AV$1,DATA!$A$3:$F$301,3,FALSE)-VLOOKUP($A101,DATA!$A$3:$F$301,3,FALSE))^2),"")</f>
        <v/>
      </c>
      <c r="AW101" s="14" t="str">
        <f>_xlfn.IFNA(SQRT((VLOOKUP(AW$1,DATA!$A$3:$F$301,2,FALSE)-VLOOKUP($A101,DATA!$A$3:$F$301,2,FALSE))^2+(VLOOKUP(AW$1,DATA!$A$3:$F$301,3,FALSE)-VLOOKUP($A101,DATA!$A$3:$F$301,3,FALSE))^2),"")</f>
        <v/>
      </c>
      <c r="AX101" s="14" t="str">
        <f>_xlfn.IFNA(SQRT((VLOOKUP(AX$1,DATA!$A$3:$F$301,2,FALSE)-VLOOKUP($A101,DATA!$A$3:$F$301,2,FALSE))^2+(VLOOKUP(AX$1,DATA!$A$3:$F$301,3,FALSE)-VLOOKUP($A101,DATA!$A$3:$F$301,3,FALSE))^2),"")</f>
        <v/>
      </c>
      <c r="AY101" s="14" t="str">
        <f>_xlfn.IFNA(SQRT((VLOOKUP(AY$1,DATA!$A$3:$F$301,2,FALSE)-VLOOKUP($A101,DATA!$A$3:$F$301,2,FALSE))^2+(VLOOKUP(AY$1,DATA!$A$3:$F$301,3,FALSE)-VLOOKUP($A101,DATA!$A$3:$F$301,3,FALSE))^2),"")</f>
        <v/>
      </c>
      <c r="AZ101" s="14" t="str">
        <f>_xlfn.IFNA(SQRT((VLOOKUP(AZ$1,DATA!$A$3:$F$301,2,FALSE)-VLOOKUP($A101,DATA!$A$3:$F$301,2,FALSE))^2+(VLOOKUP(AZ$1,DATA!$A$3:$F$301,3,FALSE)-VLOOKUP($A101,DATA!$A$3:$F$301,3,FALSE))^2),"")</f>
        <v/>
      </c>
      <c r="BA101" s="14" t="str">
        <f>_xlfn.IFNA(SQRT((VLOOKUP(BA$1,DATA!$A$3:$F$301,2,FALSE)-VLOOKUP($A101,DATA!$A$3:$F$301,2,FALSE))^2+(VLOOKUP(BA$1,DATA!$A$3:$F$301,3,FALSE)-VLOOKUP($A101,DATA!$A$3:$F$301,3,FALSE))^2),"")</f>
        <v/>
      </c>
      <c r="BB101" s="14" t="str">
        <f>_xlfn.IFNA(SQRT((VLOOKUP(BB$1,DATA!$A$3:$F$301,2,FALSE)-VLOOKUP($A101,DATA!$A$3:$F$301,2,FALSE))^2+(VLOOKUP(BB$1,DATA!$A$3:$F$301,3,FALSE)-VLOOKUP($A101,DATA!$A$3:$F$301,3,FALSE))^2),"")</f>
        <v/>
      </c>
      <c r="BC101" s="14" t="str">
        <f>_xlfn.IFNA(SQRT((VLOOKUP(BC$1,DATA!$A$3:$F$301,2,FALSE)-VLOOKUP($A101,DATA!$A$3:$F$301,2,FALSE))^2+(VLOOKUP(BC$1,DATA!$A$3:$F$301,3,FALSE)-VLOOKUP($A101,DATA!$A$3:$F$301,3,FALSE))^2),"")</f>
        <v/>
      </c>
      <c r="BD101" s="14" t="str">
        <f>_xlfn.IFNA(SQRT((VLOOKUP(BD$1,DATA!$A$3:$F$301,2,FALSE)-VLOOKUP($A101,DATA!$A$3:$F$301,2,FALSE))^2+(VLOOKUP(BD$1,DATA!$A$3:$F$301,3,FALSE)-VLOOKUP($A101,DATA!$A$3:$F$301,3,FALSE))^2),"")</f>
        <v/>
      </c>
      <c r="BE101" s="14" t="str">
        <f>_xlfn.IFNA(SQRT((VLOOKUP(BE$1,DATA!$A$3:$F$301,2,FALSE)-VLOOKUP($A101,DATA!$A$3:$F$301,2,FALSE))^2+(VLOOKUP(BE$1,DATA!$A$3:$F$301,3,FALSE)-VLOOKUP($A101,DATA!$A$3:$F$301,3,FALSE))^2),"")</f>
        <v/>
      </c>
      <c r="BF101" s="14" t="str">
        <f>_xlfn.IFNA(SQRT((VLOOKUP(BF$1,DATA!$A$3:$F$301,2,FALSE)-VLOOKUP($A101,DATA!$A$3:$F$301,2,FALSE))^2+(VLOOKUP(BF$1,DATA!$A$3:$F$301,3,FALSE)-VLOOKUP($A101,DATA!$A$3:$F$301,3,FALSE))^2),"")</f>
        <v/>
      </c>
      <c r="BG101" s="14" t="str">
        <f>_xlfn.IFNA(SQRT((VLOOKUP(BG$1,DATA!$A$3:$F$301,2,FALSE)-VLOOKUP($A101,DATA!$A$3:$F$301,2,FALSE))^2+(VLOOKUP(BG$1,DATA!$A$3:$F$301,3,FALSE)-VLOOKUP($A101,DATA!$A$3:$F$301,3,FALSE))^2),"")</f>
        <v/>
      </c>
      <c r="BH101" s="14" t="str">
        <f>_xlfn.IFNA(SQRT((VLOOKUP(BH$1,DATA!$A$3:$F$301,2,FALSE)-VLOOKUP($A101,DATA!$A$3:$F$301,2,FALSE))^2+(VLOOKUP(BH$1,DATA!$A$3:$F$301,3,FALSE)-VLOOKUP($A101,DATA!$A$3:$F$301,3,FALSE))^2),"")</f>
        <v/>
      </c>
      <c r="BI101" s="14" t="str">
        <f>_xlfn.IFNA(SQRT((VLOOKUP(BI$1,DATA!$A$3:$F$301,2,FALSE)-VLOOKUP($A101,DATA!$A$3:$F$301,2,FALSE))^2+(VLOOKUP(BI$1,DATA!$A$3:$F$301,3,FALSE)-VLOOKUP($A101,DATA!$A$3:$F$301,3,FALSE))^2),"")</f>
        <v/>
      </c>
      <c r="BJ101" s="14" t="str">
        <f>_xlfn.IFNA(SQRT((VLOOKUP(BJ$1,DATA!$A$3:$F$301,2,FALSE)-VLOOKUP($A101,DATA!$A$3:$F$301,2,FALSE))^2+(VLOOKUP(BJ$1,DATA!$A$3:$F$301,3,FALSE)-VLOOKUP($A101,DATA!$A$3:$F$301,3,FALSE))^2),"")</f>
        <v/>
      </c>
      <c r="BK101" s="14" t="str">
        <f>_xlfn.IFNA(SQRT((VLOOKUP(BK$1,DATA!$A$3:$F$301,2,FALSE)-VLOOKUP($A101,DATA!$A$3:$F$301,2,FALSE))^2+(VLOOKUP(BK$1,DATA!$A$3:$F$301,3,FALSE)-VLOOKUP($A101,DATA!$A$3:$F$301,3,FALSE))^2),"")</f>
        <v/>
      </c>
      <c r="BL101" s="14" t="str">
        <f>_xlfn.IFNA(SQRT((VLOOKUP(BL$1,DATA!$A$3:$F$301,2,FALSE)-VLOOKUP($A101,DATA!$A$3:$F$301,2,FALSE))^2+(VLOOKUP(BL$1,DATA!$A$3:$F$301,3,FALSE)-VLOOKUP($A101,DATA!$A$3:$F$301,3,FALSE))^2),"")</f>
        <v/>
      </c>
      <c r="BM101" s="14" t="str">
        <f>_xlfn.IFNA(SQRT((VLOOKUP(BM$1,DATA!$A$3:$F$301,2,FALSE)-VLOOKUP($A101,DATA!$A$3:$F$301,2,FALSE))^2+(VLOOKUP(BM$1,DATA!$A$3:$F$301,3,FALSE)-VLOOKUP($A101,DATA!$A$3:$F$301,3,FALSE))^2),"")</f>
        <v/>
      </c>
      <c r="BN101" s="14" t="str">
        <f>_xlfn.IFNA(SQRT((VLOOKUP(BN$1,DATA!$A$3:$F$301,2,FALSE)-VLOOKUP($A101,DATA!$A$3:$F$301,2,FALSE))^2+(VLOOKUP(BN$1,DATA!$A$3:$F$301,3,FALSE)-VLOOKUP($A101,DATA!$A$3:$F$301,3,FALSE))^2),"")</f>
        <v/>
      </c>
      <c r="BO101" s="14" t="str">
        <f>_xlfn.IFNA(SQRT((VLOOKUP(BO$1,DATA!$A$3:$F$301,2,FALSE)-VLOOKUP($A101,DATA!$A$3:$F$301,2,FALSE))^2+(VLOOKUP(BO$1,DATA!$A$3:$F$301,3,FALSE)-VLOOKUP($A101,DATA!$A$3:$F$301,3,FALSE))^2),"")</f>
        <v/>
      </c>
      <c r="BP101" s="14" t="str">
        <f>_xlfn.IFNA(SQRT((VLOOKUP(BP$1,DATA!$A$3:$F$301,2,FALSE)-VLOOKUP($A101,DATA!$A$3:$F$301,2,FALSE))^2+(VLOOKUP(BP$1,DATA!$A$3:$F$301,3,FALSE)-VLOOKUP($A101,DATA!$A$3:$F$301,3,FALSE))^2),"")</f>
        <v/>
      </c>
      <c r="BQ101" s="14" t="str">
        <f>_xlfn.IFNA(SQRT((VLOOKUP(BQ$1,DATA!$A$3:$F$301,2,FALSE)-VLOOKUP($A101,DATA!$A$3:$F$301,2,FALSE))^2+(VLOOKUP(BQ$1,DATA!$A$3:$F$301,3,FALSE)-VLOOKUP($A101,DATA!$A$3:$F$301,3,FALSE))^2),"")</f>
        <v/>
      </c>
      <c r="BR101" s="14" t="str">
        <f>_xlfn.IFNA(SQRT((VLOOKUP(BR$1,DATA!$A$3:$F$301,2,FALSE)-VLOOKUP($A101,DATA!$A$3:$F$301,2,FALSE))^2+(VLOOKUP(BR$1,DATA!$A$3:$F$301,3,FALSE)-VLOOKUP($A101,DATA!$A$3:$F$301,3,FALSE))^2),"")</f>
        <v/>
      </c>
      <c r="BS101" s="14" t="str">
        <f>_xlfn.IFNA(SQRT((VLOOKUP(BS$1,DATA!$A$3:$F$301,2,FALSE)-VLOOKUP($A101,DATA!$A$3:$F$301,2,FALSE))^2+(VLOOKUP(BS$1,DATA!$A$3:$F$301,3,FALSE)-VLOOKUP($A101,DATA!$A$3:$F$301,3,FALSE))^2),"")</f>
        <v/>
      </c>
      <c r="BT101" s="14" t="str">
        <f>_xlfn.IFNA(SQRT((VLOOKUP(BT$1,DATA!$A$3:$F$301,2,FALSE)-VLOOKUP($A101,DATA!$A$3:$F$301,2,FALSE))^2+(VLOOKUP(BT$1,DATA!$A$3:$F$301,3,FALSE)-VLOOKUP($A101,DATA!$A$3:$F$301,3,FALSE))^2),"")</f>
        <v/>
      </c>
      <c r="BU101" s="14" t="str">
        <f>_xlfn.IFNA(SQRT((VLOOKUP(BU$1,DATA!$A$3:$F$301,2,FALSE)-VLOOKUP($A101,DATA!$A$3:$F$301,2,FALSE))^2+(VLOOKUP(BU$1,DATA!$A$3:$F$301,3,FALSE)-VLOOKUP($A101,DATA!$A$3:$F$301,3,FALSE))^2),"")</f>
        <v/>
      </c>
      <c r="BV101" s="14" t="str">
        <f>_xlfn.IFNA(SQRT((VLOOKUP(BV$1,DATA!$A$3:$F$301,2,FALSE)-VLOOKUP($A101,DATA!$A$3:$F$301,2,FALSE))^2+(VLOOKUP(BV$1,DATA!$A$3:$F$301,3,FALSE)-VLOOKUP($A101,DATA!$A$3:$F$301,3,FALSE))^2),"")</f>
        <v/>
      </c>
      <c r="BW101" s="14" t="str">
        <f>_xlfn.IFNA(SQRT((VLOOKUP(BW$1,DATA!$A$3:$F$301,2,FALSE)-VLOOKUP($A101,DATA!$A$3:$F$301,2,FALSE))^2+(VLOOKUP(BW$1,DATA!$A$3:$F$301,3,FALSE)-VLOOKUP($A101,DATA!$A$3:$F$301,3,FALSE))^2),"")</f>
        <v/>
      </c>
      <c r="BX101" s="14" t="str">
        <f>_xlfn.IFNA(SQRT((VLOOKUP(BX$1,DATA!$A$3:$F$301,2,FALSE)-VLOOKUP($A101,DATA!$A$3:$F$301,2,FALSE))^2+(VLOOKUP(BX$1,DATA!$A$3:$F$301,3,FALSE)-VLOOKUP($A101,DATA!$A$3:$F$301,3,FALSE))^2),"")</f>
        <v/>
      </c>
      <c r="BY101" s="14" t="str">
        <f>_xlfn.IFNA(SQRT((VLOOKUP(BY$1,DATA!$A$3:$F$301,2,FALSE)-VLOOKUP($A101,DATA!$A$3:$F$301,2,FALSE))^2+(VLOOKUP(BY$1,DATA!$A$3:$F$301,3,FALSE)-VLOOKUP($A101,DATA!$A$3:$F$301,3,FALSE))^2),"")</f>
        <v/>
      </c>
      <c r="BZ101" s="14" t="str">
        <f>_xlfn.IFNA(SQRT((VLOOKUP(BZ$1,DATA!$A$3:$F$301,2,FALSE)-VLOOKUP($A101,DATA!$A$3:$F$301,2,FALSE))^2+(VLOOKUP(BZ$1,DATA!$A$3:$F$301,3,FALSE)-VLOOKUP($A101,DATA!$A$3:$F$301,3,FALSE))^2),"")</f>
        <v/>
      </c>
      <c r="CA101" s="14" t="str">
        <f>_xlfn.IFNA(SQRT((VLOOKUP(CA$1,DATA!$A$3:$F$301,2,FALSE)-VLOOKUP($A101,DATA!$A$3:$F$301,2,FALSE))^2+(VLOOKUP(CA$1,DATA!$A$3:$F$301,3,FALSE)-VLOOKUP($A101,DATA!$A$3:$F$301,3,FALSE))^2),"")</f>
        <v/>
      </c>
      <c r="CB101" s="14" t="str">
        <f>_xlfn.IFNA(SQRT((VLOOKUP(CB$1,DATA!$A$3:$F$301,2,FALSE)-VLOOKUP($A101,DATA!$A$3:$F$301,2,FALSE))^2+(VLOOKUP(CB$1,DATA!$A$3:$F$301,3,FALSE)-VLOOKUP($A101,DATA!$A$3:$F$301,3,FALSE))^2),"")</f>
        <v/>
      </c>
      <c r="CC101" s="14" t="str">
        <f>_xlfn.IFNA(SQRT((VLOOKUP(CC$1,DATA!$A$3:$F$301,2,FALSE)-VLOOKUP($A101,DATA!$A$3:$F$301,2,FALSE))^2+(VLOOKUP(CC$1,DATA!$A$3:$F$301,3,FALSE)-VLOOKUP($A101,DATA!$A$3:$F$301,3,FALSE))^2),"")</f>
        <v/>
      </c>
      <c r="CD101" s="14" t="str">
        <f>_xlfn.IFNA(SQRT((VLOOKUP(CD$1,DATA!$A$3:$F$301,2,FALSE)-VLOOKUP($A101,DATA!$A$3:$F$301,2,FALSE))^2+(VLOOKUP(CD$1,DATA!$A$3:$F$301,3,FALSE)-VLOOKUP($A101,DATA!$A$3:$F$301,3,FALSE))^2),"")</f>
        <v/>
      </c>
      <c r="CE101" s="14" t="str">
        <f>_xlfn.IFNA(SQRT((VLOOKUP(CE$1,DATA!$A$3:$F$301,2,FALSE)-VLOOKUP($A101,DATA!$A$3:$F$301,2,FALSE))^2+(VLOOKUP(CE$1,DATA!$A$3:$F$301,3,FALSE)-VLOOKUP($A101,DATA!$A$3:$F$301,3,FALSE))^2),"")</f>
        <v/>
      </c>
      <c r="CF101" s="14" t="str">
        <f>_xlfn.IFNA(SQRT((VLOOKUP(CF$1,DATA!$A$3:$F$301,2,FALSE)-VLOOKUP($A101,DATA!$A$3:$F$301,2,FALSE))^2+(VLOOKUP(CF$1,DATA!$A$3:$F$301,3,FALSE)-VLOOKUP($A101,DATA!$A$3:$F$301,3,FALSE))^2),"")</f>
        <v/>
      </c>
      <c r="CG101" s="14" t="str">
        <f>_xlfn.IFNA(SQRT((VLOOKUP(CG$1,DATA!$A$3:$F$301,2,FALSE)-VLOOKUP($A101,DATA!$A$3:$F$301,2,FALSE))^2+(VLOOKUP(CG$1,DATA!$A$3:$F$301,3,FALSE)-VLOOKUP($A101,DATA!$A$3:$F$301,3,FALSE))^2),"")</f>
        <v/>
      </c>
      <c r="CH101" s="14" t="str">
        <f>_xlfn.IFNA(SQRT((VLOOKUP(CH$1,DATA!$A$3:$F$301,2,FALSE)-VLOOKUP($A101,DATA!$A$3:$F$301,2,FALSE))^2+(VLOOKUP(CH$1,DATA!$A$3:$F$301,3,FALSE)-VLOOKUP($A101,DATA!$A$3:$F$301,3,FALSE))^2),"")</f>
        <v/>
      </c>
      <c r="CI101" s="14" t="str">
        <f>_xlfn.IFNA(SQRT((VLOOKUP(CI$1,DATA!$A$3:$F$301,2,FALSE)-VLOOKUP($A101,DATA!$A$3:$F$301,2,FALSE))^2+(VLOOKUP(CI$1,DATA!$A$3:$F$301,3,FALSE)-VLOOKUP($A101,DATA!$A$3:$F$301,3,FALSE))^2),"")</f>
        <v/>
      </c>
      <c r="CJ101" s="14" t="str">
        <f>_xlfn.IFNA(SQRT((VLOOKUP(CJ$1,DATA!$A$3:$F$301,2,FALSE)-VLOOKUP($A101,DATA!$A$3:$F$301,2,FALSE))^2+(VLOOKUP(CJ$1,DATA!$A$3:$F$301,3,FALSE)-VLOOKUP($A101,DATA!$A$3:$F$301,3,FALSE))^2),"")</f>
        <v/>
      </c>
      <c r="CK101" s="14" t="str">
        <f>_xlfn.IFNA(SQRT((VLOOKUP(CK$1,DATA!$A$3:$F$301,2,FALSE)-VLOOKUP($A101,DATA!$A$3:$F$301,2,FALSE))^2+(VLOOKUP(CK$1,DATA!$A$3:$F$301,3,FALSE)-VLOOKUP($A101,DATA!$A$3:$F$301,3,FALSE))^2),"")</f>
        <v/>
      </c>
      <c r="CL101" s="14" t="str">
        <f>_xlfn.IFNA(SQRT((VLOOKUP(CL$1,DATA!$A$3:$F$301,2,FALSE)-VLOOKUP($A101,DATA!$A$3:$F$301,2,FALSE))^2+(VLOOKUP(CL$1,DATA!$A$3:$F$301,3,FALSE)-VLOOKUP($A101,DATA!$A$3:$F$301,3,FALSE))^2),"")</f>
        <v/>
      </c>
      <c r="CM101" s="14" t="str">
        <f>_xlfn.IFNA(SQRT((VLOOKUP(CM$1,DATA!$A$3:$F$301,2,FALSE)-VLOOKUP($A101,DATA!$A$3:$F$301,2,FALSE))^2+(VLOOKUP(CM$1,DATA!$A$3:$F$301,3,FALSE)-VLOOKUP($A101,DATA!$A$3:$F$301,3,FALSE))^2),"")</f>
        <v/>
      </c>
      <c r="CN101" s="14" t="str">
        <f>_xlfn.IFNA(SQRT((VLOOKUP(CN$1,DATA!$A$3:$F$301,2,FALSE)-VLOOKUP($A101,DATA!$A$3:$F$301,2,FALSE))^2+(VLOOKUP(CN$1,DATA!$A$3:$F$301,3,FALSE)-VLOOKUP($A101,DATA!$A$3:$F$301,3,FALSE))^2),"")</f>
        <v/>
      </c>
      <c r="CO101" s="14" t="str">
        <f>_xlfn.IFNA(SQRT((VLOOKUP(CO$1,DATA!$A$3:$F$301,2,FALSE)-VLOOKUP($A101,DATA!$A$3:$F$301,2,FALSE))^2+(VLOOKUP(CO$1,DATA!$A$3:$F$301,3,FALSE)-VLOOKUP($A101,DATA!$A$3:$F$301,3,FALSE))^2),"")</f>
        <v/>
      </c>
      <c r="CP101" s="14" t="str">
        <f>_xlfn.IFNA(SQRT((VLOOKUP(CP$1,DATA!$A$3:$F$301,2,FALSE)-VLOOKUP($A101,DATA!$A$3:$F$301,2,FALSE))^2+(VLOOKUP(CP$1,DATA!$A$3:$F$301,3,FALSE)-VLOOKUP($A101,DATA!$A$3:$F$301,3,FALSE))^2),"")</f>
        <v/>
      </c>
      <c r="CQ101" s="14" t="str">
        <f>_xlfn.IFNA(SQRT((VLOOKUP(CQ$1,DATA!$A$3:$F$301,2,FALSE)-VLOOKUP($A101,DATA!$A$3:$F$301,2,FALSE))^2+(VLOOKUP(CQ$1,DATA!$A$3:$F$301,3,FALSE)-VLOOKUP($A101,DATA!$A$3:$F$301,3,FALSE))^2),"")</f>
        <v/>
      </c>
      <c r="CR101" s="14" t="str">
        <f>_xlfn.IFNA(SQRT((VLOOKUP(CR$1,DATA!$A$3:$F$301,2,FALSE)-VLOOKUP($A101,DATA!$A$3:$F$301,2,FALSE))^2+(VLOOKUP(CR$1,DATA!$A$3:$F$301,3,FALSE)-VLOOKUP($A101,DATA!$A$3:$F$301,3,FALSE))^2),"")</f>
        <v/>
      </c>
      <c r="CS101" s="14" t="str">
        <f>_xlfn.IFNA(SQRT((VLOOKUP(CS$1,DATA!$A$3:$F$301,2,FALSE)-VLOOKUP($A101,DATA!$A$3:$F$301,2,FALSE))^2+(VLOOKUP(CS$1,DATA!$A$3:$F$301,3,FALSE)-VLOOKUP($A101,DATA!$A$3:$F$301,3,FALSE))^2),"")</f>
        <v/>
      </c>
      <c r="CT101" s="14" t="str">
        <f>_xlfn.IFNA(SQRT((VLOOKUP(CT$1,DATA!$A$3:$F$301,2,FALSE)-VLOOKUP($A101,DATA!$A$3:$F$301,2,FALSE))^2+(VLOOKUP(CT$1,DATA!$A$3:$F$301,3,FALSE)-VLOOKUP($A101,DATA!$A$3:$F$301,3,FALSE))^2),"")</f>
        <v/>
      </c>
      <c r="CU101" s="14" t="str">
        <f>_xlfn.IFNA(SQRT((VLOOKUP(CU$1,DATA!$A$3:$F$301,2,FALSE)-VLOOKUP($A101,DATA!$A$3:$F$301,2,FALSE))^2+(VLOOKUP(CU$1,DATA!$A$3:$F$301,3,FALSE)-VLOOKUP($A101,DATA!$A$3:$F$301,3,FALSE))^2),"")</f>
        <v/>
      </c>
      <c r="CV101" s="14" t="str">
        <f>_xlfn.IFNA(SQRT((VLOOKUP(CV$1,DATA!$A$3:$F$301,2,FALSE)-VLOOKUP($A101,DATA!$A$3:$F$301,2,FALSE))^2+(VLOOKUP(CV$1,DATA!$A$3:$F$301,3,FALSE)-VLOOKUP($A101,DATA!$A$3:$F$301,3,FALSE))^2),"")</f>
        <v/>
      </c>
      <c r="CW101" s="14" t="str">
        <f>_xlfn.IFNA(SQRT((VLOOKUP(CW$1,DATA!$A$3:$F$301,2,FALSE)-VLOOKUP($A101,DATA!$A$3:$F$301,2,FALSE))^2+(VLOOKUP(CW$1,DATA!$A$3:$F$301,3,FALSE)-VLOOKUP($A101,DATA!$A$3:$F$301,3,FALSE))^2),"")</f>
        <v/>
      </c>
      <c r="CX101" s="14" t="str">
        <f>_xlfn.IFNA(SQRT((VLOOKUP(CX$1,DATA!$A$3:$F$301,2,FALSE)-VLOOKUP($A101,DATA!$A$3:$F$301,2,FALSE))^2+(VLOOKUP(CX$1,DATA!$A$3:$F$301,3,FALSE)-VLOOKUP($A101,DATA!$A$3:$F$301,3,FALSE))^2),"")</f>
        <v/>
      </c>
    </row>
    <row r="102" spans="1:102" hidden="1">
      <c r="A102" s="13">
        <v>101</v>
      </c>
      <c r="B102" s="14" t="str">
        <f>_xlfn.IFNA(SQRT((VLOOKUP(B$1,DATA!$A$3:$F$301,2,FALSE)-VLOOKUP($A102,DATA!$A$3:$F$301,2,FALSE))^2+(VLOOKUP(B$1,DATA!$A$3:$F$301,3,FALSE)-VLOOKUP($A102,DATA!$A$3:$F$301,3,FALSE))^2),"")</f>
        <v/>
      </c>
      <c r="C102" s="14" t="str">
        <f>_xlfn.IFNA(SQRT((VLOOKUP(C$1,DATA!$A$3:$F$301,2,FALSE)-VLOOKUP($A102,DATA!$A$3:$F$301,2,FALSE))^2+(VLOOKUP(C$1,DATA!$A$3:$F$301,3,FALSE)-VLOOKUP($A102,DATA!$A$3:$F$301,3,FALSE))^2),"")</f>
        <v/>
      </c>
      <c r="D102" s="14" t="str">
        <f>_xlfn.IFNA(SQRT((VLOOKUP(D$1,DATA!$A$3:$F$301,2,FALSE)-VLOOKUP($A102,DATA!$A$3:$F$301,2,FALSE))^2+(VLOOKUP(D$1,DATA!$A$3:$F$301,3,FALSE)-VLOOKUP($A102,DATA!$A$3:$F$301,3,FALSE))^2),"")</f>
        <v/>
      </c>
      <c r="E102" s="14" t="str">
        <f>_xlfn.IFNA(SQRT((VLOOKUP(E$1,DATA!$A$3:$F$301,2,FALSE)-VLOOKUP($A102,DATA!$A$3:$F$301,2,FALSE))^2+(VLOOKUP(E$1,DATA!$A$3:$F$301,3,FALSE)-VLOOKUP($A102,DATA!$A$3:$F$301,3,FALSE))^2),"")</f>
        <v/>
      </c>
      <c r="F102" s="14" t="str">
        <f>_xlfn.IFNA(SQRT((VLOOKUP(F$1,DATA!$A$3:$F$301,2,FALSE)-VLOOKUP($A102,DATA!$A$3:$F$301,2,FALSE))^2+(VLOOKUP(F$1,DATA!$A$3:$F$301,3,FALSE)-VLOOKUP($A102,DATA!$A$3:$F$301,3,FALSE))^2),"")</f>
        <v/>
      </c>
      <c r="G102" s="14" t="str">
        <f>_xlfn.IFNA(SQRT((VLOOKUP(G$1,DATA!$A$3:$F$301,2,FALSE)-VLOOKUP($A102,DATA!$A$3:$F$301,2,FALSE))^2+(VLOOKUP(G$1,DATA!$A$3:$F$301,3,FALSE)-VLOOKUP($A102,DATA!$A$3:$F$301,3,FALSE))^2),"")</f>
        <v/>
      </c>
      <c r="H102" s="14" t="str">
        <f>_xlfn.IFNA(SQRT((VLOOKUP(H$1,DATA!$A$3:$F$301,2,FALSE)-VLOOKUP($A102,DATA!$A$3:$F$301,2,FALSE))^2+(VLOOKUP(H$1,DATA!$A$3:$F$301,3,FALSE)-VLOOKUP($A102,DATA!$A$3:$F$301,3,FALSE))^2),"")</f>
        <v/>
      </c>
      <c r="I102" s="14" t="str">
        <f>_xlfn.IFNA(SQRT((VLOOKUP(I$1,DATA!$A$3:$F$301,2,FALSE)-VLOOKUP($A102,DATA!$A$3:$F$301,2,FALSE))^2+(VLOOKUP(I$1,DATA!$A$3:$F$301,3,FALSE)-VLOOKUP($A102,DATA!$A$3:$F$301,3,FALSE))^2),"")</f>
        <v/>
      </c>
      <c r="J102" s="14" t="str">
        <f>_xlfn.IFNA(SQRT((VLOOKUP(J$1,DATA!$A$3:$F$301,2,FALSE)-VLOOKUP($A102,DATA!$A$3:$F$301,2,FALSE))^2+(VLOOKUP(J$1,DATA!$A$3:$F$301,3,FALSE)-VLOOKUP($A102,DATA!$A$3:$F$301,3,FALSE))^2),"")</f>
        <v/>
      </c>
      <c r="K102" s="14" t="str">
        <f>_xlfn.IFNA(SQRT((VLOOKUP(K$1,DATA!$A$3:$F$301,2,FALSE)-VLOOKUP($A102,DATA!$A$3:$F$301,2,FALSE))^2+(VLOOKUP(K$1,DATA!$A$3:$F$301,3,FALSE)-VLOOKUP($A102,DATA!$A$3:$F$301,3,FALSE))^2),"")</f>
        <v/>
      </c>
      <c r="L102" s="14" t="str">
        <f>_xlfn.IFNA(SQRT((VLOOKUP(L$1,DATA!$A$3:$F$301,2,FALSE)-VLOOKUP($A102,DATA!$A$3:$F$301,2,FALSE))^2+(VLOOKUP(L$1,DATA!$A$3:$F$301,3,FALSE)-VLOOKUP($A102,DATA!$A$3:$F$301,3,FALSE))^2),"")</f>
        <v/>
      </c>
      <c r="M102" s="14" t="str">
        <f>_xlfn.IFNA(SQRT((VLOOKUP(M$1,DATA!$A$3:$F$301,2,FALSE)-VLOOKUP($A102,DATA!$A$3:$F$301,2,FALSE))^2+(VLOOKUP(M$1,DATA!$A$3:$F$301,3,FALSE)-VLOOKUP($A102,DATA!$A$3:$F$301,3,FALSE))^2),"")</f>
        <v/>
      </c>
      <c r="N102" s="14" t="str">
        <f>_xlfn.IFNA(SQRT((VLOOKUP(N$1,DATA!$A$3:$F$301,2,FALSE)-VLOOKUP($A102,DATA!$A$3:$F$301,2,FALSE))^2+(VLOOKUP(N$1,DATA!$A$3:$F$301,3,FALSE)-VLOOKUP($A102,DATA!$A$3:$F$301,3,FALSE))^2),"")</f>
        <v/>
      </c>
      <c r="O102" s="14" t="str">
        <f>_xlfn.IFNA(SQRT((VLOOKUP(O$1,DATA!$A$3:$F$301,2,FALSE)-VLOOKUP($A102,DATA!$A$3:$F$301,2,FALSE))^2+(VLOOKUP(O$1,DATA!$A$3:$F$301,3,FALSE)-VLOOKUP($A102,DATA!$A$3:$F$301,3,FALSE))^2),"")</f>
        <v/>
      </c>
      <c r="P102" s="14" t="str">
        <f>_xlfn.IFNA(SQRT((VLOOKUP(P$1,DATA!$A$3:$F$301,2,FALSE)-VLOOKUP($A102,DATA!$A$3:$F$301,2,FALSE))^2+(VLOOKUP(P$1,DATA!$A$3:$F$301,3,FALSE)-VLOOKUP($A102,DATA!$A$3:$F$301,3,FALSE))^2),"")</f>
        <v/>
      </c>
      <c r="Q102" s="14" t="str">
        <f>_xlfn.IFNA(SQRT((VLOOKUP(Q$1,DATA!$A$3:$F$301,2,FALSE)-VLOOKUP($A102,DATA!$A$3:$F$301,2,FALSE))^2+(VLOOKUP(Q$1,DATA!$A$3:$F$301,3,FALSE)-VLOOKUP($A102,DATA!$A$3:$F$301,3,FALSE))^2),"")</f>
        <v/>
      </c>
      <c r="R102" s="14" t="str">
        <f>_xlfn.IFNA(SQRT((VLOOKUP(R$1,DATA!$A$3:$F$301,2,FALSE)-VLOOKUP($A102,DATA!$A$3:$F$301,2,FALSE))^2+(VLOOKUP(R$1,DATA!$A$3:$F$301,3,FALSE)-VLOOKUP($A102,DATA!$A$3:$F$301,3,FALSE))^2),"")</f>
        <v/>
      </c>
      <c r="S102" s="14" t="str">
        <f>_xlfn.IFNA(SQRT((VLOOKUP(S$1,DATA!$A$3:$F$301,2,FALSE)-VLOOKUP($A102,DATA!$A$3:$F$301,2,FALSE))^2+(VLOOKUP(S$1,DATA!$A$3:$F$301,3,FALSE)-VLOOKUP($A102,DATA!$A$3:$F$301,3,FALSE))^2),"")</f>
        <v/>
      </c>
      <c r="T102" s="14" t="str">
        <f>_xlfn.IFNA(SQRT((VLOOKUP(T$1,DATA!$A$3:$F$301,2,FALSE)-VLOOKUP($A102,DATA!$A$3:$F$301,2,FALSE))^2+(VLOOKUP(T$1,DATA!$A$3:$F$301,3,FALSE)-VLOOKUP($A102,DATA!$A$3:$F$301,3,FALSE))^2),"")</f>
        <v/>
      </c>
      <c r="U102" s="14" t="str">
        <f>_xlfn.IFNA(SQRT((VLOOKUP(U$1,DATA!$A$3:$F$301,2,FALSE)-VLOOKUP($A102,DATA!$A$3:$F$301,2,FALSE))^2+(VLOOKUP(U$1,DATA!$A$3:$F$301,3,FALSE)-VLOOKUP($A102,DATA!$A$3:$F$301,3,FALSE))^2),"")</f>
        <v/>
      </c>
      <c r="V102" s="14" t="str">
        <f>_xlfn.IFNA(SQRT((VLOOKUP(V$1,DATA!$A$3:$F$301,2,FALSE)-VLOOKUP($A102,DATA!$A$3:$F$301,2,FALSE))^2+(VLOOKUP(V$1,DATA!$A$3:$F$301,3,FALSE)-VLOOKUP($A102,DATA!$A$3:$F$301,3,FALSE))^2),"")</f>
        <v/>
      </c>
      <c r="W102" s="14" t="str">
        <f>_xlfn.IFNA(SQRT((VLOOKUP(W$1,DATA!$A$3:$F$301,2,FALSE)-VLOOKUP($A102,DATA!$A$3:$F$301,2,FALSE))^2+(VLOOKUP(W$1,DATA!$A$3:$F$301,3,FALSE)-VLOOKUP($A102,DATA!$A$3:$F$301,3,FALSE))^2),"")</f>
        <v/>
      </c>
      <c r="X102" s="14" t="str">
        <f>_xlfn.IFNA(SQRT((VLOOKUP(X$1,DATA!$A$3:$F$301,2,FALSE)-VLOOKUP($A102,DATA!$A$3:$F$301,2,FALSE))^2+(VLOOKUP(X$1,DATA!$A$3:$F$301,3,FALSE)-VLOOKUP($A102,DATA!$A$3:$F$301,3,FALSE))^2),"")</f>
        <v/>
      </c>
      <c r="Y102" s="14" t="str">
        <f>_xlfn.IFNA(SQRT((VLOOKUP(Y$1,DATA!$A$3:$F$301,2,FALSE)-VLOOKUP($A102,DATA!$A$3:$F$301,2,FALSE))^2+(VLOOKUP(Y$1,DATA!$A$3:$F$301,3,FALSE)-VLOOKUP($A102,DATA!$A$3:$F$301,3,FALSE))^2),"")</f>
        <v/>
      </c>
      <c r="Z102" s="14" t="str">
        <f>_xlfn.IFNA(SQRT((VLOOKUP(Z$1,DATA!$A$3:$F$301,2,FALSE)-VLOOKUP($A102,DATA!$A$3:$F$301,2,FALSE))^2+(VLOOKUP(Z$1,DATA!$A$3:$F$301,3,FALSE)-VLOOKUP($A102,DATA!$A$3:$F$301,3,FALSE))^2),"")</f>
        <v/>
      </c>
      <c r="AA102" s="14" t="str">
        <f>_xlfn.IFNA(SQRT((VLOOKUP(AA$1,DATA!$A$3:$F$301,2,FALSE)-VLOOKUP($A102,DATA!$A$3:$F$301,2,FALSE))^2+(VLOOKUP(AA$1,DATA!$A$3:$F$301,3,FALSE)-VLOOKUP($A102,DATA!$A$3:$F$301,3,FALSE))^2),"")</f>
        <v/>
      </c>
      <c r="AB102" s="14" t="str">
        <f>_xlfn.IFNA(SQRT((VLOOKUP(AB$1,DATA!$A$3:$F$301,2,FALSE)-VLOOKUP($A102,DATA!$A$3:$F$301,2,FALSE))^2+(VLOOKUP(AB$1,DATA!$A$3:$F$301,3,FALSE)-VLOOKUP($A102,DATA!$A$3:$F$301,3,FALSE))^2),"")</f>
        <v/>
      </c>
      <c r="AC102" s="14" t="str">
        <f>_xlfn.IFNA(SQRT((VLOOKUP(AC$1,DATA!$A$3:$F$301,2,FALSE)-VLOOKUP($A102,DATA!$A$3:$F$301,2,FALSE))^2+(VLOOKUP(AC$1,DATA!$A$3:$F$301,3,FALSE)-VLOOKUP($A102,DATA!$A$3:$F$301,3,FALSE))^2),"")</f>
        <v/>
      </c>
      <c r="AD102" s="14" t="str">
        <f>_xlfn.IFNA(SQRT((VLOOKUP(AD$1,DATA!$A$3:$F$301,2,FALSE)-VLOOKUP($A102,DATA!$A$3:$F$301,2,FALSE))^2+(VLOOKUP(AD$1,DATA!$A$3:$F$301,3,FALSE)-VLOOKUP($A102,DATA!$A$3:$F$301,3,FALSE))^2),"")</f>
        <v/>
      </c>
      <c r="AE102" s="14" t="str">
        <f>_xlfn.IFNA(SQRT((VLOOKUP(AE$1,DATA!$A$3:$F$301,2,FALSE)-VLOOKUP($A102,DATA!$A$3:$F$301,2,FALSE))^2+(VLOOKUP(AE$1,DATA!$A$3:$F$301,3,FALSE)-VLOOKUP($A102,DATA!$A$3:$F$301,3,FALSE))^2),"")</f>
        <v/>
      </c>
      <c r="AF102" s="14" t="str">
        <f>_xlfn.IFNA(SQRT((VLOOKUP(AF$1,DATA!$A$3:$F$301,2,FALSE)-VLOOKUP($A102,DATA!$A$3:$F$301,2,FALSE))^2+(VLOOKUP(AF$1,DATA!$A$3:$F$301,3,FALSE)-VLOOKUP($A102,DATA!$A$3:$F$301,3,FALSE))^2),"")</f>
        <v/>
      </c>
      <c r="AG102" s="14" t="str">
        <f>_xlfn.IFNA(SQRT((VLOOKUP(AG$1,DATA!$A$3:$F$301,2,FALSE)-VLOOKUP($A102,DATA!$A$3:$F$301,2,FALSE))^2+(VLOOKUP(AG$1,DATA!$A$3:$F$301,3,FALSE)-VLOOKUP($A102,DATA!$A$3:$F$301,3,FALSE))^2),"")</f>
        <v/>
      </c>
      <c r="AH102" s="14" t="str">
        <f>_xlfn.IFNA(SQRT((VLOOKUP(AH$1,DATA!$A$3:$F$301,2,FALSE)-VLOOKUP($A102,DATA!$A$3:$F$301,2,FALSE))^2+(VLOOKUP(AH$1,DATA!$A$3:$F$301,3,FALSE)-VLOOKUP($A102,DATA!$A$3:$F$301,3,FALSE))^2),"")</f>
        <v/>
      </c>
      <c r="AI102" s="14" t="str">
        <f>_xlfn.IFNA(SQRT((VLOOKUP(AI$1,DATA!$A$3:$F$301,2,FALSE)-VLOOKUP($A102,DATA!$A$3:$F$301,2,FALSE))^2+(VLOOKUP(AI$1,DATA!$A$3:$F$301,3,FALSE)-VLOOKUP($A102,DATA!$A$3:$F$301,3,FALSE))^2),"")</f>
        <v/>
      </c>
      <c r="AJ102" s="14" t="str">
        <f>_xlfn.IFNA(SQRT((VLOOKUP(AJ$1,DATA!$A$3:$F$301,2,FALSE)-VLOOKUP($A102,DATA!$A$3:$F$301,2,FALSE))^2+(VLOOKUP(AJ$1,DATA!$A$3:$F$301,3,FALSE)-VLOOKUP($A102,DATA!$A$3:$F$301,3,FALSE))^2),"")</f>
        <v/>
      </c>
      <c r="AK102" s="14" t="str">
        <f>_xlfn.IFNA(SQRT((VLOOKUP(AK$1,DATA!$A$3:$F$301,2,FALSE)-VLOOKUP($A102,DATA!$A$3:$F$301,2,FALSE))^2+(VLOOKUP(AK$1,DATA!$A$3:$F$301,3,FALSE)-VLOOKUP($A102,DATA!$A$3:$F$301,3,FALSE))^2),"")</f>
        <v/>
      </c>
      <c r="AL102" s="14" t="str">
        <f>_xlfn.IFNA(SQRT((VLOOKUP(AL$1,DATA!$A$3:$F$301,2,FALSE)-VLOOKUP($A102,DATA!$A$3:$F$301,2,FALSE))^2+(VLOOKUP(AL$1,DATA!$A$3:$F$301,3,FALSE)-VLOOKUP($A102,DATA!$A$3:$F$301,3,FALSE))^2),"")</f>
        <v/>
      </c>
      <c r="AM102" s="14" t="str">
        <f>_xlfn.IFNA(SQRT((VLOOKUP(AM$1,DATA!$A$3:$F$301,2,FALSE)-VLOOKUP($A102,DATA!$A$3:$F$301,2,FALSE))^2+(VLOOKUP(AM$1,DATA!$A$3:$F$301,3,FALSE)-VLOOKUP($A102,DATA!$A$3:$F$301,3,FALSE))^2),"")</f>
        <v/>
      </c>
      <c r="AN102" s="14" t="str">
        <f>_xlfn.IFNA(SQRT((VLOOKUP(AN$1,DATA!$A$3:$F$301,2,FALSE)-VLOOKUP($A102,DATA!$A$3:$F$301,2,FALSE))^2+(VLOOKUP(AN$1,DATA!$A$3:$F$301,3,FALSE)-VLOOKUP($A102,DATA!$A$3:$F$301,3,FALSE))^2),"")</f>
        <v/>
      </c>
      <c r="AO102" s="14" t="str">
        <f>_xlfn.IFNA(SQRT((VLOOKUP(AO$1,DATA!$A$3:$F$301,2,FALSE)-VLOOKUP($A102,DATA!$A$3:$F$301,2,FALSE))^2+(VLOOKUP(AO$1,DATA!$A$3:$F$301,3,FALSE)-VLOOKUP($A102,DATA!$A$3:$F$301,3,FALSE))^2),"")</f>
        <v/>
      </c>
      <c r="AP102" s="14" t="str">
        <f>_xlfn.IFNA(SQRT((VLOOKUP(AP$1,DATA!$A$3:$F$301,2,FALSE)-VLOOKUP($A102,DATA!$A$3:$F$301,2,FALSE))^2+(VLOOKUP(AP$1,DATA!$A$3:$F$301,3,FALSE)-VLOOKUP($A102,DATA!$A$3:$F$301,3,FALSE))^2),"")</f>
        <v/>
      </c>
      <c r="AQ102" s="14" t="str">
        <f>_xlfn.IFNA(SQRT((VLOOKUP(AQ$1,DATA!$A$3:$F$301,2,FALSE)-VLOOKUP($A102,DATA!$A$3:$F$301,2,FALSE))^2+(VLOOKUP(AQ$1,DATA!$A$3:$F$301,3,FALSE)-VLOOKUP($A102,DATA!$A$3:$F$301,3,FALSE))^2),"")</f>
        <v/>
      </c>
      <c r="AR102" s="14" t="str">
        <f>_xlfn.IFNA(SQRT((VLOOKUP(AR$1,DATA!$A$3:$F$301,2,FALSE)-VLOOKUP($A102,DATA!$A$3:$F$301,2,FALSE))^2+(VLOOKUP(AR$1,DATA!$A$3:$F$301,3,FALSE)-VLOOKUP($A102,DATA!$A$3:$F$301,3,FALSE))^2),"")</f>
        <v/>
      </c>
      <c r="AS102" s="14" t="str">
        <f>_xlfn.IFNA(SQRT((VLOOKUP(AS$1,DATA!$A$3:$F$301,2,FALSE)-VLOOKUP($A102,DATA!$A$3:$F$301,2,FALSE))^2+(VLOOKUP(AS$1,DATA!$A$3:$F$301,3,FALSE)-VLOOKUP($A102,DATA!$A$3:$F$301,3,FALSE))^2),"")</f>
        <v/>
      </c>
      <c r="AT102" s="14" t="str">
        <f>_xlfn.IFNA(SQRT((VLOOKUP(AT$1,DATA!$A$3:$F$301,2,FALSE)-VLOOKUP($A102,DATA!$A$3:$F$301,2,FALSE))^2+(VLOOKUP(AT$1,DATA!$A$3:$F$301,3,FALSE)-VLOOKUP($A102,DATA!$A$3:$F$301,3,FALSE))^2),"")</f>
        <v/>
      </c>
      <c r="AU102" s="14" t="str">
        <f>_xlfn.IFNA(SQRT((VLOOKUP(AU$1,DATA!$A$3:$F$301,2,FALSE)-VLOOKUP($A102,DATA!$A$3:$F$301,2,FALSE))^2+(VLOOKUP(AU$1,DATA!$A$3:$F$301,3,FALSE)-VLOOKUP($A102,DATA!$A$3:$F$301,3,FALSE))^2),"")</f>
        <v/>
      </c>
      <c r="AV102" s="14" t="str">
        <f>_xlfn.IFNA(SQRT((VLOOKUP(AV$1,DATA!$A$3:$F$301,2,FALSE)-VLOOKUP($A102,DATA!$A$3:$F$301,2,FALSE))^2+(VLOOKUP(AV$1,DATA!$A$3:$F$301,3,FALSE)-VLOOKUP($A102,DATA!$A$3:$F$301,3,FALSE))^2),"")</f>
        <v/>
      </c>
      <c r="AW102" s="14" t="str">
        <f>_xlfn.IFNA(SQRT((VLOOKUP(AW$1,DATA!$A$3:$F$301,2,FALSE)-VLOOKUP($A102,DATA!$A$3:$F$301,2,FALSE))^2+(VLOOKUP(AW$1,DATA!$A$3:$F$301,3,FALSE)-VLOOKUP($A102,DATA!$A$3:$F$301,3,FALSE))^2),"")</f>
        <v/>
      </c>
      <c r="AX102" s="14" t="str">
        <f>_xlfn.IFNA(SQRT((VLOOKUP(AX$1,DATA!$A$3:$F$301,2,FALSE)-VLOOKUP($A102,DATA!$A$3:$F$301,2,FALSE))^2+(VLOOKUP(AX$1,DATA!$A$3:$F$301,3,FALSE)-VLOOKUP($A102,DATA!$A$3:$F$301,3,FALSE))^2),"")</f>
        <v/>
      </c>
      <c r="AY102" s="14" t="str">
        <f>_xlfn.IFNA(SQRT((VLOOKUP(AY$1,DATA!$A$3:$F$301,2,FALSE)-VLOOKUP($A102,DATA!$A$3:$F$301,2,FALSE))^2+(VLOOKUP(AY$1,DATA!$A$3:$F$301,3,FALSE)-VLOOKUP($A102,DATA!$A$3:$F$301,3,FALSE))^2),"")</f>
        <v/>
      </c>
      <c r="AZ102" s="14" t="str">
        <f>_xlfn.IFNA(SQRT((VLOOKUP(AZ$1,DATA!$A$3:$F$301,2,FALSE)-VLOOKUP($A102,DATA!$A$3:$F$301,2,FALSE))^2+(VLOOKUP(AZ$1,DATA!$A$3:$F$301,3,FALSE)-VLOOKUP($A102,DATA!$A$3:$F$301,3,FALSE))^2),"")</f>
        <v/>
      </c>
      <c r="BA102" s="14" t="str">
        <f>_xlfn.IFNA(SQRT((VLOOKUP(BA$1,DATA!$A$3:$F$301,2,FALSE)-VLOOKUP($A102,DATA!$A$3:$F$301,2,FALSE))^2+(VLOOKUP(BA$1,DATA!$A$3:$F$301,3,FALSE)-VLOOKUP($A102,DATA!$A$3:$F$301,3,FALSE))^2),"")</f>
        <v/>
      </c>
      <c r="BB102" s="14" t="str">
        <f>_xlfn.IFNA(SQRT((VLOOKUP(BB$1,DATA!$A$3:$F$301,2,FALSE)-VLOOKUP($A102,DATA!$A$3:$F$301,2,FALSE))^2+(VLOOKUP(BB$1,DATA!$A$3:$F$301,3,FALSE)-VLOOKUP($A102,DATA!$A$3:$F$301,3,FALSE))^2),"")</f>
        <v/>
      </c>
      <c r="BC102" s="14" t="str">
        <f>_xlfn.IFNA(SQRT((VLOOKUP(BC$1,DATA!$A$3:$F$301,2,FALSE)-VLOOKUP($A102,DATA!$A$3:$F$301,2,FALSE))^2+(VLOOKUP(BC$1,DATA!$A$3:$F$301,3,FALSE)-VLOOKUP($A102,DATA!$A$3:$F$301,3,FALSE))^2),"")</f>
        <v/>
      </c>
      <c r="BD102" s="14" t="str">
        <f>_xlfn.IFNA(SQRT((VLOOKUP(BD$1,DATA!$A$3:$F$301,2,FALSE)-VLOOKUP($A102,DATA!$A$3:$F$301,2,FALSE))^2+(VLOOKUP(BD$1,DATA!$A$3:$F$301,3,FALSE)-VLOOKUP($A102,DATA!$A$3:$F$301,3,FALSE))^2),"")</f>
        <v/>
      </c>
      <c r="BE102" s="14" t="str">
        <f>_xlfn.IFNA(SQRT((VLOOKUP(BE$1,DATA!$A$3:$F$301,2,FALSE)-VLOOKUP($A102,DATA!$A$3:$F$301,2,FALSE))^2+(VLOOKUP(BE$1,DATA!$A$3:$F$301,3,FALSE)-VLOOKUP($A102,DATA!$A$3:$F$301,3,FALSE))^2),"")</f>
        <v/>
      </c>
      <c r="BF102" s="14" t="str">
        <f>_xlfn.IFNA(SQRT((VLOOKUP(BF$1,DATA!$A$3:$F$301,2,FALSE)-VLOOKUP($A102,DATA!$A$3:$F$301,2,FALSE))^2+(VLOOKUP(BF$1,DATA!$A$3:$F$301,3,FALSE)-VLOOKUP($A102,DATA!$A$3:$F$301,3,FALSE))^2),"")</f>
        <v/>
      </c>
      <c r="BG102" s="14" t="str">
        <f>_xlfn.IFNA(SQRT((VLOOKUP(BG$1,DATA!$A$3:$F$301,2,FALSE)-VLOOKUP($A102,DATA!$A$3:$F$301,2,FALSE))^2+(VLOOKUP(BG$1,DATA!$A$3:$F$301,3,FALSE)-VLOOKUP($A102,DATA!$A$3:$F$301,3,FALSE))^2),"")</f>
        <v/>
      </c>
      <c r="BH102" s="14" t="str">
        <f>_xlfn.IFNA(SQRT((VLOOKUP(BH$1,DATA!$A$3:$F$301,2,FALSE)-VLOOKUP($A102,DATA!$A$3:$F$301,2,FALSE))^2+(VLOOKUP(BH$1,DATA!$A$3:$F$301,3,FALSE)-VLOOKUP($A102,DATA!$A$3:$F$301,3,FALSE))^2),"")</f>
        <v/>
      </c>
      <c r="BI102" s="14" t="str">
        <f>_xlfn.IFNA(SQRT((VLOOKUP(BI$1,DATA!$A$3:$F$301,2,FALSE)-VLOOKUP($A102,DATA!$A$3:$F$301,2,FALSE))^2+(VLOOKUP(BI$1,DATA!$A$3:$F$301,3,FALSE)-VLOOKUP($A102,DATA!$A$3:$F$301,3,FALSE))^2),"")</f>
        <v/>
      </c>
      <c r="BJ102" s="14" t="str">
        <f>_xlfn.IFNA(SQRT((VLOOKUP(BJ$1,DATA!$A$3:$F$301,2,FALSE)-VLOOKUP($A102,DATA!$A$3:$F$301,2,FALSE))^2+(VLOOKUP(BJ$1,DATA!$A$3:$F$301,3,FALSE)-VLOOKUP($A102,DATA!$A$3:$F$301,3,FALSE))^2),"")</f>
        <v/>
      </c>
      <c r="BK102" s="14" t="str">
        <f>_xlfn.IFNA(SQRT((VLOOKUP(BK$1,DATA!$A$3:$F$301,2,FALSE)-VLOOKUP($A102,DATA!$A$3:$F$301,2,FALSE))^2+(VLOOKUP(BK$1,DATA!$A$3:$F$301,3,FALSE)-VLOOKUP($A102,DATA!$A$3:$F$301,3,FALSE))^2),"")</f>
        <v/>
      </c>
      <c r="BL102" s="14" t="str">
        <f>_xlfn.IFNA(SQRT((VLOOKUP(BL$1,DATA!$A$3:$F$301,2,FALSE)-VLOOKUP($A102,DATA!$A$3:$F$301,2,FALSE))^2+(VLOOKUP(BL$1,DATA!$A$3:$F$301,3,FALSE)-VLOOKUP($A102,DATA!$A$3:$F$301,3,FALSE))^2),"")</f>
        <v/>
      </c>
      <c r="BM102" s="14" t="str">
        <f>_xlfn.IFNA(SQRT((VLOOKUP(BM$1,DATA!$A$3:$F$301,2,FALSE)-VLOOKUP($A102,DATA!$A$3:$F$301,2,FALSE))^2+(VLOOKUP(BM$1,DATA!$A$3:$F$301,3,FALSE)-VLOOKUP($A102,DATA!$A$3:$F$301,3,FALSE))^2),"")</f>
        <v/>
      </c>
      <c r="BN102" s="14" t="str">
        <f>_xlfn.IFNA(SQRT((VLOOKUP(BN$1,DATA!$A$3:$F$301,2,FALSE)-VLOOKUP($A102,DATA!$A$3:$F$301,2,FALSE))^2+(VLOOKUP(BN$1,DATA!$A$3:$F$301,3,FALSE)-VLOOKUP($A102,DATA!$A$3:$F$301,3,FALSE))^2),"")</f>
        <v/>
      </c>
      <c r="BO102" s="14" t="str">
        <f>_xlfn.IFNA(SQRT((VLOOKUP(BO$1,DATA!$A$3:$F$301,2,FALSE)-VLOOKUP($A102,DATA!$A$3:$F$301,2,FALSE))^2+(VLOOKUP(BO$1,DATA!$A$3:$F$301,3,FALSE)-VLOOKUP($A102,DATA!$A$3:$F$301,3,FALSE))^2),"")</f>
        <v/>
      </c>
      <c r="BP102" s="14" t="str">
        <f>_xlfn.IFNA(SQRT((VLOOKUP(BP$1,DATA!$A$3:$F$301,2,FALSE)-VLOOKUP($A102,DATA!$A$3:$F$301,2,FALSE))^2+(VLOOKUP(BP$1,DATA!$A$3:$F$301,3,FALSE)-VLOOKUP($A102,DATA!$A$3:$F$301,3,FALSE))^2),"")</f>
        <v/>
      </c>
      <c r="BQ102" s="14" t="str">
        <f>_xlfn.IFNA(SQRT((VLOOKUP(BQ$1,DATA!$A$3:$F$301,2,FALSE)-VLOOKUP($A102,DATA!$A$3:$F$301,2,FALSE))^2+(VLOOKUP(BQ$1,DATA!$A$3:$F$301,3,FALSE)-VLOOKUP($A102,DATA!$A$3:$F$301,3,FALSE))^2),"")</f>
        <v/>
      </c>
      <c r="BR102" s="14" t="str">
        <f>_xlfn.IFNA(SQRT((VLOOKUP(BR$1,DATA!$A$3:$F$301,2,FALSE)-VLOOKUP($A102,DATA!$A$3:$F$301,2,FALSE))^2+(VLOOKUP(BR$1,DATA!$A$3:$F$301,3,FALSE)-VLOOKUP($A102,DATA!$A$3:$F$301,3,FALSE))^2),"")</f>
        <v/>
      </c>
      <c r="BS102" s="14" t="str">
        <f>_xlfn.IFNA(SQRT((VLOOKUP(BS$1,DATA!$A$3:$F$301,2,FALSE)-VLOOKUP($A102,DATA!$A$3:$F$301,2,FALSE))^2+(VLOOKUP(BS$1,DATA!$A$3:$F$301,3,FALSE)-VLOOKUP($A102,DATA!$A$3:$F$301,3,FALSE))^2),"")</f>
        <v/>
      </c>
      <c r="BT102" s="14" t="str">
        <f>_xlfn.IFNA(SQRT((VLOOKUP(BT$1,DATA!$A$3:$F$301,2,FALSE)-VLOOKUP($A102,DATA!$A$3:$F$301,2,FALSE))^2+(VLOOKUP(BT$1,DATA!$A$3:$F$301,3,FALSE)-VLOOKUP($A102,DATA!$A$3:$F$301,3,FALSE))^2),"")</f>
        <v/>
      </c>
      <c r="BU102" s="14" t="str">
        <f>_xlfn.IFNA(SQRT((VLOOKUP(BU$1,DATA!$A$3:$F$301,2,FALSE)-VLOOKUP($A102,DATA!$A$3:$F$301,2,FALSE))^2+(VLOOKUP(BU$1,DATA!$A$3:$F$301,3,FALSE)-VLOOKUP($A102,DATA!$A$3:$F$301,3,FALSE))^2),"")</f>
        <v/>
      </c>
      <c r="BV102" s="14" t="str">
        <f>_xlfn.IFNA(SQRT((VLOOKUP(BV$1,DATA!$A$3:$F$301,2,FALSE)-VLOOKUP($A102,DATA!$A$3:$F$301,2,FALSE))^2+(VLOOKUP(BV$1,DATA!$A$3:$F$301,3,FALSE)-VLOOKUP($A102,DATA!$A$3:$F$301,3,FALSE))^2),"")</f>
        <v/>
      </c>
      <c r="BW102" s="14" t="str">
        <f>_xlfn.IFNA(SQRT((VLOOKUP(BW$1,DATA!$A$3:$F$301,2,FALSE)-VLOOKUP($A102,DATA!$A$3:$F$301,2,FALSE))^2+(VLOOKUP(BW$1,DATA!$A$3:$F$301,3,FALSE)-VLOOKUP($A102,DATA!$A$3:$F$301,3,FALSE))^2),"")</f>
        <v/>
      </c>
      <c r="BX102" s="14" t="str">
        <f>_xlfn.IFNA(SQRT((VLOOKUP(BX$1,DATA!$A$3:$F$301,2,FALSE)-VLOOKUP($A102,DATA!$A$3:$F$301,2,FALSE))^2+(VLOOKUP(BX$1,DATA!$A$3:$F$301,3,FALSE)-VLOOKUP($A102,DATA!$A$3:$F$301,3,FALSE))^2),"")</f>
        <v/>
      </c>
      <c r="BY102" s="14" t="str">
        <f>_xlfn.IFNA(SQRT((VLOOKUP(BY$1,DATA!$A$3:$F$301,2,FALSE)-VLOOKUP($A102,DATA!$A$3:$F$301,2,FALSE))^2+(VLOOKUP(BY$1,DATA!$A$3:$F$301,3,FALSE)-VLOOKUP($A102,DATA!$A$3:$F$301,3,FALSE))^2),"")</f>
        <v/>
      </c>
      <c r="BZ102" s="14" t="str">
        <f>_xlfn.IFNA(SQRT((VLOOKUP(BZ$1,DATA!$A$3:$F$301,2,FALSE)-VLOOKUP($A102,DATA!$A$3:$F$301,2,FALSE))^2+(VLOOKUP(BZ$1,DATA!$A$3:$F$301,3,FALSE)-VLOOKUP($A102,DATA!$A$3:$F$301,3,FALSE))^2),"")</f>
        <v/>
      </c>
      <c r="CA102" s="14" t="str">
        <f>_xlfn.IFNA(SQRT((VLOOKUP(CA$1,DATA!$A$3:$F$301,2,FALSE)-VLOOKUP($A102,DATA!$A$3:$F$301,2,FALSE))^2+(VLOOKUP(CA$1,DATA!$A$3:$F$301,3,FALSE)-VLOOKUP($A102,DATA!$A$3:$F$301,3,FALSE))^2),"")</f>
        <v/>
      </c>
      <c r="CB102" s="14" t="str">
        <f>_xlfn.IFNA(SQRT((VLOOKUP(CB$1,DATA!$A$3:$F$301,2,FALSE)-VLOOKUP($A102,DATA!$A$3:$F$301,2,FALSE))^2+(VLOOKUP(CB$1,DATA!$A$3:$F$301,3,FALSE)-VLOOKUP($A102,DATA!$A$3:$F$301,3,FALSE))^2),"")</f>
        <v/>
      </c>
      <c r="CC102" s="14" t="str">
        <f>_xlfn.IFNA(SQRT((VLOOKUP(CC$1,DATA!$A$3:$F$301,2,FALSE)-VLOOKUP($A102,DATA!$A$3:$F$301,2,FALSE))^2+(VLOOKUP(CC$1,DATA!$A$3:$F$301,3,FALSE)-VLOOKUP($A102,DATA!$A$3:$F$301,3,FALSE))^2),"")</f>
        <v/>
      </c>
      <c r="CD102" s="14" t="str">
        <f>_xlfn.IFNA(SQRT((VLOOKUP(CD$1,DATA!$A$3:$F$301,2,FALSE)-VLOOKUP($A102,DATA!$A$3:$F$301,2,FALSE))^2+(VLOOKUP(CD$1,DATA!$A$3:$F$301,3,FALSE)-VLOOKUP($A102,DATA!$A$3:$F$301,3,FALSE))^2),"")</f>
        <v/>
      </c>
      <c r="CE102" s="14" t="str">
        <f>_xlfn.IFNA(SQRT((VLOOKUP(CE$1,DATA!$A$3:$F$301,2,FALSE)-VLOOKUP($A102,DATA!$A$3:$F$301,2,FALSE))^2+(VLOOKUP(CE$1,DATA!$A$3:$F$301,3,FALSE)-VLOOKUP($A102,DATA!$A$3:$F$301,3,FALSE))^2),"")</f>
        <v/>
      </c>
      <c r="CF102" s="14" t="str">
        <f>_xlfn.IFNA(SQRT((VLOOKUP(CF$1,DATA!$A$3:$F$301,2,FALSE)-VLOOKUP($A102,DATA!$A$3:$F$301,2,FALSE))^2+(VLOOKUP(CF$1,DATA!$A$3:$F$301,3,FALSE)-VLOOKUP($A102,DATA!$A$3:$F$301,3,FALSE))^2),"")</f>
        <v/>
      </c>
      <c r="CG102" s="14" t="str">
        <f>_xlfn.IFNA(SQRT((VLOOKUP(CG$1,DATA!$A$3:$F$301,2,FALSE)-VLOOKUP($A102,DATA!$A$3:$F$301,2,FALSE))^2+(VLOOKUP(CG$1,DATA!$A$3:$F$301,3,FALSE)-VLOOKUP($A102,DATA!$A$3:$F$301,3,FALSE))^2),"")</f>
        <v/>
      </c>
      <c r="CH102" s="14" t="str">
        <f>_xlfn.IFNA(SQRT((VLOOKUP(CH$1,DATA!$A$3:$F$301,2,FALSE)-VLOOKUP($A102,DATA!$A$3:$F$301,2,FALSE))^2+(VLOOKUP(CH$1,DATA!$A$3:$F$301,3,FALSE)-VLOOKUP($A102,DATA!$A$3:$F$301,3,FALSE))^2),"")</f>
        <v/>
      </c>
      <c r="CI102" s="14" t="str">
        <f>_xlfn.IFNA(SQRT((VLOOKUP(CI$1,DATA!$A$3:$F$301,2,FALSE)-VLOOKUP($A102,DATA!$A$3:$F$301,2,FALSE))^2+(VLOOKUP(CI$1,DATA!$A$3:$F$301,3,FALSE)-VLOOKUP($A102,DATA!$A$3:$F$301,3,FALSE))^2),"")</f>
        <v/>
      </c>
      <c r="CJ102" s="14" t="str">
        <f>_xlfn.IFNA(SQRT((VLOOKUP(CJ$1,DATA!$A$3:$F$301,2,FALSE)-VLOOKUP($A102,DATA!$A$3:$F$301,2,FALSE))^2+(VLOOKUP(CJ$1,DATA!$A$3:$F$301,3,FALSE)-VLOOKUP($A102,DATA!$A$3:$F$301,3,FALSE))^2),"")</f>
        <v/>
      </c>
      <c r="CK102" s="14" t="str">
        <f>_xlfn.IFNA(SQRT((VLOOKUP(CK$1,DATA!$A$3:$F$301,2,FALSE)-VLOOKUP($A102,DATA!$A$3:$F$301,2,FALSE))^2+(VLOOKUP(CK$1,DATA!$A$3:$F$301,3,FALSE)-VLOOKUP($A102,DATA!$A$3:$F$301,3,FALSE))^2),"")</f>
        <v/>
      </c>
      <c r="CL102" s="14" t="str">
        <f>_xlfn.IFNA(SQRT((VLOOKUP(CL$1,DATA!$A$3:$F$301,2,FALSE)-VLOOKUP($A102,DATA!$A$3:$F$301,2,FALSE))^2+(VLOOKUP(CL$1,DATA!$A$3:$F$301,3,FALSE)-VLOOKUP($A102,DATA!$A$3:$F$301,3,FALSE))^2),"")</f>
        <v/>
      </c>
      <c r="CM102" s="14" t="str">
        <f>_xlfn.IFNA(SQRT((VLOOKUP(CM$1,DATA!$A$3:$F$301,2,FALSE)-VLOOKUP($A102,DATA!$A$3:$F$301,2,FALSE))^2+(VLOOKUP(CM$1,DATA!$A$3:$F$301,3,FALSE)-VLOOKUP($A102,DATA!$A$3:$F$301,3,FALSE))^2),"")</f>
        <v/>
      </c>
      <c r="CN102" s="14" t="str">
        <f>_xlfn.IFNA(SQRT((VLOOKUP(CN$1,DATA!$A$3:$F$301,2,FALSE)-VLOOKUP($A102,DATA!$A$3:$F$301,2,FALSE))^2+(VLOOKUP(CN$1,DATA!$A$3:$F$301,3,FALSE)-VLOOKUP($A102,DATA!$A$3:$F$301,3,FALSE))^2),"")</f>
        <v/>
      </c>
      <c r="CO102" s="14" t="str">
        <f>_xlfn.IFNA(SQRT((VLOOKUP(CO$1,DATA!$A$3:$F$301,2,FALSE)-VLOOKUP($A102,DATA!$A$3:$F$301,2,FALSE))^2+(VLOOKUP(CO$1,DATA!$A$3:$F$301,3,FALSE)-VLOOKUP($A102,DATA!$A$3:$F$301,3,FALSE))^2),"")</f>
        <v/>
      </c>
      <c r="CP102" s="14" t="str">
        <f>_xlfn.IFNA(SQRT((VLOOKUP(CP$1,DATA!$A$3:$F$301,2,FALSE)-VLOOKUP($A102,DATA!$A$3:$F$301,2,FALSE))^2+(VLOOKUP(CP$1,DATA!$A$3:$F$301,3,FALSE)-VLOOKUP($A102,DATA!$A$3:$F$301,3,FALSE))^2),"")</f>
        <v/>
      </c>
      <c r="CQ102" s="14" t="str">
        <f>_xlfn.IFNA(SQRT((VLOOKUP(CQ$1,DATA!$A$3:$F$301,2,FALSE)-VLOOKUP($A102,DATA!$A$3:$F$301,2,FALSE))^2+(VLOOKUP(CQ$1,DATA!$A$3:$F$301,3,FALSE)-VLOOKUP($A102,DATA!$A$3:$F$301,3,FALSE))^2),"")</f>
        <v/>
      </c>
      <c r="CR102" s="14" t="str">
        <f>_xlfn.IFNA(SQRT((VLOOKUP(CR$1,DATA!$A$3:$F$301,2,FALSE)-VLOOKUP($A102,DATA!$A$3:$F$301,2,FALSE))^2+(VLOOKUP(CR$1,DATA!$A$3:$F$301,3,FALSE)-VLOOKUP($A102,DATA!$A$3:$F$301,3,FALSE))^2),"")</f>
        <v/>
      </c>
      <c r="CS102" s="14" t="str">
        <f>_xlfn.IFNA(SQRT((VLOOKUP(CS$1,DATA!$A$3:$F$301,2,FALSE)-VLOOKUP($A102,DATA!$A$3:$F$301,2,FALSE))^2+(VLOOKUP(CS$1,DATA!$A$3:$F$301,3,FALSE)-VLOOKUP($A102,DATA!$A$3:$F$301,3,FALSE))^2),"")</f>
        <v/>
      </c>
      <c r="CT102" s="14" t="str">
        <f>_xlfn.IFNA(SQRT((VLOOKUP(CT$1,DATA!$A$3:$F$301,2,FALSE)-VLOOKUP($A102,DATA!$A$3:$F$301,2,FALSE))^2+(VLOOKUP(CT$1,DATA!$A$3:$F$301,3,FALSE)-VLOOKUP($A102,DATA!$A$3:$F$301,3,FALSE))^2),"")</f>
        <v/>
      </c>
      <c r="CU102" s="14" t="str">
        <f>_xlfn.IFNA(SQRT((VLOOKUP(CU$1,DATA!$A$3:$F$301,2,FALSE)-VLOOKUP($A102,DATA!$A$3:$F$301,2,FALSE))^2+(VLOOKUP(CU$1,DATA!$A$3:$F$301,3,FALSE)-VLOOKUP($A102,DATA!$A$3:$F$301,3,FALSE))^2),"")</f>
        <v/>
      </c>
      <c r="CV102" s="14" t="str">
        <f>_xlfn.IFNA(SQRT((VLOOKUP(CV$1,DATA!$A$3:$F$301,2,FALSE)-VLOOKUP($A102,DATA!$A$3:$F$301,2,FALSE))^2+(VLOOKUP(CV$1,DATA!$A$3:$F$301,3,FALSE)-VLOOKUP($A102,DATA!$A$3:$F$301,3,FALSE))^2),"")</f>
        <v/>
      </c>
      <c r="CW102" s="14" t="str">
        <f>_xlfn.IFNA(SQRT((VLOOKUP(CW$1,DATA!$A$3:$F$301,2,FALSE)-VLOOKUP($A102,DATA!$A$3:$F$301,2,FALSE))^2+(VLOOKUP(CW$1,DATA!$A$3:$F$301,3,FALSE)-VLOOKUP($A102,DATA!$A$3:$F$301,3,FALSE))^2),"")</f>
        <v/>
      </c>
      <c r="CX102" s="14" t="str">
        <f>_xlfn.IFNA(SQRT((VLOOKUP(CX$1,DATA!$A$3:$F$301,2,FALSE)-VLOOKUP($A102,DATA!$A$3:$F$301,2,FALSE))^2+(VLOOKUP(CX$1,DATA!$A$3:$F$301,3,FALSE)-VLOOKUP($A102,DATA!$A$3:$F$301,3,FALSE))^2),"")</f>
        <v/>
      </c>
    </row>
  </sheetData>
  <conditionalFormatting sqref="B2:CX10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42"/>
  <sheetViews>
    <sheetView tabSelected="1" topLeftCell="A22" workbookViewId="0">
      <selection activeCell="E29" sqref="E29"/>
    </sheetView>
  </sheetViews>
  <sheetFormatPr defaultColWidth="0" defaultRowHeight="14.4" zeroHeight="1"/>
  <cols>
    <col min="1" max="6" width="10.77734375" customWidth="1"/>
    <col min="7" max="16384" width="10.77734375" hidden="1"/>
  </cols>
  <sheetData>
    <row r="1" spans="1:6">
      <c r="A1" s="31" t="s">
        <v>57</v>
      </c>
      <c r="B1" s="26">
        <v>2500</v>
      </c>
      <c r="C1" s="26"/>
      <c r="D1" s="26"/>
      <c r="E1" s="26"/>
      <c r="F1" s="26"/>
    </row>
    <row r="2" spans="1:6">
      <c r="A2" s="32" t="s">
        <v>55</v>
      </c>
      <c r="B2" s="32" t="s">
        <v>26</v>
      </c>
      <c r="C2" s="32" t="s">
        <v>27</v>
      </c>
      <c r="D2" s="32" t="s">
        <v>56</v>
      </c>
      <c r="E2" s="32" t="s">
        <v>171</v>
      </c>
      <c r="F2" s="32" t="s">
        <v>58</v>
      </c>
    </row>
    <row r="3" spans="1:6">
      <c r="A3">
        <v>1</v>
      </c>
      <c r="B3">
        <v>17</v>
      </c>
      <c r="C3">
        <v>33</v>
      </c>
      <c r="D3">
        <v>0</v>
      </c>
      <c r="E3">
        <v>0</v>
      </c>
      <c r="F3">
        <v>10000</v>
      </c>
    </row>
    <row r="4" spans="1:6">
      <c r="A4">
        <v>2</v>
      </c>
      <c r="B4">
        <v>12</v>
      </c>
      <c r="C4">
        <v>32</v>
      </c>
      <c r="D4">
        <v>114</v>
      </c>
      <c r="E4">
        <v>750</v>
      </c>
      <c r="F4">
        <v>975</v>
      </c>
    </row>
    <row r="5" spans="1:6">
      <c r="A5">
        <v>3</v>
      </c>
      <c r="B5">
        <v>17</v>
      </c>
      <c r="C5">
        <v>45</v>
      </c>
      <c r="D5">
        <v>247</v>
      </c>
      <c r="E5">
        <v>300</v>
      </c>
      <c r="F5">
        <v>400</v>
      </c>
    </row>
    <row r="6" spans="1:6">
      <c r="A6">
        <v>4</v>
      </c>
      <c r="B6">
        <v>21</v>
      </c>
      <c r="C6">
        <v>38</v>
      </c>
      <c r="D6">
        <v>190</v>
      </c>
      <c r="E6">
        <v>650</v>
      </c>
      <c r="F6">
        <v>750</v>
      </c>
    </row>
    <row r="7" spans="1:6">
      <c r="A7">
        <v>5</v>
      </c>
      <c r="B7">
        <v>8</v>
      </c>
      <c r="C7">
        <v>9</v>
      </c>
      <c r="D7">
        <v>247</v>
      </c>
      <c r="E7">
        <v>700</v>
      </c>
      <c r="F7">
        <v>800</v>
      </c>
    </row>
    <row r="8" spans="1:6">
      <c r="A8">
        <v>6</v>
      </c>
      <c r="B8">
        <v>38</v>
      </c>
      <c r="C8">
        <v>24</v>
      </c>
      <c r="D8">
        <v>266</v>
      </c>
      <c r="E8">
        <v>400</v>
      </c>
      <c r="F8">
        <v>550</v>
      </c>
    </row>
    <row r="9" spans="1:6">
      <c r="A9">
        <v>7</v>
      </c>
      <c r="B9">
        <v>47</v>
      </c>
      <c r="C9">
        <v>34</v>
      </c>
      <c r="D9">
        <v>171</v>
      </c>
      <c r="E9">
        <v>350</v>
      </c>
      <c r="F9">
        <v>575</v>
      </c>
    </row>
    <row r="10" spans="1:6">
      <c r="A10">
        <v>8</v>
      </c>
      <c r="B10">
        <v>43</v>
      </c>
      <c r="C10">
        <v>11</v>
      </c>
      <c r="D10">
        <v>285</v>
      </c>
      <c r="E10">
        <v>750</v>
      </c>
      <c r="F10">
        <v>1000</v>
      </c>
    </row>
    <row r="11" spans="1:6">
      <c r="A11">
        <v>9</v>
      </c>
      <c r="B11">
        <v>31</v>
      </c>
      <c r="C11">
        <v>28</v>
      </c>
      <c r="D11">
        <v>247</v>
      </c>
      <c r="E11">
        <v>600</v>
      </c>
      <c r="F11">
        <v>875</v>
      </c>
    </row>
    <row r="12" spans="1:6">
      <c r="A12">
        <v>10</v>
      </c>
      <c r="B12">
        <v>10</v>
      </c>
      <c r="C12">
        <v>44</v>
      </c>
      <c r="D12">
        <v>209</v>
      </c>
      <c r="E12">
        <v>550</v>
      </c>
      <c r="F12">
        <v>700</v>
      </c>
    </row>
    <row r="13" spans="1:6">
      <c r="A13">
        <v>11</v>
      </c>
      <c r="B13">
        <v>44</v>
      </c>
      <c r="C13">
        <v>18</v>
      </c>
      <c r="D13">
        <v>285</v>
      </c>
      <c r="E13">
        <v>400</v>
      </c>
      <c r="F13">
        <v>625</v>
      </c>
    </row>
    <row r="14" spans="1:6">
      <c r="A14">
        <v>12</v>
      </c>
      <c r="B14">
        <v>19</v>
      </c>
      <c r="C14">
        <v>21</v>
      </c>
      <c r="D14">
        <v>247</v>
      </c>
      <c r="E14">
        <v>350</v>
      </c>
      <c r="F14">
        <v>450</v>
      </c>
    </row>
    <row r="15" spans="1:6">
      <c r="A15">
        <v>13</v>
      </c>
      <c r="B15">
        <v>23</v>
      </c>
      <c r="C15">
        <v>32</v>
      </c>
      <c r="D15">
        <v>190</v>
      </c>
      <c r="E15">
        <v>600</v>
      </c>
      <c r="F15">
        <v>875</v>
      </c>
    </row>
    <row r="16" spans="1:6">
      <c r="A16">
        <v>14</v>
      </c>
      <c r="B16">
        <v>6</v>
      </c>
      <c r="C16">
        <v>2</v>
      </c>
      <c r="D16">
        <v>133</v>
      </c>
      <c r="E16">
        <v>250</v>
      </c>
      <c r="F16">
        <v>375</v>
      </c>
    </row>
    <row r="17" spans="1:6">
      <c r="A17">
        <v>15</v>
      </c>
      <c r="B17">
        <v>47</v>
      </c>
      <c r="C17">
        <v>3</v>
      </c>
      <c r="D17">
        <v>209</v>
      </c>
      <c r="E17">
        <v>550</v>
      </c>
      <c r="F17">
        <v>825</v>
      </c>
    </row>
    <row r="18" spans="1:6">
      <c r="A18">
        <v>16</v>
      </c>
      <c r="B18">
        <v>40</v>
      </c>
      <c r="C18">
        <v>24</v>
      </c>
      <c r="D18">
        <v>171</v>
      </c>
      <c r="E18">
        <v>400</v>
      </c>
      <c r="F18">
        <v>700</v>
      </c>
    </row>
    <row r="19" spans="1:6">
      <c r="A19">
        <v>17</v>
      </c>
      <c r="B19">
        <v>36</v>
      </c>
      <c r="C19">
        <v>47</v>
      </c>
      <c r="D19">
        <v>266</v>
      </c>
      <c r="E19">
        <v>550</v>
      </c>
      <c r="F19">
        <v>800</v>
      </c>
    </row>
    <row r="20" spans="1:6">
      <c r="A20">
        <v>18</v>
      </c>
      <c r="B20">
        <v>34</v>
      </c>
      <c r="C20">
        <v>19</v>
      </c>
      <c r="D20">
        <v>247</v>
      </c>
      <c r="E20">
        <v>450</v>
      </c>
      <c r="F20">
        <v>725</v>
      </c>
    </row>
    <row r="21" spans="1:6">
      <c r="A21">
        <v>19</v>
      </c>
      <c r="B21">
        <v>16</v>
      </c>
      <c r="C21">
        <v>3</v>
      </c>
      <c r="D21">
        <v>114</v>
      </c>
      <c r="E21">
        <v>350</v>
      </c>
      <c r="F21">
        <v>475</v>
      </c>
    </row>
    <row r="22" spans="1:6">
      <c r="A22">
        <v>20</v>
      </c>
      <c r="B22">
        <v>31</v>
      </c>
      <c r="C22">
        <v>42</v>
      </c>
      <c r="D22">
        <v>209</v>
      </c>
      <c r="E22">
        <v>700</v>
      </c>
      <c r="F22">
        <v>925</v>
      </c>
    </row>
    <row r="23" spans="1:6">
      <c r="A23">
        <v>21</v>
      </c>
      <c r="B23">
        <v>40</v>
      </c>
      <c r="C23">
        <v>32</v>
      </c>
      <c r="D23">
        <v>266</v>
      </c>
      <c r="E23">
        <v>400</v>
      </c>
      <c r="F23">
        <v>625</v>
      </c>
    </row>
    <row r="24" spans="1:6">
      <c r="A24">
        <v>22</v>
      </c>
      <c r="B24">
        <v>44</v>
      </c>
      <c r="C24">
        <v>39</v>
      </c>
      <c r="D24">
        <v>95</v>
      </c>
      <c r="E24">
        <v>500</v>
      </c>
      <c r="F24">
        <v>800</v>
      </c>
    </row>
    <row r="25" spans="1:6">
      <c r="A25">
        <v>23</v>
      </c>
      <c r="B25">
        <v>50</v>
      </c>
      <c r="C25">
        <v>40</v>
      </c>
      <c r="D25">
        <v>247</v>
      </c>
      <c r="E25">
        <v>450</v>
      </c>
      <c r="F25">
        <v>725</v>
      </c>
    </row>
    <row r="26" spans="1:6">
      <c r="A26">
        <v>24</v>
      </c>
      <c r="B26">
        <v>42</v>
      </c>
      <c r="C26">
        <v>12</v>
      </c>
      <c r="D26">
        <v>266</v>
      </c>
      <c r="E26">
        <v>550</v>
      </c>
      <c r="F26">
        <v>650</v>
      </c>
    </row>
    <row r="27" spans="1:6">
      <c r="A27">
        <v>25</v>
      </c>
      <c r="B27">
        <v>34</v>
      </c>
      <c r="C27">
        <v>48</v>
      </c>
      <c r="D27">
        <v>171</v>
      </c>
      <c r="E27">
        <v>500</v>
      </c>
      <c r="F27">
        <v>775</v>
      </c>
    </row>
    <row r="28" spans="1:6">
      <c r="A28">
        <v>26</v>
      </c>
      <c r="B28">
        <v>28</v>
      </c>
      <c r="C28">
        <v>11</v>
      </c>
      <c r="D28">
        <v>95</v>
      </c>
      <c r="E28">
        <v>500</v>
      </c>
      <c r="F28">
        <v>600</v>
      </c>
    </row>
    <row r="29" spans="1:6">
      <c r="A29">
        <v>27</v>
      </c>
      <c r="B29">
        <v>15</v>
      </c>
      <c r="C29">
        <v>47</v>
      </c>
      <c r="D29">
        <v>266</v>
      </c>
      <c r="E29">
        <v>450</v>
      </c>
      <c r="F29">
        <v>675</v>
      </c>
    </row>
    <row r="30" spans="1:6">
      <c r="A30">
        <v>28</v>
      </c>
      <c r="B30">
        <v>17</v>
      </c>
      <c r="C30">
        <v>11</v>
      </c>
      <c r="D30">
        <v>209</v>
      </c>
      <c r="E30">
        <v>50</v>
      </c>
      <c r="F30">
        <v>300</v>
      </c>
    </row>
    <row r="31" spans="1:6">
      <c r="A31">
        <v>29</v>
      </c>
      <c r="B31">
        <v>48</v>
      </c>
      <c r="C31">
        <v>43</v>
      </c>
      <c r="D31">
        <v>209</v>
      </c>
      <c r="E31">
        <v>300</v>
      </c>
      <c r="F31">
        <v>475</v>
      </c>
    </row>
    <row r="32" spans="1:6">
      <c r="A32">
        <v>30</v>
      </c>
      <c r="B32">
        <v>1</v>
      </c>
      <c r="C32">
        <v>12</v>
      </c>
      <c r="D32">
        <v>247</v>
      </c>
      <c r="E32">
        <v>150</v>
      </c>
      <c r="F32">
        <v>450</v>
      </c>
    </row>
    <row r="33" spans="1:6">
      <c r="A33">
        <v>31</v>
      </c>
      <c r="B33">
        <v>37</v>
      </c>
      <c r="C33">
        <v>42</v>
      </c>
      <c r="D33">
        <v>266</v>
      </c>
      <c r="E33">
        <v>300</v>
      </c>
      <c r="F33">
        <v>475</v>
      </c>
    </row>
    <row r="34" spans="1:6">
      <c r="A34">
        <v>32</v>
      </c>
      <c r="B34">
        <v>17</v>
      </c>
      <c r="C34">
        <v>13</v>
      </c>
      <c r="D34">
        <v>247</v>
      </c>
      <c r="E34">
        <v>50</v>
      </c>
      <c r="F34">
        <v>250</v>
      </c>
    </row>
    <row r="35" spans="1:6">
      <c r="A35">
        <v>33</v>
      </c>
      <c r="B35">
        <v>30</v>
      </c>
      <c r="C35">
        <v>24</v>
      </c>
      <c r="D35">
        <v>228</v>
      </c>
      <c r="E35">
        <v>250</v>
      </c>
      <c r="F35">
        <v>525</v>
      </c>
    </row>
    <row r="36" spans="1:6">
      <c r="A36">
        <v>34</v>
      </c>
      <c r="B36">
        <v>33</v>
      </c>
      <c r="C36">
        <v>47</v>
      </c>
      <c r="D36">
        <v>171</v>
      </c>
      <c r="E36">
        <v>50</v>
      </c>
      <c r="F36">
        <v>225</v>
      </c>
    </row>
    <row r="37" spans="1:6">
      <c r="A37">
        <v>35</v>
      </c>
      <c r="B37">
        <v>47</v>
      </c>
      <c r="C37">
        <v>27</v>
      </c>
      <c r="D37">
        <v>228</v>
      </c>
      <c r="E37">
        <v>150</v>
      </c>
      <c r="F37">
        <v>275</v>
      </c>
    </row>
    <row r="38" spans="1:6">
      <c r="A38">
        <v>36</v>
      </c>
      <c r="B38">
        <v>24</v>
      </c>
      <c r="C38">
        <v>18</v>
      </c>
      <c r="D38">
        <v>228</v>
      </c>
      <c r="E38">
        <v>450</v>
      </c>
      <c r="F38">
        <v>750</v>
      </c>
    </row>
    <row r="39" spans="1:6">
      <c r="A39">
        <v>37</v>
      </c>
      <c r="B39">
        <v>39</v>
      </c>
      <c r="C39">
        <v>1</v>
      </c>
      <c r="D39">
        <v>152</v>
      </c>
      <c r="E39">
        <v>450</v>
      </c>
      <c r="F39">
        <v>725</v>
      </c>
    </row>
    <row r="40" spans="1:6">
      <c r="A40">
        <v>38</v>
      </c>
      <c r="B40">
        <v>25</v>
      </c>
      <c r="C40">
        <v>8</v>
      </c>
      <c r="D40">
        <v>133</v>
      </c>
      <c r="E40">
        <v>450</v>
      </c>
      <c r="F40">
        <v>650</v>
      </c>
    </row>
    <row r="41" spans="1:6">
      <c r="A41">
        <v>39</v>
      </c>
      <c r="B41">
        <v>48</v>
      </c>
      <c r="C41">
        <v>44</v>
      </c>
      <c r="D41">
        <v>152</v>
      </c>
      <c r="E41">
        <v>350</v>
      </c>
      <c r="F41">
        <v>500</v>
      </c>
    </row>
    <row r="42" spans="1:6">
      <c r="A42">
        <v>40</v>
      </c>
      <c r="B42">
        <v>24</v>
      </c>
      <c r="C42">
        <v>19</v>
      </c>
      <c r="D42">
        <v>228</v>
      </c>
      <c r="E42">
        <v>625</v>
      </c>
      <c r="F42">
        <v>750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I1265"/>
  <sheetViews>
    <sheetView workbookViewId="0">
      <selection activeCell="L131" sqref="L131"/>
    </sheetView>
  </sheetViews>
  <sheetFormatPr defaultColWidth="11.5546875" defaultRowHeight="14.4"/>
  <sheetData>
    <row r="1" spans="1:9" ht="17.399999999999999">
      <c r="A1" s="1" t="s">
        <v>11</v>
      </c>
    </row>
    <row r="2" spans="1:9">
      <c r="A2" s="3" t="s">
        <v>25</v>
      </c>
      <c r="C2" s="9" t="s">
        <v>12</v>
      </c>
    </row>
    <row r="4" spans="1:9" ht="17.399999999999999">
      <c r="A4" s="2" t="s">
        <v>13</v>
      </c>
    </row>
    <row r="5" spans="1:9">
      <c r="A5" s="4"/>
      <c r="I5" s="4"/>
    </row>
    <row r="6" spans="1:9">
      <c r="A6" s="5"/>
      <c r="B6" t="s">
        <v>32</v>
      </c>
      <c r="C6" t="s">
        <v>26</v>
      </c>
      <c r="D6" t="s">
        <v>27</v>
      </c>
      <c r="E6" t="s">
        <v>28</v>
      </c>
      <c r="F6" t="s">
        <v>29</v>
      </c>
      <c r="G6" t="s">
        <v>30</v>
      </c>
      <c r="H6" t="s">
        <v>31</v>
      </c>
      <c r="I6" s="5"/>
    </row>
    <row r="7" spans="1:9">
      <c r="A7" s="6"/>
      <c r="B7">
        <v>1</v>
      </c>
      <c r="C7">
        <v>35</v>
      </c>
      <c r="D7">
        <v>35</v>
      </c>
      <c r="E7">
        <v>0</v>
      </c>
      <c r="F7">
        <v>0</v>
      </c>
      <c r="G7">
        <v>230</v>
      </c>
      <c r="H7">
        <v>0</v>
      </c>
      <c r="I7" s="6"/>
    </row>
    <row r="8" spans="1:9">
      <c r="A8" s="6"/>
      <c r="B8">
        <v>2</v>
      </c>
      <c r="C8">
        <v>41</v>
      </c>
      <c r="D8">
        <v>49</v>
      </c>
      <c r="E8">
        <v>10</v>
      </c>
      <c r="F8">
        <v>161</v>
      </c>
      <c r="G8">
        <v>171</v>
      </c>
      <c r="H8">
        <v>10</v>
      </c>
      <c r="I8" s="6"/>
    </row>
    <row r="9" spans="1:9">
      <c r="A9" s="6"/>
      <c r="B9">
        <v>3</v>
      </c>
      <c r="C9">
        <v>35</v>
      </c>
      <c r="D9">
        <v>17</v>
      </c>
      <c r="E9">
        <v>7</v>
      </c>
      <c r="F9">
        <v>50</v>
      </c>
      <c r="G9">
        <v>60</v>
      </c>
      <c r="H9">
        <v>10</v>
      </c>
      <c r="I9" s="6"/>
    </row>
    <row r="10" spans="1:9">
      <c r="A10" s="6"/>
      <c r="B10">
        <v>4</v>
      </c>
      <c r="C10">
        <v>55</v>
      </c>
      <c r="D10">
        <v>45</v>
      </c>
      <c r="E10">
        <v>13</v>
      </c>
      <c r="F10">
        <v>116</v>
      </c>
      <c r="G10">
        <v>126</v>
      </c>
      <c r="H10">
        <v>10</v>
      </c>
      <c r="I10" s="6"/>
    </row>
    <row r="11" spans="1:9">
      <c r="A11" s="6"/>
      <c r="B11">
        <v>5</v>
      </c>
      <c r="C11">
        <v>55</v>
      </c>
      <c r="D11">
        <v>20</v>
      </c>
      <c r="E11">
        <v>19</v>
      </c>
      <c r="F11">
        <v>149</v>
      </c>
      <c r="G11">
        <v>159</v>
      </c>
      <c r="H11">
        <v>10</v>
      </c>
      <c r="I11" s="6"/>
    </row>
    <row r="12" spans="1:9">
      <c r="A12" s="6"/>
      <c r="B12">
        <v>6</v>
      </c>
      <c r="C12">
        <v>15</v>
      </c>
      <c r="D12">
        <v>30</v>
      </c>
      <c r="E12">
        <v>26</v>
      </c>
      <c r="F12">
        <v>34</v>
      </c>
      <c r="G12">
        <v>44</v>
      </c>
      <c r="H12">
        <v>10</v>
      </c>
      <c r="I12" s="6"/>
    </row>
    <row r="13" spans="1:9">
      <c r="A13" s="6"/>
      <c r="B13">
        <v>7</v>
      </c>
      <c r="C13">
        <v>25</v>
      </c>
      <c r="D13">
        <v>30</v>
      </c>
      <c r="E13">
        <v>3</v>
      </c>
      <c r="F13">
        <v>99</v>
      </c>
      <c r="G13">
        <v>109</v>
      </c>
      <c r="H13">
        <v>10</v>
      </c>
      <c r="I13" s="6"/>
    </row>
    <row r="14" spans="1:9">
      <c r="A14" s="6"/>
      <c r="B14">
        <v>8</v>
      </c>
      <c r="C14">
        <v>20</v>
      </c>
      <c r="D14">
        <v>50</v>
      </c>
      <c r="E14">
        <v>5</v>
      </c>
      <c r="F14">
        <v>81</v>
      </c>
      <c r="G14">
        <v>91</v>
      </c>
      <c r="H14">
        <v>10</v>
      </c>
      <c r="I14" s="6"/>
    </row>
    <row r="15" spans="1:9">
      <c r="A15" s="6"/>
      <c r="B15">
        <v>9</v>
      </c>
      <c r="C15">
        <v>10</v>
      </c>
      <c r="D15">
        <v>43</v>
      </c>
      <c r="E15">
        <v>9</v>
      </c>
      <c r="F15">
        <v>95</v>
      </c>
      <c r="G15">
        <v>105</v>
      </c>
      <c r="H15">
        <v>10</v>
      </c>
      <c r="I15" s="6"/>
    </row>
    <row r="16" spans="1:9">
      <c r="A16" s="6"/>
      <c r="B16">
        <v>10</v>
      </c>
      <c r="C16">
        <v>55</v>
      </c>
      <c r="D16">
        <v>60</v>
      </c>
      <c r="E16">
        <v>16</v>
      </c>
      <c r="F16">
        <v>97</v>
      </c>
      <c r="G16">
        <v>107</v>
      </c>
      <c r="H16">
        <v>10</v>
      </c>
      <c r="I16" s="6"/>
    </row>
    <row r="17" spans="1:9">
      <c r="A17" s="6"/>
      <c r="B17">
        <v>11</v>
      </c>
      <c r="C17">
        <v>30</v>
      </c>
      <c r="D17">
        <v>60</v>
      </c>
      <c r="E17">
        <v>16</v>
      </c>
      <c r="F17">
        <v>124</v>
      </c>
      <c r="G17">
        <v>134</v>
      </c>
      <c r="H17">
        <v>10</v>
      </c>
      <c r="I17" s="6"/>
    </row>
    <row r="18" spans="1:9">
      <c r="A18" s="6"/>
      <c r="B18">
        <v>12</v>
      </c>
      <c r="C18">
        <v>20</v>
      </c>
      <c r="D18">
        <v>65</v>
      </c>
      <c r="E18">
        <v>12</v>
      </c>
      <c r="F18">
        <v>67</v>
      </c>
      <c r="G18">
        <v>77</v>
      </c>
      <c r="H18">
        <v>10</v>
      </c>
      <c r="I18" s="6"/>
    </row>
    <row r="19" spans="1:9">
      <c r="A19" s="6"/>
      <c r="B19">
        <v>13</v>
      </c>
      <c r="C19">
        <v>50</v>
      </c>
      <c r="D19">
        <v>35</v>
      </c>
      <c r="E19">
        <v>19</v>
      </c>
      <c r="F19">
        <v>63</v>
      </c>
      <c r="G19">
        <v>73</v>
      </c>
      <c r="H19">
        <v>10</v>
      </c>
      <c r="I19" s="6"/>
    </row>
    <row r="20" spans="1:9">
      <c r="A20" s="6"/>
      <c r="B20">
        <v>14</v>
      </c>
      <c r="C20">
        <v>30</v>
      </c>
      <c r="D20">
        <v>25</v>
      </c>
      <c r="E20">
        <v>23</v>
      </c>
      <c r="F20">
        <v>159</v>
      </c>
      <c r="G20">
        <v>169</v>
      </c>
      <c r="H20">
        <v>10</v>
      </c>
      <c r="I20" s="6"/>
    </row>
    <row r="21" spans="1:9">
      <c r="A21" s="6"/>
      <c r="B21">
        <v>15</v>
      </c>
      <c r="C21">
        <v>15</v>
      </c>
      <c r="D21">
        <v>10</v>
      </c>
      <c r="E21">
        <v>20</v>
      </c>
      <c r="F21">
        <v>32</v>
      </c>
      <c r="G21">
        <v>42</v>
      </c>
      <c r="H21">
        <v>10</v>
      </c>
      <c r="I21" s="6"/>
    </row>
    <row r="22" spans="1:9">
      <c r="A22" s="6"/>
      <c r="B22">
        <v>16</v>
      </c>
      <c r="C22">
        <v>30</v>
      </c>
      <c r="D22">
        <v>5</v>
      </c>
      <c r="E22">
        <v>8</v>
      </c>
      <c r="F22">
        <v>61</v>
      </c>
      <c r="G22">
        <v>71</v>
      </c>
      <c r="H22">
        <v>10</v>
      </c>
      <c r="I22" s="6"/>
    </row>
    <row r="23" spans="1:9">
      <c r="A23" s="6"/>
      <c r="B23">
        <v>17</v>
      </c>
      <c r="C23">
        <v>10</v>
      </c>
      <c r="D23">
        <v>20</v>
      </c>
      <c r="E23">
        <v>19</v>
      </c>
      <c r="F23">
        <v>75</v>
      </c>
      <c r="G23">
        <v>85</v>
      </c>
      <c r="H23">
        <v>10</v>
      </c>
      <c r="I23" s="6"/>
    </row>
    <row r="24" spans="1:9">
      <c r="A24" s="6"/>
      <c r="B24">
        <v>18</v>
      </c>
      <c r="C24">
        <v>5</v>
      </c>
      <c r="D24">
        <v>30</v>
      </c>
      <c r="E24">
        <v>2</v>
      </c>
      <c r="F24">
        <v>157</v>
      </c>
      <c r="G24">
        <v>167</v>
      </c>
      <c r="H24">
        <v>10</v>
      </c>
      <c r="I24" s="6"/>
    </row>
    <row r="25" spans="1:9">
      <c r="A25" s="6"/>
      <c r="B25">
        <v>19</v>
      </c>
      <c r="C25">
        <v>20</v>
      </c>
      <c r="D25">
        <v>40</v>
      </c>
      <c r="E25">
        <v>12</v>
      </c>
      <c r="F25">
        <v>87</v>
      </c>
      <c r="G25">
        <v>97</v>
      </c>
      <c r="H25">
        <v>10</v>
      </c>
      <c r="I25" s="6"/>
    </row>
    <row r="26" spans="1:9">
      <c r="A26" s="6"/>
      <c r="B26">
        <v>20</v>
      </c>
      <c r="C26">
        <v>15</v>
      </c>
      <c r="D26">
        <v>60</v>
      </c>
      <c r="E26">
        <v>17</v>
      </c>
      <c r="F26">
        <v>76</v>
      </c>
      <c r="G26">
        <v>86</v>
      </c>
      <c r="H26">
        <v>10</v>
      </c>
      <c r="I26" s="6"/>
    </row>
    <row r="27" spans="1:9">
      <c r="A27" s="6"/>
      <c r="B27">
        <v>21</v>
      </c>
      <c r="C27">
        <v>45</v>
      </c>
      <c r="D27">
        <v>65</v>
      </c>
      <c r="E27">
        <v>9</v>
      </c>
      <c r="F27">
        <v>126</v>
      </c>
      <c r="G27">
        <v>136</v>
      </c>
      <c r="H27">
        <v>10</v>
      </c>
      <c r="I27" s="6"/>
    </row>
    <row r="28" spans="1:9">
      <c r="A28" s="6"/>
      <c r="B28">
        <v>22</v>
      </c>
      <c r="C28">
        <v>45</v>
      </c>
      <c r="D28">
        <v>20</v>
      </c>
      <c r="E28">
        <v>11</v>
      </c>
      <c r="F28">
        <v>62</v>
      </c>
      <c r="G28">
        <v>72</v>
      </c>
      <c r="H28">
        <v>10</v>
      </c>
      <c r="I28" s="6"/>
    </row>
    <row r="29" spans="1:9">
      <c r="A29" s="6"/>
      <c r="B29">
        <v>23</v>
      </c>
      <c r="C29">
        <v>45</v>
      </c>
      <c r="D29">
        <v>10</v>
      </c>
      <c r="E29">
        <v>18</v>
      </c>
      <c r="F29">
        <v>97</v>
      </c>
      <c r="G29">
        <v>107</v>
      </c>
      <c r="H29">
        <v>10</v>
      </c>
      <c r="I29" s="6"/>
    </row>
    <row r="30" spans="1:9">
      <c r="A30" s="6"/>
      <c r="B30">
        <v>24</v>
      </c>
      <c r="C30">
        <v>55</v>
      </c>
      <c r="D30">
        <v>5</v>
      </c>
      <c r="E30">
        <v>29</v>
      </c>
      <c r="F30">
        <v>68</v>
      </c>
      <c r="G30">
        <v>78</v>
      </c>
      <c r="H30">
        <v>10</v>
      </c>
      <c r="I30" s="6"/>
    </row>
    <row r="31" spans="1:9">
      <c r="A31" s="6"/>
      <c r="B31">
        <v>25</v>
      </c>
      <c r="C31">
        <v>65</v>
      </c>
      <c r="D31">
        <v>35</v>
      </c>
      <c r="E31">
        <v>3</v>
      </c>
      <c r="F31">
        <v>153</v>
      </c>
      <c r="G31">
        <v>163</v>
      </c>
      <c r="H31">
        <v>10</v>
      </c>
      <c r="I31" s="6"/>
    </row>
    <row r="32" spans="1:9">
      <c r="A32" s="6"/>
      <c r="B32">
        <v>26</v>
      </c>
      <c r="C32">
        <v>65</v>
      </c>
      <c r="D32">
        <v>20</v>
      </c>
      <c r="E32">
        <v>6</v>
      </c>
      <c r="F32">
        <v>172</v>
      </c>
      <c r="G32">
        <v>182</v>
      </c>
      <c r="H32">
        <v>10</v>
      </c>
      <c r="I32" s="6"/>
    </row>
    <row r="33" spans="1:9">
      <c r="A33" s="6"/>
      <c r="B33">
        <v>27</v>
      </c>
      <c r="C33">
        <v>45</v>
      </c>
      <c r="D33">
        <v>30</v>
      </c>
      <c r="E33">
        <v>17</v>
      </c>
      <c r="F33">
        <v>132</v>
      </c>
      <c r="G33">
        <v>142</v>
      </c>
      <c r="H33">
        <v>10</v>
      </c>
      <c r="I33" s="6"/>
    </row>
    <row r="34" spans="1:9">
      <c r="A34" s="6"/>
      <c r="B34">
        <v>28</v>
      </c>
      <c r="C34">
        <v>35</v>
      </c>
      <c r="D34">
        <v>40</v>
      </c>
      <c r="E34">
        <v>16</v>
      </c>
      <c r="F34">
        <v>37</v>
      </c>
      <c r="G34">
        <v>47</v>
      </c>
      <c r="H34">
        <v>10</v>
      </c>
      <c r="I34" s="6"/>
    </row>
    <row r="35" spans="1:9">
      <c r="A35" s="6"/>
      <c r="B35">
        <v>29</v>
      </c>
      <c r="C35">
        <v>41</v>
      </c>
      <c r="D35">
        <v>37</v>
      </c>
      <c r="E35">
        <v>16</v>
      </c>
      <c r="F35">
        <v>39</v>
      </c>
      <c r="G35">
        <v>49</v>
      </c>
      <c r="H35">
        <v>10</v>
      </c>
      <c r="I35" s="6"/>
    </row>
    <row r="36" spans="1:9">
      <c r="A36" s="6"/>
      <c r="B36">
        <v>30</v>
      </c>
      <c r="C36">
        <v>64</v>
      </c>
      <c r="D36">
        <v>42</v>
      </c>
      <c r="E36">
        <v>9</v>
      </c>
      <c r="F36">
        <v>63</v>
      </c>
      <c r="G36">
        <v>73</v>
      </c>
      <c r="H36">
        <v>10</v>
      </c>
      <c r="I36" s="6"/>
    </row>
    <row r="37" spans="1:9">
      <c r="A37" s="6"/>
      <c r="B37">
        <v>31</v>
      </c>
      <c r="C37">
        <v>40</v>
      </c>
      <c r="D37">
        <v>60</v>
      </c>
      <c r="E37">
        <v>21</v>
      </c>
      <c r="F37">
        <v>71</v>
      </c>
      <c r="G37">
        <v>81</v>
      </c>
      <c r="H37">
        <v>10</v>
      </c>
      <c r="I37" s="6"/>
    </row>
    <row r="38" spans="1:9">
      <c r="A38" s="6"/>
      <c r="B38">
        <v>32</v>
      </c>
      <c r="C38">
        <v>31</v>
      </c>
      <c r="D38">
        <v>52</v>
      </c>
      <c r="E38">
        <v>27</v>
      </c>
      <c r="F38">
        <v>50</v>
      </c>
      <c r="G38">
        <v>60</v>
      </c>
      <c r="H38">
        <v>10</v>
      </c>
      <c r="I38" s="6"/>
    </row>
    <row r="39" spans="1:9">
      <c r="A39" s="6"/>
      <c r="B39">
        <v>33</v>
      </c>
      <c r="C39">
        <v>35</v>
      </c>
      <c r="D39">
        <v>69</v>
      </c>
      <c r="E39">
        <v>23</v>
      </c>
      <c r="F39">
        <v>141</v>
      </c>
      <c r="G39">
        <v>151</v>
      </c>
      <c r="H39">
        <v>10</v>
      </c>
      <c r="I39" s="6"/>
    </row>
    <row r="40" spans="1:9">
      <c r="A40" s="6"/>
      <c r="B40">
        <v>34</v>
      </c>
      <c r="C40">
        <v>53</v>
      </c>
      <c r="D40">
        <v>52</v>
      </c>
      <c r="E40">
        <v>11</v>
      </c>
      <c r="F40">
        <v>37</v>
      </c>
      <c r="G40">
        <v>47</v>
      </c>
      <c r="H40">
        <v>10</v>
      </c>
      <c r="I40" s="6"/>
    </row>
    <row r="41" spans="1:9">
      <c r="A41" s="6"/>
      <c r="B41">
        <v>35</v>
      </c>
      <c r="C41">
        <v>65</v>
      </c>
      <c r="D41">
        <v>55</v>
      </c>
      <c r="E41">
        <v>14</v>
      </c>
      <c r="F41">
        <v>117</v>
      </c>
      <c r="G41">
        <v>127</v>
      </c>
      <c r="H41">
        <v>10</v>
      </c>
      <c r="I41" s="6"/>
    </row>
    <row r="42" spans="1:9">
      <c r="A42" s="6"/>
      <c r="B42">
        <v>36</v>
      </c>
      <c r="C42">
        <v>63</v>
      </c>
      <c r="D42">
        <v>65</v>
      </c>
      <c r="E42">
        <v>8</v>
      </c>
      <c r="F42">
        <v>143</v>
      </c>
      <c r="G42">
        <v>153</v>
      </c>
      <c r="H42">
        <v>10</v>
      </c>
      <c r="I42" s="6"/>
    </row>
    <row r="43" spans="1:9">
      <c r="A43" s="6"/>
      <c r="B43">
        <v>37</v>
      </c>
      <c r="C43">
        <v>2</v>
      </c>
      <c r="D43">
        <v>60</v>
      </c>
      <c r="E43">
        <v>5</v>
      </c>
      <c r="F43">
        <v>41</v>
      </c>
      <c r="G43">
        <v>51</v>
      </c>
      <c r="H43">
        <v>10</v>
      </c>
      <c r="I43" s="6"/>
    </row>
    <row r="44" spans="1:9">
      <c r="A44" s="6"/>
      <c r="B44">
        <v>38</v>
      </c>
      <c r="C44">
        <v>20</v>
      </c>
      <c r="D44">
        <v>20</v>
      </c>
      <c r="E44">
        <v>8</v>
      </c>
      <c r="F44">
        <v>134</v>
      </c>
      <c r="G44">
        <v>144</v>
      </c>
      <c r="H44">
        <v>10</v>
      </c>
      <c r="I44" s="6"/>
    </row>
    <row r="45" spans="1:9">
      <c r="A45" s="6"/>
      <c r="B45">
        <v>39</v>
      </c>
      <c r="C45">
        <v>5</v>
      </c>
      <c r="D45">
        <v>5</v>
      </c>
      <c r="E45">
        <v>16</v>
      </c>
      <c r="F45">
        <v>83</v>
      </c>
      <c r="G45">
        <v>93</v>
      </c>
      <c r="H45">
        <v>10</v>
      </c>
      <c r="I45" s="6"/>
    </row>
    <row r="46" spans="1:9">
      <c r="A46" s="6"/>
      <c r="B46">
        <v>40</v>
      </c>
      <c r="C46">
        <v>60</v>
      </c>
      <c r="D46">
        <v>12</v>
      </c>
      <c r="E46">
        <v>31</v>
      </c>
      <c r="F46">
        <v>44</v>
      </c>
      <c r="G46">
        <v>54</v>
      </c>
      <c r="H46">
        <v>10</v>
      </c>
      <c r="I46" s="6"/>
    </row>
    <row r="47" spans="1:9">
      <c r="A47" s="6"/>
      <c r="B47">
        <v>41</v>
      </c>
      <c r="C47">
        <v>40</v>
      </c>
      <c r="D47">
        <v>25</v>
      </c>
      <c r="E47">
        <v>9</v>
      </c>
      <c r="F47">
        <v>85</v>
      </c>
      <c r="G47">
        <v>95</v>
      </c>
      <c r="H47">
        <v>10</v>
      </c>
      <c r="I47" s="6"/>
    </row>
    <row r="48" spans="1:9">
      <c r="A48" s="6"/>
      <c r="B48">
        <v>42</v>
      </c>
      <c r="C48">
        <v>42</v>
      </c>
      <c r="D48">
        <v>7</v>
      </c>
      <c r="E48">
        <v>5</v>
      </c>
      <c r="F48">
        <v>97</v>
      </c>
      <c r="G48">
        <v>107</v>
      </c>
      <c r="H48">
        <v>10</v>
      </c>
      <c r="I48" s="6"/>
    </row>
    <row r="49" spans="1:9">
      <c r="A49" s="6"/>
      <c r="B49">
        <v>43</v>
      </c>
      <c r="C49">
        <v>24</v>
      </c>
      <c r="D49">
        <v>12</v>
      </c>
      <c r="E49">
        <v>5</v>
      </c>
      <c r="F49">
        <v>31</v>
      </c>
      <c r="G49">
        <v>41</v>
      </c>
      <c r="H49">
        <v>10</v>
      </c>
      <c r="I49" s="6"/>
    </row>
    <row r="50" spans="1:9">
      <c r="A50" s="6"/>
      <c r="B50">
        <v>44</v>
      </c>
      <c r="C50">
        <v>23</v>
      </c>
      <c r="D50">
        <v>3</v>
      </c>
      <c r="E50">
        <v>7</v>
      </c>
      <c r="F50">
        <v>132</v>
      </c>
      <c r="G50">
        <v>142</v>
      </c>
      <c r="H50">
        <v>10</v>
      </c>
      <c r="I50" s="6"/>
    </row>
    <row r="51" spans="1:9">
      <c r="A51" s="6"/>
      <c r="B51">
        <v>45</v>
      </c>
      <c r="C51">
        <v>11</v>
      </c>
      <c r="D51">
        <v>14</v>
      </c>
      <c r="E51">
        <v>18</v>
      </c>
      <c r="F51">
        <v>69</v>
      </c>
      <c r="G51">
        <v>79</v>
      </c>
      <c r="H51">
        <v>10</v>
      </c>
      <c r="I51" s="6"/>
    </row>
    <row r="52" spans="1:9">
      <c r="A52" s="6"/>
      <c r="B52">
        <v>46</v>
      </c>
      <c r="C52">
        <v>6</v>
      </c>
      <c r="D52">
        <v>38</v>
      </c>
      <c r="E52">
        <v>16</v>
      </c>
      <c r="F52">
        <v>32</v>
      </c>
      <c r="G52">
        <v>42</v>
      </c>
      <c r="H52">
        <v>10</v>
      </c>
      <c r="I52" s="6"/>
    </row>
    <row r="53" spans="1:9">
      <c r="A53" s="6"/>
      <c r="B53">
        <v>47</v>
      </c>
      <c r="C53">
        <v>2</v>
      </c>
      <c r="D53">
        <v>48</v>
      </c>
      <c r="E53">
        <v>1</v>
      </c>
      <c r="F53">
        <v>117</v>
      </c>
      <c r="G53">
        <v>127</v>
      </c>
      <c r="H53">
        <v>10</v>
      </c>
      <c r="I53" s="6"/>
    </row>
    <row r="54" spans="1:9">
      <c r="A54" s="6"/>
      <c r="B54">
        <v>48</v>
      </c>
      <c r="C54">
        <v>8</v>
      </c>
      <c r="D54">
        <v>56</v>
      </c>
      <c r="E54">
        <v>27</v>
      </c>
      <c r="F54">
        <v>51</v>
      </c>
      <c r="G54">
        <v>61</v>
      </c>
      <c r="H54">
        <v>10</v>
      </c>
      <c r="I54" s="6"/>
    </row>
    <row r="55" spans="1:9">
      <c r="A55" s="6"/>
      <c r="B55">
        <v>49</v>
      </c>
      <c r="C55">
        <v>13</v>
      </c>
      <c r="D55">
        <v>52</v>
      </c>
      <c r="E55">
        <v>36</v>
      </c>
      <c r="F55">
        <v>165</v>
      </c>
      <c r="G55">
        <v>175</v>
      </c>
      <c r="H55">
        <v>10</v>
      </c>
      <c r="I55" s="6"/>
    </row>
    <row r="56" spans="1:9">
      <c r="A56" s="6"/>
      <c r="B56">
        <v>50</v>
      </c>
      <c r="C56">
        <v>6</v>
      </c>
      <c r="D56">
        <v>68</v>
      </c>
      <c r="E56">
        <v>30</v>
      </c>
      <c r="F56">
        <v>108</v>
      </c>
      <c r="G56">
        <v>118</v>
      </c>
      <c r="H56">
        <v>10</v>
      </c>
      <c r="I56" s="6"/>
    </row>
    <row r="57" spans="1:9">
      <c r="A57" s="6"/>
      <c r="B57">
        <v>51</v>
      </c>
      <c r="C57">
        <v>47</v>
      </c>
      <c r="D57">
        <v>47</v>
      </c>
      <c r="E57">
        <v>13</v>
      </c>
      <c r="F57">
        <v>124</v>
      </c>
      <c r="G57">
        <v>134</v>
      </c>
      <c r="H57">
        <v>10</v>
      </c>
      <c r="I57" s="6"/>
    </row>
    <row r="58" spans="1:9">
      <c r="A58" s="6"/>
      <c r="B58">
        <v>52</v>
      </c>
      <c r="C58">
        <v>49</v>
      </c>
      <c r="D58">
        <v>58</v>
      </c>
      <c r="E58">
        <v>10</v>
      </c>
      <c r="F58">
        <v>88</v>
      </c>
      <c r="G58">
        <v>98</v>
      </c>
      <c r="H58">
        <v>10</v>
      </c>
      <c r="I58" s="6"/>
    </row>
    <row r="59" spans="1:9">
      <c r="A59" s="6"/>
      <c r="B59">
        <v>53</v>
      </c>
      <c r="C59">
        <v>27</v>
      </c>
      <c r="D59">
        <v>43</v>
      </c>
      <c r="E59">
        <v>9</v>
      </c>
      <c r="F59">
        <v>52</v>
      </c>
      <c r="G59">
        <v>62</v>
      </c>
      <c r="H59">
        <v>10</v>
      </c>
      <c r="I59" s="6"/>
    </row>
    <row r="60" spans="1:9">
      <c r="A60" s="6"/>
      <c r="B60">
        <v>54</v>
      </c>
      <c r="C60">
        <v>37</v>
      </c>
      <c r="D60">
        <v>31</v>
      </c>
      <c r="E60">
        <v>14</v>
      </c>
      <c r="F60">
        <v>95</v>
      </c>
      <c r="G60">
        <v>105</v>
      </c>
      <c r="H60">
        <v>10</v>
      </c>
      <c r="I60" s="6"/>
    </row>
    <row r="61" spans="1:9">
      <c r="A61" s="6"/>
      <c r="B61">
        <v>55</v>
      </c>
      <c r="C61">
        <v>57</v>
      </c>
      <c r="D61">
        <v>29</v>
      </c>
      <c r="E61">
        <v>18</v>
      </c>
      <c r="F61">
        <v>140</v>
      </c>
      <c r="G61">
        <v>150</v>
      </c>
      <c r="H61">
        <v>10</v>
      </c>
      <c r="I61" s="6"/>
    </row>
    <row r="62" spans="1:9">
      <c r="A62" s="6"/>
      <c r="B62">
        <v>56</v>
      </c>
      <c r="C62">
        <v>63</v>
      </c>
      <c r="D62">
        <v>23</v>
      </c>
      <c r="E62">
        <v>2</v>
      </c>
      <c r="F62">
        <v>136</v>
      </c>
      <c r="G62">
        <v>146</v>
      </c>
      <c r="H62">
        <v>10</v>
      </c>
      <c r="I62" s="6"/>
    </row>
    <row r="63" spans="1:9">
      <c r="A63" s="6"/>
      <c r="B63">
        <v>57</v>
      </c>
      <c r="C63">
        <v>53</v>
      </c>
      <c r="D63">
        <v>12</v>
      </c>
      <c r="E63">
        <v>6</v>
      </c>
      <c r="F63">
        <v>130</v>
      </c>
      <c r="G63">
        <v>140</v>
      </c>
      <c r="H63">
        <v>10</v>
      </c>
      <c r="I63" s="6"/>
    </row>
    <row r="64" spans="1:9">
      <c r="A64" s="6"/>
      <c r="B64">
        <v>58</v>
      </c>
      <c r="C64">
        <v>32</v>
      </c>
      <c r="D64">
        <v>12</v>
      </c>
      <c r="E64">
        <v>7</v>
      </c>
      <c r="F64">
        <v>101</v>
      </c>
      <c r="G64">
        <v>111</v>
      </c>
      <c r="H64">
        <v>10</v>
      </c>
      <c r="I64" s="6"/>
    </row>
    <row r="65" spans="1:9">
      <c r="A65" s="6"/>
      <c r="B65">
        <v>59</v>
      </c>
      <c r="C65">
        <v>36</v>
      </c>
      <c r="D65">
        <v>26</v>
      </c>
      <c r="E65">
        <v>18</v>
      </c>
      <c r="F65">
        <v>200</v>
      </c>
      <c r="G65">
        <v>210</v>
      </c>
      <c r="H65">
        <v>10</v>
      </c>
      <c r="I65" s="6"/>
    </row>
    <row r="66" spans="1:9">
      <c r="A66" s="6"/>
      <c r="B66">
        <v>60</v>
      </c>
      <c r="C66">
        <v>21</v>
      </c>
      <c r="D66">
        <v>24</v>
      </c>
      <c r="E66">
        <v>28</v>
      </c>
      <c r="F66">
        <v>18</v>
      </c>
      <c r="G66">
        <v>28</v>
      </c>
      <c r="H66">
        <v>10</v>
      </c>
      <c r="I66" s="6"/>
    </row>
    <row r="67" spans="1:9">
      <c r="A67" s="6"/>
      <c r="B67">
        <v>61</v>
      </c>
      <c r="C67">
        <v>17</v>
      </c>
      <c r="D67">
        <v>34</v>
      </c>
      <c r="E67">
        <v>3</v>
      </c>
      <c r="F67">
        <v>162</v>
      </c>
      <c r="G67">
        <v>172</v>
      </c>
      <c r="H67">
        <v>10</v>
      </c>
      <c r="I67" s="6"/>
    </row>
    <row r="68" spans="1:9">
      <c r="A68" s="6"/>
      <c r="B68">
        <v>62</v>
      </c>
      <c r="C68">
        <v>12</v>
      </c>
      <c r="D68">
        <v>24</v>
      </c>
      <c r="E68">
        <v>13</v>
      </c>
      <c r="F68">
        <v>76</v>
      </c>
      <c r="G68">
        <v>86</v>
      </c>
      <c r="H68">
        <v>10</v>
      </c>
      <c r="I68" s="6"/>
    </row>
    <row r="69" spans="1:9">
      <c r="A69" s="6"/>
      <c r="B69">
        <v>63</v>
      </c>
      <c r="C69">
        <v>24</v>
      </c>
      <c r="D69">
        <v>58</v>
      </c>
      <c r="E69">
        <v>19</v>
      </c>
      <c r="F69">
        <v>58</v>
      </c>
      <c r="G69">
        <v>68</v>
      </c>
      <c r="H69">
        <v>10</v>
      </c>
      <c r="I69" s="6"/>
    </row>
    <row r="70" spans="1:9">
      <c r="A70" s="6"/>
      <c r="B70">
        <v>64</v>
      </c>
      <c r="C70">
        <v>27</v>
      </c>
      <c r="D70">
        <v>69</v>
      </c>
      <c r="E70">
        <v>10</v>
      </c>
      <c r="F70">
        <v>34</v>
      </c>
      <c r="G70">
        <v>44</v>
      </c>
      <c r="H70">
        <v>10</v>
      </c>
      <c r="I70" s="6"/>
    </row>
    <row r="71" spans="1:9">
      <c r="A71" s="6"/>
      <c r="B71">
        <v>65</v>
      </c>
      <c r="C71">
        <v>15</v>
      </c>
      <c r="D71">
        <v>77</v>
      </c>
      <c r="E71">
        <v>9</v>
      </c>
      <c r="F71">
        <v>73</v>
      </c>
      <c r="G71">
        <v>83</v>
      </c>
      <c r="H71">
        <v>10</v>
      </c>
      <c r="I71" s="6"/>
    </row>
    <row r="72" spans="1:9">
      <c r="A72" s="6"/>
      <c r="B72">
        <v>66</v>
      </c>
      <c r="C72">
        <v>62</v>
      </c>
      <c r="D72">
        <v>77</v>
      </c>
      <c r="E72">
        <v>20</v>
      </c>
      <c r="F72">
        <v>51</v>
      </c>
      <c r="G72">
        <v>61</v>
      </c>
      <c r="H72">
        <v>10</v>
      </c>
      <c r="I72" s="6"/>
    </row>
    <row r="73" spans="1:9">
      <c r="A73" s="6"/>
      <c r="B73">
        <v>67</v>
      </c>
      <c r="C73">
        <v>49</v>
      </c>
      <c r="D73">
        <v>73</v>
      </c>
      <c r="E73">
        <v>25</v>
      </c>
      <c r="F73">
        <v>127</v>
      </c>
      <c r="G73">
        <v>137</v>
      </c>
      <c r="H73">
        <v>10</v>
      </c>
      <c r="I73" s="6"/>
    </row>
    <row r="74" spans="1:9">
      <c r="A74" s="6"/>
      <c r="B74">
        <v>68</v>
      </c>
      <c r="C74">
        <v>67</v>
      </c>
      <c r="D74">
        <v>5</v>
      </c>
      <c r="E74">
        <v>25</v>
      </c>
      <c r="F74">
        <v>83</v>
      </c>
      <c r="G74">
        <v>93</v>
      </c>
      <c r="H74">
        <v>10</v>
      </c>
      <c r="I74" s="6"/>
    </row>
    <row r="75" spans="1:9">
      <c r="A75" s="6"/>
      <c r="B75">
        <v>69</v>
      </c>
      <c r="C75">
        <v>56</v>
      </c>
      <c r="D75">
        <v>39</v>
      </c>
      <c r="E75">
        <v>36</v>
      </c>
      <c r="F75">
        <v>142</v>
      </c>
      <c r="G75">
        <v>152</v>
      </c>
      <c r="H75">
        <v>10</v>
      </c>
      <c r="I75" s="6"/>
    </row>
    <row r="76" spans="1:9">
      <c r="A76" s="6"/>
      <c r="B76">
        <v>70</v>
      </c>
      <c r="C76">
        <v>37</v>
      </c>
      <c r="D76">
        <v>47</v>
      </c>
      <c r="E76">
        <v>6</v>
      </c>
      <c r="F76">
        <v>50</v>
      </c>
      <c r="G76">
        <v>60</v>
      </c>
      <c r="H76">
        <v>10</v>
      </c>
      <c r="I76" s="6"/>
    </row>
    <row r="77" spans="1:9">
      <c r="A77" s="6"/>
      <c r="B77">
        <v>71</v>
      </c>
      <c r="C77">
        <v>37</v>
      </c>
      <c r="D77">
        <v>56</v>
      </c>
      <c r="E77">
        <v>5</v>
      </c>
      <c r="F77">
        <v>182</v>
      </c>
      <c r="G77">
        <v>192</v>
      </c>
      <c r="H77">
        <v>10</v>
      </c>
      <c r="I77" s="6"/>
    </row>
    <row r="78" spans="1:9">
      <c r="A78" s="6"/>
      <c r="B78">
        <v>72</v>
      </c>
      <c r="C78">
        <v>57</v>
      </c>
      <c r="D78">
        <v>68</v>
      </c>
      <c r="E78">
        <v>15</v>
      </c>
      <c r="F78">
        <v>77</v>
      </c>
      <c r="G78">
        <v>87</v>
      </c>
      <c r="H78">
        <v>10</v>
      </c>
      <c r="I78" s="6"/>
    </row>
    <row r="79" spans="1:9">
      <c r="A79" s="6"/>
      <c r="B79">
        <v>73</v>
      </c>
      <c r="C79">
        <v>47</v>
      </c>
      <c r="D79">
        <v>16</v>
      </c>
      <c r="E79">
        <v>25</v>
      </c>
      <c r="F79">
        <v>35</v>
      </c>
      <c r="G79">
        <v>45</v>
      </c>
      <c r="H79">
        <v>10</v>
      </c>
      <c r="I79" s="6"/>
    </row>
    <row r="80" spans="1:9">
      <c r="A80" s="6"/>
      <c r="B80">
        <v>74</v>
      </c>
      <c r="C80">
        <v>44</v>
      </c>
      <c r="D80">
        <v>17</v>
      </c>
      <c r="E80">
        <v>9</v>
      </c>
      <c r="F80">
        <v>78</v>
      </c>
      <c r="G80">
        <v>88</v>
      </c>
      <c r="H80">
        <v>10</v>
      </c>
      <c r="I80" s="6"/>
    </row>
    <row r="81" spans="1:9">
      <c r="A81" s="6"/>
      <c r="B81">
        <v>75</v>
      </c>
      <c r="C81">
        <v>46</v>
      </c>
      <c r="D81">
        <v>13</v>
      </c>
      <c r="E81">
        <v>8</v>
      </c>
      <c r="F81">
        <v>149</v>
      </c>
      <c r="G81">
        <v>159</v>
      </c>
      <c r="H81">
        <v>10</v>
      </c>
      <c r="I81" s="6"/>
    </row>
    <row r="82" spans="1:9">
      <c r="A82" s="6"/>
      <c r="B82">
        <v>76</v>
      </c>
      <c r="C82">
        <v>49</v>
      </c>
      <c r="D82">
        <v>11</v>
      </c>
      <c r="E82">
        <v>18</v>
      </c>
      <c r="F82">
        <v>69</v>
      </c>
      <c r="G82">
        <v>79</v>
      </c>
      <c r="H82">
        <v>10</v>
      </c>
      <c r="I82" s="6"/>
    </row>
    <row r="83" spans="1:9">
      <c r="A83" s="6"/>
      <c r="B83">
        <v>77</v>
      </c>
      <c r="C83">
        <v>49</v>
      </c>
      <c r="D83">
        <v>42</v>
      </c>
      <c r="E83">
        <v>13</v>
      </c>
      <c r="F83">
        <v>73</v>
      </c>
      <c r="G83">
        <v>83</v>
      </c>
      <c r="H83">
        <v>10</v>
      </c>
      <c r="I83" s="6"/>
    </row>
    <row r="84" spans="1:9">
      <c r="A84" s="6"/>
      <c r="B84">
        <v>78</v>
      </c>
      <c r="C84">
        <v>53</v>
      </c>
      <c r="D84">
        <v>43</v>
      </c>
      <c r="E84">
        <v>14</v>
      </c>
      <c r="F84">
        <v>179</v>
      </c>
      <c r="G84">
        <v>189</v>
      </c>
      <c r="H84">
        <v>10</v>
      </c>
      <c r="I84" s="6"/>
    </row>
    <row r="85" spans="1:9">
      <c r="A85" s="6"/>
      <c r="B85">
        <v>79</v>
      </c>
      <c r="C85">
        <v>61</v>
      </c>
      <c r="D85">
        <v>52</v>
      </c>
      <c r="E85">
        <v>3</v>
      </c>
      <c r="F85">
        <v>96</v>
      </c>
      <c r="G85">
        <v>106</v>
      </c>
      <c r="H85">
        <v>10</v>
      </c>
      <c r="I85" s="6"/>
    </row>
    <row r="86" spans="1:9">
      <c r="A86" s="6"/>
      <c r="B86">
        <v>80</v>
      </c>
      <c r="C86">
        <v>57</v>
      </c>
      <c r="D86">
        <v>48</v>
      </c>
      <c r="E86">
        <v>23</v>
      </c>
      <c r="F86">
        <v>92</v>
      </c>
      <c r="G86">
        <v>102</v>
      </c>
      <c r="H86">
        <v>10</v>
      </c>
      <c r="I86" s="6"/>
    </row>
    <row r="87" spans="1:9">
      <c r="A87" s="6"/>
      <c r="B87">
        <v>81</v>
      </c>
      <c r="C87">
        <v>56</v>
      </c>
      <c r="D87">
        <v>37</v>
      </c>
      <c r="E87">
        <v>6</v>
      </c>
      <c r="F87">
        <v>182</v>
      </c>
      <c r="G87">
        <v>192</v>
      </c>
      <c r="H87">
        <v>10</v>
      </c>
      <c r="I87" s="6"/>
    </row>
    <row r="88" spans="1:9">
      <c r="A88" s="6"/>
      <c r="B88">
        <v>82</v>
      </c>
      <c r="C88">
        <v>55</v>
      </c>
      <c r="D88">
        <v>54</v>
      </c>
      <c r="E88">
        <v>26</v>
      </c>
      <c r="F88">
        <v>94</v>
      </c>
      <c r="G88">
        <v>104</v>
      </c>
      <c r="H88">
        <v>10</v>
      </c>
      <c r="I88" s="6"/>
    </row>
    <row r="89" spans="1:9">
      <c r="A89" s="6"/>
      <c r="B89">
        <v>83</v>
      </c>
      <c r="C89">
        <v>15</v>
      </c>
      <c r="D89">
        <v>47</v>
      </c>
      <c r="E89">
        <v>16</v>
      </c>
      <c r="F89">
        <v>55</v>
      </c>
      <c r="G89">
        <v>65</v>
      </c>
      <c r="H89">
        <v>10</v>
      </c>
      <c r="I89" s="6"/>
    </row>
    <row r="90" spans="1:9">
      <c r="A90" s="6"/>
      <c r="B90">
        <v>84</v>
      </c>
      <c r="C90">
        <v>14</v>
      </c>
      <c r="D90">
        <v>37</v>
      </c>
      <c r="E90">
        <v>11</v>
      </c>
      <c r="F90">
        <v>44</v>
      </c>
      <c r="G90">
        <v>54</v>
      </c>
      <c r="H90">
        <v>10</v>
      </c>
      <c r="I90" s="6"/>
    </row>
    <row r="91" spans="1:9">
      <c r="A91" s="6"/>
      <c r="B91">
        <v>85</v>
      </c>
      <c r="C91">
        <v>11</v>
      </c>
      <c r="D91">
        <v>31</v>
      </c>
      <c r="E91">
        <v>7</v>
      </c>
      <c r="F91">
        <v>101</v>
      </c>
      <c r="G91">
        <v>111</v>
      </c>
      <c r="H91">
        <v>10</v>
      </c>
      <c r="I91" s="6"/>
    </row>
    <row r="92" spans="1:9">
      <c r="A92" s="6"/>
      <c r="B92">
        <v>86</v>
      </c>
      <c r="C92">
        <v>16</v>
      </c>
      <c r="D92">
        <v>22</v>
      </c>
      <c r="E92">
        <v>41</v>
      </c>
      <c r="F92">
        <v>91</v>
      </c>
      <c r="G92">
        <v>101</v>
      </c>
      <c r="H92">
        <v>10</v>
      </c>
      <c r="I92" s="6"/>
    </row>
    <row r="93" spans="1:9">
      <c r="A93" s="6"/>
      <c r="B93">
        <v>87</v>
      </c>
      <c r="C93">
        <v>4</v>
      </c>
      <c r="D93">
        <v>18</v>
      </c>
      <c r="E93">
        <v>35</v>
      </c>
      <c r="F93">
        <v>94</v>
      </c>
      <c r="G93">
        <v>104</v>
      </c>
      <c r="H93">
        <v>10</v>
      </c>
      <c r="I93" s="6"/>
    </row>
    <row r="94" spans="1:9">
      <c r="A94" s="6"/>
      <c r="B94">
        <v>88</v>
      </c>
      <c r="C94">
        <v>28</v>
      </c>
      <c r="D94">
        <v>18</v>
      </c>
      <c r="E94">
        <v>26</v>
      </c>
      <c r="F94">
        <v>93</v>
      </c>
      <c r="G94">
        <v>103</v>
      </c>
      <c r="H94">
        <v>10</v>
      </c>
      <c r="I94" s="6"/>
    </row>
    <row r="95" spans="1:9">
      <c r="A95" s="6"/>
      <c r="B95">
        <v>89</v>
      </c>
      <c r="C95">
        <v>26</v>
      </c>
      <c r="D95">
        <v>52</v>
      </c>
      <c r="E95">
        <v>9</v>
      </c>
      <c r="F95">
        <v>74</v>
      </c>
      <c r="G95">
        <v>84</v>
      </c>
      <c r="H95">
        <v>10</v>
      </c>
      <c r="I95" s="6"/>
    </row>
    <row r="96" spans="1:9">
      <c r="A96" s="6"/>
      <c r="B96">
        <v>90</v>
      </c>
      <c r="C96">
        <v>26</v>
      </c>
      <c r="D96">
        <v>35</v>
      </c>
      <c r="E96">
        <v>15</v>
      </c>
      <c r="F96">
        <v>176</v>
      </c>
      <c r="G96">
        <v>186</v>
      </c>
      <c r="H96">
        <v>10</v>
      </c>
      <c r="I96" s="6"/>
    </row>
    <row r="97" spans="1:9">
      <c r="A97" s="6"/>
      <c r="B97">
        <v>91</v>
      </c>
      <c r="C97">
        <v>31</v>
      </c>
      <c r="D97">
        <v>67</v>
      </c>
      <c r="E97">
        <v>3</v>
      </c>
      <c r="F97">
        <v>95</v>
      </c>
      <c r="G97">
        <v>105</v>
      </c>
      <c r="H97">
        <v>10</v>
      </c>
      <c r="I97" s="6"/>
    </row>
    <row r="98" spans="1:9">
      <c r="A98" s="6"/>
      <c r="B98">
        <v>92</v>
      </c>
      <c r="C98">
        <v>15</v>
      </c>
      <c r="D98">
        <v>19</v>
      </c>
      <c r="E98">
        <v>1</v>
      </c>
      <c r="F98">
        <v>160</v>
      </c>
      <c r="G98">
        <v>170</v>
      </c>
      <c r="H98">
        <v>10</v>
      </c>
      <c r="I98" s="6"/>
    </row>
    <row r="99" spans="1:9">
      <c r="A99" s="6"/>
      <c r="B99">
        <v>93</v>
      </c>
      <c r="C99">
        <v>22</v>
      </c>
      <c r="D99">
        <v>22</v>
      </c>
      <c r="E99">
        <v>2</v>
      </c>
      <c r="F99">
        <v>18</v>
      </c>
      <c r="G99">
        <v>28</v>
      </c>
      <c r="H99">
        <v>10</v>
      </c>
      <c r="I99" s="6"/>
    </row>
    <row r="100" spans="1:9">
      <c r="A100" s="6"/>
      <c r="B100">
        <v>94</v>
      </c>
      <c r="C100">
        <v>18</v>
      </c>
      <c r="D100">
        <v>24</v>
      </c>
      <c r="E100">
        <v>22</v>
      </c>
      <c r="F100">
        <v>188</v>
      </c>
      <c r="G100">
        <v>198</v>
      </c>
      <c r="H100">
        <v>10</v>
      </c>
      <c r="I100" s="6"/>
    </row>
    <row r="101" spans="1:9">
      <c r="A101" s="6"/>
      <c r="B101">
        <v>95</v>
      </c>
      <c r="C101">
        <v>26</v>
      </c>
      <c r="D101">
        <v>27</v>
      </c>
      <c r="E101">
        <v>27</v>
      </c>
      <c r="F101">
        <v>100</v>
      </c>
      <c r="G101">
        <v>110</v>
      </c>
      <c r="H101">
        <v>10</v>
      </c>
      <c r="I101" s="6"/>
    </row>
    <row r="102" spans="1:9">
      <c r="A102" s="6"/>
      <c r="B102">
        <v>96</v>
      </c>
      <c r="C102">
        <v>25</v>
      </c>
      <c r="D102">
        <v>24</v>
      </c>
      <c r="E102">
        <v>20</v>
      </c>
      <c r="F102">
        <v>39</v>
      </c>
      <c r="G102">
        <v>49</v>
      </c>
      <c r="H102">
        <v>10</v>
      </c>
      <c r="I102" s="6"/>
    </row>
    <row r="103" spans="1:9">
      <c r="A103" s="6"/>
      <c r="B103">
        <v>97</v>
      </c>
      <c r="C103">
        <v>22</v>
      </c>
      <c r="D103">
        <v>27</v>
      </c>
      <c r="E103">
        <v>11</v>
      </c>
      <c r="F103">
        <v>135</v>
      </c>
      <c r="G103">
        <v>145</v>
      </c>
      <c r="H103">
        <v>10</v>
      </c>
      <c r="I103" s="6"/>
    </row>
    <row r="104" spans="1:9">
      <c r="A104" s="6"/>
      <c r="B104">
        <v>98</v>
      </c>
      <c r="C104">
        <v>25</v>
      </c>
      <c r="D104">
        <v>21</v>
      </c>
      <c r="E104">
        <v>12</v>
      </c>
      <c r="F104">
        <v>133</v>
      </c>
      <c r="G104">
        <v>143</v>
      </c>
      <c r="H104">
        <v>10</v>
      </c>
      <c r="I104" s="6"/>
    </row>
    <row r="105" spans="1:9">
      <c r="A105" s="6"/>
      <c r="B105">
        <v>99</v>
      </c>
      <c r="C105">
        <v>19</v>
      </c>
      <c r="D105">
        <v>21</v>
      </c>
      <c r="E105">
        <v>10</v>
      </c>
      <c r="F105">
        <v>58</v>
      </c>
      <c r="G105">
        <v>68</v>
      </c>
      <c r="H105">
        <v>10</v>
      </c>
      <c r="I105" s="6"/>
    </row>
    <row r="106" spans="1:9">
      <c r="A106" s="6"/>
      <c r="B106">
        <v>100</v>
      </c>
      <c r="C106">
        <v>20</v>
      </c>
      <c r="D106">
        <v>26</v>
      </c>
      <c r="E106">
        <v>9</v>
      </c>
      <c r="F106">
        <v>83</v>
      </c>
      <c r="G106">
        <v>93</v>
      </c>
      <c r="H106">
        <v>10</v>
      </c>
      <c r="I106" s="6"/>
    </row>
    <row r="107" spans="1:9">
      <c r="B107">
        <v>101</v>
      </c>
      <c r="C107">
        <v>18</v>
      </c>
      <c r="D107">
        <v>18</v>
      </c>
      <c r="E107">
        <v>17</v>
      </c>
      <c r="F107">
        <v>185</v>
      </c>
      <c r="G107">
        <v>195</v>
      </c>
      <c r="H107">
        <v>10</v>
      </c>
    </row>
    <row r="109" spans="1:9" ht="17.399999999999999">
      <c r="A109" s="7" t="s">
        <v>14</v>
      </c>
    </row>
    <row r="110" spans="1:9">
      <c r="A110" s="4"/>
    </row>
    <row r="111" spans="1:9">
      <c r="A111" s="6"/>
      <c r="B111" t="s">
        <v>32</v>
      </c>
      <c r="C111" t="s">
        <v>26</v>
      </c>
      <c r="D111" t="s">
        <v>27</v>
      </c>
      <c r="E111" t="s">
        <v>28</v>
      </c>
      <c r="F111" t="s">
        <v>29</v>
      </c>
      <c r="G111" t="s">
        <v>30</v>
      </c>
      <c r="H111" t="s">
        <v>31</v>
      </c>
    </row>
    <row r="112" spans="1:9">
      <c r="A112" s="6"/>
      <c r="B112">
        <v>1</v>
      </c>
      <c r="C112">
        <v>35</v>
      </c>
      <c r="D112">
        <v>35</v>
      </c>
      <c r="E112">
        <v>0</v>
      </c>
      <c r="F112">
        <v>0</v>
      </c>
      <c r="G112">
        <v>230</v>
      </c>
      <c r="H112">
        <v>0</v>
      </c>
    </row>
    <row r="113" spans="1:8">
      <c r="A113" s="6"/>
      <c r="B113">
        <v>2</v>
      </c>
      <c r="C113">
        <v>41</v>
      </c>
      <c r="D113">
        <v>49</v>
      </c>
      <c r="E113">
        <v>10</v>
      </c>
      <c r="F113">
        <v>0</v>
      </c>
      <c r="G113">
        <v>204</v>
      </c>
      <c r="H113">
        <v>10</v>
      </c>
    </row>
    <row r="114" spans="1:8">
      <c r="A114" s="6"/>
      <c r="B114">
        <v>3</v>
      </c>
      <c r="C114">
        <v>35</v>
      </c>
      <c r="D114">
        <v>17</v>
      </c>
      <c r="E114">
        <v>7</v>
      </c>
      <c r="F114">
        <v>0</v>
      </c>
      <c r="G114">
        <v>202</v>
      </c>
      <c r="H114">
        <v>10</v>
      </c>
    </row>
    <row r="115" spans="1:8">
      <c r="A115" s="6"/>
      <c r="B115">
        <v>4</v>
      </c>
      <c r="C115">
        <v>55</v>
      </c>
      <c r="D115">
        <v>45</v>
      </c>
      <c r="E115">
        <v>13</v>
      </c>
      <c r="F115">
        <v>0</v>
      </c>
      <c r="G115">
        <v>197</v>
      </c>
      <c r="H115">
        <v>10</v>
      </c>
    </row>
    <row r="116" spans="1:8">
      <c r="A116" s="6"/>
      <c r="B116">
        <v>5</v>
      </c>
      <c r="C116">
        <v>55</v>
      </c>
      <c r="D116">
        <v>20</v>
      </c>
      <c r="E116">
        <v>19</v>
      </c>
      <c r="F116">
        <v>149</v>
      </c>
      <c r="G116">
        <v>159</v>
      </c>
      <c r="H116">
        <v>10</v>
      </c>
    </row>
    <row r="117" spans="1:8">
      <c r="A117" s="6"/>
      <c r="B117">
        <v>6</v>
      </c>
      <c r="C117">
        <v>15</v>
      </c>
      <c r="D117">
        <v>30</v>
      </c>
      <c r="E117">
        <v>26</v>
      </c>
      <c r="F117">
        <v>0</v>
      </c>
      <c r="G117">
        <v>199</v>
      </c>
      <c r="H117">
        <v>10</v>
      </c>
    </row>
    <row r="118" spans="1:8">
      <c r="A118" s="6"/>
      <c r="B118">
        <v>7</v>
      </c>
      <c r="C118">
        <v>25</v>
      </c>
      <c r="D118">
        <v>30</v>
      </c>
      <c r="E118">
        <v>3</v>
      </c>
      <c r="F118">
        <v>99</v>
      </c>
      <c r="G118">
        <v>109</v>
      </c>
      <c r="H118">
        <v>10</v>
      </c>
    </row>
    <row r="119" spans="1:8">
      <c r="A119" s="6"/>
      <c r="B119">
        <v>8</v>
      </c>
      <c r="C119">
        <v>20</v>
      </c>
      <c r="D119">
        <v>50</v>
      </c>
      <c r="E119">
        <v>5</v>
      </c>
      <c r="F119">
        <v>0</v>
      </c>
      <c r="G119">
        <v>198</v>
      </c>
      <c r="H119">
        <v>10</v>
      </c>
    </row>
    <row r="120" spans="1:8">
      <c r="A120" s="6"/>
      <c r="B120">
        <v>9</v>
      </c>
      <c r="C120">
        <v>10</v>
      </c>
      <c r="D120">
        <v>43</v>
      </c>
      <c r="E120">
        <v>9</v>
      </c>
      <c r="F120">
        <v>95</v>
      </c>
      <c r="G120">
        <v>105</v>
      </c>
      <c r="H120">
        <v>10</v>
      </c>
    </row>
    <row r="121" spans="1:8">
      <c r="A121" s="6"/>
      <c r="B121">
        <v>10</v>
      </c>
      <c r="C121">
        <v>55</v>
      </c>
      <c r="D121">
        <v>60</v>
      </c>
      <c r="E121">
        <v>16</v>
      </c>
      <c r="F121">
        <v>97</v>
      </c>
      <c r="G121">
        <v>107</v>
      </c>
      <c r="H121">
        <v>10</v>
      </c>
    </row>
    <row r="122" spans="1:8">
      <c r="A122" s="6"/>
      <c r="B122">
        <v>11</v>
      </c>
      <c r="C122">
        <v>30</v>
      </c>
      <c r="D122">
        <v>60</v>
      </c>
      <c r="E122">
        <v>16</v>
      </c>
      <c r="F122">
        <v>124</v>
      </c>
      <c r="G122">
        <v>134</v>
      </c>
      <c r="H122">
        <v>10</v>
      </c>
    </row>
    <row r="123" spans="1:8">
      <c r="A123" s="6"/>
      <c r="B123">
        <v>12</v>
      </c>
      <c r="C123">
        <v>20</v>
      </c>
      <c r="D123">
        <v>65</v>
      </c>
      <c r="E123">
        <v>12</v>
      </c>
      <c r="F123">
        <v>67</v>
      </c>
      <c r="G123">
        <v>77</v>
      </c>
      <c r="H123">
        <v>10</v>
      </c>
    </row>
    <row r="124" spans="1:8">
      <c r="A124" s="6"/>
      <c r="B124">
        <v>13</v>
      </c>
      <c r="C124">
        <v>50</v>
      </c>
      <c r="D124">
        <v>35</v>
      </c>
      <c r="E124">
        <v>19</v>
      </c>
      <c r="F124">
        <v>0</v>
      </c>
      <c r="G124">
        <v>205</v>
      </c>
      <c r="H124">
        <v>10</v>
      </c>
    </row>
    <row r="125" spans="1:8">
      <c r="A125" s="6"/>
      <c r="B125">
        <v>14</v>
      </c>
      <c r="C125">
        <v>30</v>
      </c>
      <c r="D125">
        <v>25</v>
      </c>
      <c r="E125">
        <v>23</v>
      </c>
      <c r="F125">
        <v>159</v>
      </c>
      <c r="G125">
        <v>169</v>
      </c>
      <c r="H125">
        <v>10</v>
      </c>
    </row>
    <row r="126" spans="1:8">
      <c r="A126" s="6"/>
      <c r="B126">
        <v>15</v>
      </c>
      <c r="C126">
        <v>15</v>
      </c>
      <c r="D126">
        <v>10</v>
      </c>
      <c r="E126">
        <v>20</v>
      </c>
      <c r="F126">
        <v>32</v>
      </c>
      <c r="G126">
        <v>42</v>
      </c>
      <c r="H126">
        <v>10</v>
      </c>
    </row>
    <row r="127" spans="1:8">
      <c r="A127" s="6"/>
      <c r="B127">
        <v>16</v>
      </c>
      <c r="C127">
        <v>30</v>
      </c>
      <c r="D127">
        <v>5</v>
      </c>
      <c r="E127">
        <v>8</v>
      </c>
      <c r="F127">
        <v>61</v>
      </c>
      <c r="G127">
        <v>71</v>
      </c>
      <c r="H127">
        <v>10</v>
      </c>
    </row>
    <row r="128" spans="1:8">
      <c r="A128" s="6"/>
      <c r="B128">
        <v>17</v>
      </c>
      <c r="C128">
        <v>10</v>
      </c>
      <c r="D128">
        <v>20</v>
      </c>
      <c r="E128">
        <v>19</v>
      </c>
      <c r="F128">
        <v>75</v>
      </c>
      <c r="G128">
        <v>85</v>
      </c>
      <c r="H128">
        <v>10</v>
      </c>
    </row>
    <row r="129" spans="1:8">
      <c r="A129" s="6"/>
      <c r="B129">
        <v>18</v>
      </c>
      <c r="C129">
        <v>5</v>
      </c>
      <c r="D129">
        <v>30</v>
      </c>
      <c r="E129">
        <v>2</v>
      </c>
      <c r="F129">
        <v>157</v>
      </c>
      <c r="G129">
        <v>167</v>
      </c>
      <c r="H129">
        <v>10</v>
      </c>
    </row>
    <row r="130" spans="1:8">
      <c r="A130" s="6"/>
      <c r="B130">
        <v>19</v>
      </c>
      <c r="C130">
        <v>20</v>
      </c>
      <c r="D130">
        <v>40</v>
      </c>
      <c r="E130">
        <v>12</v>
      </c>
      <c r="F130">
        <v>87</v>
      </c>
      <c r="G130">
        <v>97</v>
      </c>
      <c r="H130">
        <v>10</v>
      </c>
    </row>
    <row r="131" spans="1:8">
      <c r="A131" s="6"/>
      <c r="B131">
        <v>20</v>
      </c>
      <c r="C131">
        <v>15</v>
      </c>
      <c r="D131">
        <v>60</v>
      </c>
      <c r="E131">
        <v>17</v>
      </c>
      <c r="F131">
        <v>76</v>
      </c>
      <c r="G131">
        <v>86</v>
      </c>
      <c r="H131">
        <v>10</v>
      </c>
    </row>
    <row r="132" spans="1:8">
      <c r="A132" s="6"/>
      <c r="B132">
        <v>21</v>
      </c>
      <c r="C132">
        <v>45</v>
      </c>
      <c r="D132">
        <v>65</v>
      </c>
      <c r="E132">
        <v>9</v>
      </c>
      <c r="F132">
        <v>126</v>
      </c>
      <c r="G132">
        <v>136</v>
      </c>
      <c r="H132">
        <v>10</v>
      </c>
    </row>
    <row r="133" spans="1:8">
      <c r="A133" s="6"/>
      <c r="B133">
        <v>22</v>
      </c>
      <c r="C133">
        <v>45</v>
      </c>
      <c r="D133">
        <v>20</v>
      </c>
      <c r="E133">
        <v>11</v>
      </c>
      <c r="F133">
        <v>0</v>
      </c>
      <c r="G133">
        <v>201</v>
      </c>
      <c r="H133">
        <v>10</v>
      </c>
    </row>
    <row r="134" spans="1:8">
      <c r="A134" s="6"/>
      <c r="B134">
        <v>23</v>
      </c>
      <c r="C134">
        <v>45</v>
      </c>
      <c r="D134">
        <v>10</v>
      </c>
      <c r="E134">
        <v>18</v>
      </c>
      <c r="F134">
        <v>97</v>
      </c>
      <c r="G134">
        <v>107</v>
      </c>
      <c r="H134">
        <v>10</v>
      </c>
    </row>
    <row r="135" spans="1:8">
      <c r="A135" s="6"/>
      <c r="B135">
        <v>24</v>
      </c>
      <c r="C135">
        <v>55</v>
      </c>
      <c r="D135">
        <v>5</v>
      </c>
      <c r="E135">
        <v>29</v>
      </c>
      <c r="F135">
        <v>68</v>
      </c>
      <c r="G135">
        <v>78</v>
      </c>
      <c r="H135">
        <v>10</v>
      </c>
    </row>
    <row r="136" spans="1:8">
      <c r="A136" s="6"/>
      <c r="B136">
        <v>25</v>
      </c>
      <c r="C136">
        <v>65</v>
      </c>
      <c r="D136">
        <v>35</v>
      </c>
      <c r="E136">
        <v>3</v>
      </c>
      <c r="F136">
        <v>153</v>
      </c>
      <c r="G136">
        <v>163</v>
      </c>
      <c r="H136">
        <v>10</v>
      </c>
    </row>
    <row r="137" spans="1:8">
      <c r="A137" s="6"/>
      <c r="B137">
        <v>26</v>
      </c>
      <c r="C137">
        <v>65</v>
      </c>
      <c r="D137">
        <v>20</v>
      </c>
      <c r="E137">
        <v>6</v>
      </c>
      <c r="F137">
        <v>172</v>
      </c>
      <c r="G137">
        <v>182</v>
      </c>
      <c r="H137">
        <v>10</v>
      </c>
    </row>
    <row r="138" spans="1:8">
      <c r="A138" s="6"/>
      <c r="B138">
        <v>27</v>
      </c>
      <c r="C138">
        <v>45</v>
      </c>
      <c r="D138">
        <v>30</v>
      </c>
      <c r="E138">
        <v>17</v>
      </c>
      <c r="F138">
        <v>0</v>
      </c>
      <c r="G138">
        <v>208</v>
      </c>
      <c r="H138">
        <v>10</v>
      </c>
    </row>
    <row r="139" spans="1:8">
      <c r="A139" s="6"/>
      <c r="B139">
        <v>28</v>
      </c>
      <c r="C139">
        <v>35</v>
      </c>
      <c r="D139">
        <v>40</v>
      </c>
      <c r="E139">
        <v>16</v>
      </c>
      <c r="F139">
        <v>37</v>
      </c>
      <c r="G139">
        <v>47</v>
      </c>
      <c r="H139">
        <v>10</v>
      </c>
    </row>
    <row r="140" spans="1:8">
      <c r="A140" s="6"/>
      <c r="B140">
        <v>29</v>
      </c>
      <c r="C140">
        <v>41</v>
      </c>
      <c r="D140">
        <v>37</v>
      </c>
      <c r="E140">
        <v>16</v>
      </c>
      <c r="F140">
        <v>39</v>
      </c>
      <c r="G140">
        <v>49</v>
      </c>
      <c r="H140">
        <v>10</v>
      </c>
    </row>
    <row r="141" spans="1:8">
      <c r="A141" s="6"/>
      <c r="B141">
        <v>30</v>
      </c>
      <c r="C141">
        <v>64</v>
      </c>
      <c r="D141">
        <v>42</v>
      </c>
      <c r="E141">
        <v>9</v>
      </c>
      <c r="F141">
        <v>63</v>
      </c>
      <c r="G141">
        <v>73</v>
      </c>
      <c r="H141">
        <v>10</v>
      </c>
    </row>
    <row r="142" spans="1:8">
      <c r="A142" s="6"/>
      <c r="B142">
        <v>31</v>
      </c>
      <c r="C142">
        <v>40</v>
      </c>
      <c r="D142">
        <v>60</v>
      </c>
      <c r="E142">
        <v>21</v>
      </c>
      <c r="F142">
        <v>71</v>
      </c>
      <c r="G142">
        <v>81</v>
      </c>
      <c r="H142">
        <v>10</v>
      </c>
    </row>
    <row r="143" spans="1:8">
      <c r="A143" s="6"/>
      <c r="B143">
        <v>32</v>
      </c>
      <c r="C143">
        <v>31</v>
      </c>
      <c r="D143">
        <v>52</v>
      </c>
      <c r="E143">
        <v>27</v>
      </c>
      <c r="F143">
        <v>0</v>
      </c>
      <c r="G143">
        <v>202</v>
      </c>
      <c r="H143">
        <v>10</v>
      </c>
    </row>
    <row r="144" spans="1:8">
      <c r="A144" s="6"/>
      <c r="B144">
        <v>33</v>
      </c>
      <c r="C144">
        <v>35</v>
      </c>
      <c r="D144">
        <v>69</v>
      </c>
      <c r="E144">
        <v>23</v>
      </c>
      <c r="F144">
        <v>141</v>
      </c>
      <c r="G144">
        <v>151</v>
      </c>
      <c r="H144">
        <v>10</v>
      </c>
    </row>
    <row r="145" spans="1:8">
      <c r="A145" s="6"/>
      <c r="B145">
        <v>34</v>
      </c>
      <c r="C145">
        <v>53</v>
      </c>
      <c r="D145">
        <v>52</v>
      </c>
      <c r="E145">
        <v>11</v>
      </c>
      <c r="F145">
        <v>37</v>
      </c>
      <c r="G145">
        <v>47</v>
      </c>
      <c r="H145">
        <v>10</v>
      </c>
    </row>
    <row r="146" spans="1:8">
      <c r="A146" s="6"/>
      <c r="B146">
        <v>35</v>
      </c>
      <c r="C146">
        <v>65</v>
      </c>
      <c r="D146">
        <v>55</v>
      </c>
      <c r="E146">
        <v>14</v>
      </c>
      <c r="F146">
        <v>0</v>
      </c>
      <c r="G146">
        <v>183</v>
      </c>
      <c r="H146">
        <v>10</v>
      </c>
    </row>
    <row r="147" spans="1:8">
      <c r="A147" s="6"/>
      <c r="B147">
        <v>36</v>
      </c>
      <c r="C147">
        <v>63</v>
      </c>
      <c r="D147">
        <v>65</v>
      </c>
      <c r="E147">
        <v>8</v>
      </c>
      <c r="F147">
        <v>143</v>
      </c>
      <c r="G147">
        <v>153</v>
      </c>
      <c r="H147">
        <v>10</v>
      </c>
    </row>
    <row r="148" spans="1:8">
      <c r="A148" s="6"/>
      <c r="B148">
        <v>37</v>
      </c>
      <c r="C148">
        <v>2</v>
      </c>
      <c r="D148">
        <v>60</v>
      </c>
      <c r="E148">
        <v>5</v>
      </c>
      <c r="F148">
        <v>41</v>
      </c>
      <c r="G148">
        <v>51</v>
      </c>
      <c r="H148">
        <v>10</v>
      </c>
    </row>
    <row r="149" spans="1:8">
      <c r="A149" s="6"/>
      <c r="B149">
        <v>38</v>
      </c>
      <c r="C149">
        <v>20</v>
      </c>
      <c r="D149">
        <v>20</v>
      </c>
      <c r="E149">
        <v>8</v>
      </c>
      <c r="F149">
        <v>0</v>
      </c>
      <c r="G149">
        <v>198</v>
      </c>
      <c r="H149">
        <v>10</v>
      </c>
    </row>
    <row r="150" spans="1:8">
      <c r="A150" s="6"/>
      <c r="B150">
        <v>39</v>
      </c>
      <c r="C150">
        <v>5</v>
      </c>
      <c r="D150">
        <v>5</v>
      </c>
      <c r="E150">
        <v>16</v>
      </c>
      <c r="F150">
        <v>83</v>
      </c>
      <c r="G150">
        <v>93</v>
      </c>
      <c r="H150">
        <v>10</v>
      </c>
    </row>
    <row r="151" spans="1:8">
      <c r="A151" s="6"/>
      <c r="B151">
        <v>40</v>
      </c>
      <c r="C151">
        <v>60</v>
      </c>
      <c r="D151">
        <v>12</v>
      </c>
      <c r="E151">
        <v>31</v>
      </c>
      <c r="F151">
        <v>44</v>
      </c>
      <c r="G151">
        <v>54</v>
      </c>
      <c r="H151">
        <v>10</v>
      </c>
    </row>
    <row r="152" spans="1:8">
      <c r="A152" s="6"/>
      <c r="B152">
        <v>41</v>
      </c>
      <c r="C152">
        <v>40</v>
      </c>
      <c r="D152">
        <v>25</v>
      </c>
      <c r="E152">
        <v>9</v>
      </c>
      <c r="F152">
        <v>85</v>
      </c>
      <c r="G152">
        <v>95</v>
      </c>
      <c r="H152">
        <v>10</v>
      </c>
    </row>
    <row r="153" spans="1:8">
      <c r="A153" s="6"/>
      <c r="B153">
        <v>42</v>
      </c>
      <c r="C153">
        <v>42</v>
      </c>
      <c r="D153">
        <v>7</v>
      </c>
      <c r="E153">
        <v>5</v>
      </c>
      <c r="F153">
        <v>97</v>
      </c>
      <c r="G153">
        <v>107</v>
      </c>
      <c r="H153">
        <v>10</v>
      </c>
    </row>
    <row r="154" spans="1:8">
      <c r="A154" s="6"/>
      <c r="B154">
        <v>43</v>
      </c>
      <c r="C154">
        <v>24</v>
      </c>
      <c r="D154">
        <v>12</v>
      </c>
      <c r="E154">
        <v>5</v>
      </c>
      <c r="F154">
        <v>31</v>
      </c>
      <c r="G154">
        <v>41</v>
      </c>
      <c r="H154">
        <v>10</v>
      </c>
    </row>
    <row r="155" spans="1:8">
      <c r="A155" s="6"/>
      <c r="B155">
        <v>44</v>
      </c>
      <c r="C155">
        <v>23</v>
      </c>
      <c r="D155">
        <v>3</v>
      </c>
      <c r="E155">
        <v>7</v>
      </c>
      <c r="F155">
        <v>132</v>
      </c>
      <c r="G155">
        <v>142</v>
      </c>
      <c r="H155">
        <v>10</v>
      </c>
    </row>
    <row r="156" spans="1:8">
      <c r="A156" s="6"/>
      <c r="B156">
        <v>45</v>
      </c>
      <c r="C156">
        <v>11</v>
      </c>
      <c r="D156">
        <v>14</v>
      </c>
      <c r="E156">
        <v>18</v>
      </c>
      <c r="F156">
        <v>69</v>
      </c>
      <c r="G156">
        <v>79</v>
      </c>
      <c r="H156">
        <v>10</v>
      </c>
    </row>
    <row r="157" spans="1:8">
      <c r="A157" s="6"/>
      <c r="B157">
        <v>46</v>
      </c>
      <c r="C157">
        <v>6</v>
      </c>
      <c r="D157">
        <v>38</v>
      </c>
      <c r="E157">
        <v>16</v>
      </c>
      <c r="F157">
        <v>32</v>
      </c>
      <c r="G157">
        <v>42</v>
      </c>
      <c r="H157">
        <v>10</v>
      </c>
    </row>
    <row r="158" spans="1:8">
      <c r="A158" s="6"/>
      <c r="B158">
        <v>47</v>
      </c>
      <c r="C158">
        <v>2</v>
      </c>
      <c r="D158">
        <v>48</v>
      </c>
      <c r="E158">
        <v>1</v>
      </c>
      <c r="F158">
        <v>117</v>
      </c>
      <c r="G158">
        <v>127</v>
      </c>
      <c r="H158">
        <v>10</v>
      </c>
    </row>
    <row r="159" spans="1:8">
      <c r="A159" s="6"/>
      <c r="B159">
        <v>48</v>
      </c>
      <c r="C159">
        <v>8</v>
      </c>
      <c r="D159">
        <v>56</v>
      </c>
      <c r="E159">
        <v>27</v>
      </c>
      <c r="F159">
        <v>51</v>
      </c>
      <c r="G159">
        <v>61</v>
      </c>
      <c r="H159">
        <v>10</v>
      </c>
    </row>
    <row r="160" spans="1:8">
      <c r="A160" s="6"/>
      <c r="B160">
        <v>49</v>
      </c>
      <c r="C160">
        <v>13</v>
      </c>
      <c r="D160">
        <v>52</v>
      </c>
      <c r="E160">
        <v>36</v>
      </c>
      <c r="F160">
        <v>0</v>
      </c>
      <c r="G160">
        <v>192</v>
      </c>
      <c r="H160">
        <v>10</v>
      </c>
    </row>
    <row r="161" spans="1:8">
      <c r="A161" s="6"/>
      <c r="B161">
        <v>50</v>
      </c>
      <c r="C161">
        <v>6</v>
      </c>
      <c r="D161">
        <v>68</v>
      </c>
      <c r="E161">
        <v>30</v>
      </c>
      <c r="F161">
        <v>108</v>
      </c>
      <c r="G161">
        <v>118</v>
      </c>
      <c r="H161">
        <v>10</v>
      </c>
    </row>
    <row r="162" spans="1:8">
      <c r="A162" s="6"/>
      <c r="B162">
        <v>51</v>
      </c>
      <c r="C162">
        <v>47</v>
      </c>
      <c r="D162">
        <v>47</v>
      </c>
      <c r="E162">
        <v>13</v>
      </c>
      <c r="F162">
        <v>0</v>
      </c>
      <c r="G162">
        <v>203</v>
      </c>
      <c r="H162">
        <v>10</v>
      </c>
    </row>
    <row r="163" spans="1:8">
      <c r="A163" s="6"/>
      <c r="B163">
        <v>52</v>
      </c>
      <c r="C163">
        <v>49</v>
      </c>
      <c r="D163">
        <v>58</v>
      </c>
      <c r="E163">
        <v>10</v>
      </c>
      <c r="F163">
        <v>88</v>
      </c>
      <c r="G163">
        <v>98</v>
      </c>
      <c r="H163">
        <v>10</v>
      </c>
    </row>
    <row r="164" spans="1:8">
      <c r="A164" s="6"/>
      <c r="B164">
        <v>53</v>
      </c>
      <c r="C164">
        <v>27</v>
      </c>
      <c r="D164">
        <v>43</v>
      </c>
      <c r="E164">
        <v>9</v>
      </c>
      <c r="F164">
        <v>0</v>
      </c>
      <c r="G164">
        <v>208</v>
      </c>
      <c r="H164">
        <v>10</v>
      </c>
    </row>
    <row r="165" spans="1:8">
      <c r="A165" s="6"/>
      <c r="B165">
        <v>54</v>
      </c>
      <c r="C165">
        <v>37</v>
      </c>
      <c r="D165">
        <v>31</v>
      </c>
      <c r="E165">
        <v>14</v>
      </c>
      <c r="F165">
        <v>95</v>
      </c>
      <c r="G165">
        <v>105</v>
      </c>
      <c r="H165">
        <v>10</v>
      </c>
    </row>
    <row r="166" spans="1:8">
      <c r="A166" s="6"/>
      <c r="B166">
        <v>55</v>
      </c>
      <c r="C166">
        <v>57</v>
      </c>
      <c r="D166">
        <v>29</v>
      </c>
      <c r="E166">
        <v>18</v>
      </c>
      <c r="F166">
        <v>140</v>
      </c>
      <c r="G166">
        <v>150</v>
      </c>
      <c r="H166">
        <v>10</v>
      </c>
    </row>
    <row r="167" spans="1:8">
      <c r="A167" s="6"/>
      <c r="B167">
        <v>56</v>
      </c>
      <c r="C167">
        <v>63</v>
      </c>
      <c r="D167">
        <v>23</v>
      </c>
      <c r="E167">
        <v>2</v>
      </c>
      <c r="F167">
        <v>136</v>
      </c>
      <c r="G167">
        <v>146</v>
      </c>
      <c r="H167">
        <v>10</v>
      </c>
    </row>
    <row r="168" spans="1:8">
      <c r="A168" s="6"/>
      <c r="B168">
        <v>57</v>
      </c>
      <c r="C168">
        <v>53</v>
      </c>
      <c r="D168">
        <v>12</v>
      </c>
      <c r="E168">
        <v>6</v>
      </c>
      <c r="F168">
        <v>130</v>
      </c>
      <c r="G168">
        <v>140</v>
      </c>
      <c r="H168">
        <v>10</v>
      </c>
    </row>
    <row r="169" spans="1:8">
      <c r="A169" s="6"/>
      <c r="B169">
        <v>58</v>
      </c>
      <c r="C169">
        <v>32</v>
      </c>
      <c r="D169">
        <v>12</v>
      </c>
      <c r="E169">
        <v>7</v>
      </c>
      <c r="F169">
        <v>101</v>
      </c>
      <c r="G169">
        <v>111</v>
      </c>
      <c r="H169">
        <v>10</v>
      </c>
    </row>
    <row r="170" spans="1:8">
      <c r="A170" s="6"/>
      <c r="B170">
        <v>59</v>
      </c>
      <c r="C170">
        <v>36</v>
      </c>
      <c r="D170">
        <v>26</v>
      </c>
      <c r="E170">
        <v>18</v>
      </c>
      <c r="F170">
        <v>200</v>
      </c>
      <c r="G170">
        <v>210</v>
      </c>
      <c r="H170">
        <v>10</v>
      </c>
    </row>
    <row r="171" spans="1:8">
      <c r="A171" s="6"/>
      <c r="B171">
        <v>60</v>
      </c>
      <c r="C171">
        <v>21</v>
      </c>
      <c r="D171">
        <v>24</v>
      </c>
      <c r="E171">
        <v>28</v>
      </c>
      <c r="F171">
        <v>0</v>
      </c>
      <c r="G171">
        <v>202</v>
      </c>
      <c r="H171">
        <v>10</v>
      </c>
    </row>
    <row r="172" spans="1:8">
      <c r="A172" s="6"/>
      <c r="B172">
        <v>61</v>
      </c>
      <c r="C172">
        <v>17</v>
      </c>
      <c r="D172">
        <v>34</v>
      </c>
      <c r="E172">
        <v>3</v>
      </c>
      <c r="F172">
        <v>162</v>
      </c>
      <c r="G172">
        <v>172</v>
      </c>
      <c r="H172">
        <v>10</v>
      </c>
    </row>
    <row r="173" spans="1:8">
      <c r="A173" s="6"/>
      <c r="B173">
        <v>62</v>
      </c>
      <c r="C173">
        <v>12</v>
      </c>
      <c r="D173">
        <v>24</v>
      </c>
      <c r="E173">
        <v>13</v>
      </c>
      <c r="F173">
        <v>76</v>
      </c>
      <c r="G173">
        <v>86</v>
      </c>
      <c r="H173">
        <v>10</v>
      </c>
    </row>
    <row r="174" spans="1:8">
      <c r="A174" s="6"/>
      <c r="B174">
        <v>63</v>
      </c>
      <c r="C174">
        <v>24</v>
      </c>
      <c r="D174">
        <v>58</v>
      </c>
      <c r="E174">
        <v>19</v>
      </c>
      <c r="F174">
        <v>58</v>
      </c>
      <c r="G174">
        <v>68</v>
      </c>
      <c r="H174">
        <v>10</v>
      </c>
    </row>
    <row r="175" spans="1:8">
      <c r="A175" s="6"/>
      <c r="B175">
        <v>64</v>
      </c>
      <c r="C175">
        <v>27</v>
      </c>
      <c r="D175">
        <v>69</v>
      </c>
      <c r="E175">
        <v>10</v>
      </c>
      <c r="F175">
        <v>34</v>
      </c>
      <c r="G175">
        <v>44</v>
      </c>
      <c r="H175">
        <v>10</v>
      </c>
    </row>
    <row r="176" spans="1:8">
      <c r="A176" s="6"/>
      <c r="B176">
        <v>65</v>
      </c>
      <c r="C176">
        <v>15</v>
      </c>
      <c r="D176">
        <v>77</v>
      </c>
      <c r="E176">
        <v>9</v>
      </c>
      <c r="F176">
        <v>73</v>
      </c>
      <c r="G176">
        <v>83</v>
      </c>
      <c r="H176">
        <v>10</v>
      </c>
    </row>
    <row r="177" spans="1:8">
      <c r="A177" s="6"/>
      <c r="B177">
        <v>66</v>
      </c>
      <c r="C177">
        <v>62</v>
      </c>
      <c r="D177">
        <v>77</v>
      </c>
      <c r="E177">
        <v>20</v>
      </c>
      <c r="F177">
        <v>51</v>
      </c>
      <c r="G177">
        <v>61</v>
      </c>
      <c r="H177">
        <v>10</v>
      </c>
    </row>
    <row r="178" spans="1:8">
      <c r="A178" s="6"/>
      <c r="B178">
        <v>67</v>
      </c>
      <c r="C178">
        <v>49</v>
      </c>
      <c r="D178">
        <v>73</v>
      </c>
      <c r="E178">
        <v>25</v>
      </c>
      <c r="F178">
        <v>127</v>
      </c>
      <c r="G178">
        <v>137</v>
      </c>
      <c r="H178">
        <v>10</v>
      </c>
    </row>
    <row r="179" spans="1:8">
      <c r="A179" s="6"/>
      <c r="B179">
        <v>68</v>
      </c>
      <c r="C179">
        <v>67</v>
      </c>
      <c r="D179">
        <v>5</v>
      </c>
      <c r="E179">
        <v>25</v>
      </c>
      <c r="F179">
        <v>83</v>
      </c>
      <c r="G179">
        <v>93</v>
      </c>
      <c r="H179">
        <v>10</v>
      </c>
    </row>
    <row r="180" spans="1:8">
      <c r="A180" s="6"/>
      <c r="B180">
        <v>69</v>
      </c>
      <c r="C180">
        <v>56</v>
      </c>
      <c r="D180">
        <v>39</v>
      </c>
      <c r="E180">
        <v>36</v>
      </c>
      <c r="F180">
        <v>142</v>
      </c>
      <c r="G180">
        <v>152</v>
      </c>
      <c r="H180">
        <v>10</v>
      </c>
    </row>
    <row r="181" spans="1:8">
      <c r="A181" s="6"/>
      <c r="B181">
        <v>70</v>
      </c>
      <c r="C181">
        <v>37</v>
      </c>
      <c r="D181">
        <v>47</v>
      </c>
      <c r="E181">
        <v>6</v>
      </c>
      <c r="F181">
        <v>50</v>
      </c>
      <c r="G181">
        <v>60</v>
      </c>
      <c r="H181">
        <v>10</v>
      </c>
    </row>
    <row r="182" spans="1:8">
      <c r="A182" s="6"/>
      <c r="B182">
        <v>71</v>
      </c>
      <c r="C182">
        <v>37</v>
      </c>
      <c r="D182">
        <v>56</v>
      </c>
      <c r="E182">
        <v>5</v>
      </c>
      <c r="F182">
        <v>182</v>
      </c>
      <c r="G182">
        <v>192</v>
      </c>
      <c r="H182">
        <v>10</v>
      </c>
    </row>
    <row r="183" spans="1:8">
      <c r="A183" s="6"/>
      <c r="B183">
        <v>72</v>
      </c>
      <c r="C183">
        <v>57</v>
      </c>
      <c r="D183">
        <v>68</v>
      </c>
      <c r="E183">
        <v>15</v>
      </c>
      <c r="F183">
        <v>77</v>
      </c>
      <c r="G183">
        <v>87</v>
      </c>
      <c r="H183">
        <v>10</v>
      </c>
    </row>
    <row r="184" spans="1:8">
      <c r="A184" s="6"/>
      <c r="B184">
        <v>73</v>
      </c>
      <c r="C184">
        <v>47</v>
      </c>
      <c r="D184">
        <v>16</v>
      </c>
      <c r="E184">
        <v>25</v>
      </c>
      <c r="F184">
        <v>0</v>
      </c>
      <c r="G184">
        <v>197</v>
      </c>
      <c r="H184">
        <v>10</v>
      </c>
    </row>
    <row r="185" spans="1:8">
      <c r="A185" s="6"/>
      <c r="B185">
        <v>74</v>
      </c>
      <c r="C185">
        <v>44</v>
      </c>
      <c r="D185">
        <v>17</v>
      </c>
      <c r="E185">
        <v>9</v>
      </c>
      <c r="F185">
        <v>78</v>
      </c>
      <c r="G185">
        <v>88</v>
      </c>
      <c r="H185">
        <v>10</v>
      </c>
    </row>
    <row r="186" spans="1:8">
      <c r="A186" s="6"/>
      <c r="B186">
        <v>75</v>
      </c>
      <c r="C186">
        <v>46</v>
      </c>
      <c r="D186">
        <v>13</v>
      </c>
      <c r="E186">
        <v>8</v>
      </c>
      <c r="F186">
        <v>149</v>
      </c>
      <c r="G186">
        <v>159</v>
      </c>
      <c r="H186">
        <v>10</v>
      </c>
    </row>
    <row r="187" spans="1:8">
      <c r="A187" s="6"/>
      <c r="B187">
        <v>76</v>
      </c>
      <c r="C187">
        <v>49</v>
      </c>
      <c r="D187">
        <v>11</v>
      </c>
      <c r="E187">
        <v>18</v>
      </c>
      <c r="F187">
        <v>0</v>
      </c>
      <c r="G187">
        <v>192</v>
      </c>
      <c r="H187">
        <v>10</v>
      </c>
    </row>
    <row r="188" spans="1:8">
      <c r="A188" s="6"/>
      <c r="B188">
        <v>77</v>
      </c>
      <c r="C188">
        <v>49</v>
      </c>
      <c r="D188">
        <v>42</v>
      </c>
      <c r="E188">
        <v>13</v>
      </c>
      <c r="F188">
        <v>73</v>
      </c>
      <c r="G188">
        <v>83</v>
      </c>
      <c r="H188">
        <v>10</v>
      </c>
    </row>
    <row r="189" spans="1:8">
      <c r="A189" s="6"/>
      <c r="B189">
        <v>78</v>
      </c>
      <c r="C189">
        <v>53</v>
      </c>
      <c r="D189">
        <v>43</v>
      </c>
      <c r="E189">
        <v>14</v>
      </c>
      <c r="F189">
        <v>179</v>
      </c>
      <c r="G189">
        <v>189</v>
      </c>
      <c r="H189">
        <v>10</v>
      </c>
    </row>
    <row r="190" spans="1:8">
      <c r="A190" s="6"/>
      <c r="B190">
        <v>79</v>
      </c>
      <c r="C190">
        <v>61</v>
      </c>
      <c r="D190">
        <v>52</v>
      </c>
      <c r="E190">
        <v>3</v>
      </c>
      <c r="F190">
        <v>96</v>
      </c>
      <c r="G190">
        <v>106</v>
      </c>
      <c r="H190">
        <v>10</v>
      </c>
    </row>
    <row r="191" spans="1:8">
      <c r="A191" s="6"/>
      <c r="B191">
        <v>80</v>
      </c>
      <c r="C191">
        <v>57</v>
      </c>
      <c r="D191">
        <v>48</v>
      </c>
      <c r="E191">
        <v>23</v>
      </c>
      <c r="F191">
        <v>92</v>
      </c>
      <c r="G191">
        <v>102</v>
      </c>
      <c r="H191">
        <v>10</v>
      </c>
    </row>
    <row r="192" spans="1:8">
      <c r="A192" s="6"/>
      <c r="B192">
        <v>81</v>
      </c>
      <c r="C192">
        <v>56</v>
      </c>
      <c r="D192">
        <v>37</v>
      </c>
      <c r="E192">
        <v>6</v>
      </c>
      <c r="F192">
        <v>182</v>
      </c>
      <c r="G192">
        <v>192</v>
      </c>
      <c r="H192">
        <v>10</v>
      </c>
    </row>
    <row r="193" spans="1:8">
      <c r="A193" s="6"/>
      <c r="B193">
        <v>82</v>
      </c>
      <c r="C193">
        <v>55</v>
      </c>
      <c r="D193">
        <v>54</v>
      </c>
      <c r="E193">
        <v>26</v>
      </c>
      <c r="F193">
        <v>94</v>
      </c>
      <c r="G193">
        <v>104</v>
      </c>
      <c r="H193">
        <v>10</v>
      </c>
    </row>
    <row r="194" spans="1:8">
      <c r="A194" s="6"/>
      <c r="B194">
        <v>83</v>
      </c>
      <c r="C194">
        <v>15</v>
      </c>
      <c r="D194">
        <v>47</v>
      </c>
      <c r="E194">
        <v>16</v>
      </c>
      <c r="F194">
        <v>0</v>
      </c>
      <c r="G194">
        <v>196</v>
      </c>
      <c r="H194">
        <v>10</v>
      </c>
    </row>
    <row r="195" spans="1:8">
      <c r="A195" s="6"/>
      <c r="B195">
        <v>84</v>
      </c>
      <c r="C195">
        <v>14</v>
      </c>
      <c r="D195">
        <v>37</v>
      </c>
      <c r="E195">
        <v>11</v>
      </c>
      <c r="F195">
        <v>0</v>
      </c>
      <c r="G195">
        <v>198</v>
      </c>
      <c r="H195">
        <v>10</v>
      </c>
    </row>
    <row r="196" spans="1:8">
      <c r="A196" s="6"/>
      <c r="B196">
        <v>85</v>
      </c>
      <c r="C196">
        <v>11</v>
      </c>
      <c r="D196">
        <v>31</v>
      </c>
      <c r="E196">
        <v>7</v>
      </c>
      <c r="F196">
        <v>101</v>
      </c>
      <c r="G196">
        <v>111</v>
      </c>
      <c r="H196">
        <v>10</v>
      </c>
    </row>
    <row r="197" spans="1:8">
      <c r="A197" s="6"/>
      <c r="B197">
        <v>86</v>
      </c>
      <c r="C197">
        <v>16</v>
      </c>
      <c r="D197">
        <v>22</v>
      </c>
      <c r="E197">
        <v>41</v>
      </c>
      <c r="F197">
        <v>0</v>
      </c>
      <c r="G197">
        <v>196</v>
      </c>
      <c r="H197">
        <v>10</v>
      </c>
    </row>
    <row r="198" spans="1:8">
      <c r="A198" s="6"/>
      <c r="B198">
        <v>87</v>
      </c>
      <c r="C198">
        <v>4</v>
      </c>
      <c r="D198">
        <v>18</v>
      </c>
      <c r="E198">
        <v>35</v>
      </c>
      <c r="F198">
        <v>94</v>
      </c>
      <c r="G198">
        <v>104</v>
      </c>
      <c r="H198">
        <v>10</v>
      </c>
    </row>
    <row r="199" spans="1:8">
      <c r="A199" s="6"/>
      <c r="B199">
        <v>88</v>
      </c>
      <c r="C199">
        <v>28</v>
      </c>
      <c r="D199">
        <v>18</v>
      </c>
      <c r="E199">
        <v>26</v>
      </c>
      <c r="F199">
        <v>93</v>
      </c>
      <c r="G199">
        <v>103</v>
      </c>
      <c r="H199">
        <v>10</v>
      </c>
    </row>
    <row r="200" spans="1:8">
      <c r="A200" s="6"/>
      <c r="B200">
        <v>89</v>
      </c>
      <c r="C200">
        <v>26</v>
      </c>
      <c r="D200">
        <v>52</v>
      </c>
      <c r="E200">
        <v>9</v>
      </c>
      <c r="F200">
        <v>74</v>
      </c>
      <c r="G200">
        <v>84</v>
      </c>
      <c r="H200">
        <v>10</v>
      </c>
    </row>
    <row r="201" spans="1:8">
      <c r="A201" s="6"/>
      <c r="B201">
        <v>90</v>
      </c>
      <c r="C201">
        <v>26</v>
      </c>
      <c r="D201">
        <v>35</v>
      </c>
      <c r="E201">
        <v>15</v>
      </c>
      <c r="F201">
        <v>176</v>
      </c>
      <c r="G201">
        <v>186</v>
      </c>
      <c r="H201">
        <v>10</v>
      </c>
    </row>
    <row r="202" spans="1:8">
      <c r="A202" s="6"/>
      <c r="B202">
        <v>91</v>
      </c>
      <c r="C202">
        <v>31</v>
      </c>
      <c r="D202">
        <v>67</v>
      </c>
      <c r="E202">
        <v>3</v>
      </c>
      <c r="F202">
        <v>95</v>
      </c>
      <c r="G202">
        <v>105</v>
      </c>
      <c r="H202">
        <v>10</v>
      </c>
    </row>
    <row r="203" spans="1:8">
      <c r="A203" s="6"/>
      <c r="B203">
        <v>92</v>
      </c>
      <c r="C203">
        <v>15</v>
      </c>
      <c r="D203">
        <v>19</v>
      </c>
      <c r="E203">
        <v>1</v>
      </c>
      <c r="F203">
        <v>0</v>
      </c>
      <c r="G203">
        <v>194</v>
      </c>
      <c r="H203">
        <v>10</v>
      </c>
    </row>
    <row r="204" spans="1:8">
      <c r="A204" s="6"/>
      <c r="B204">
        <v>93</v>
      </c>
      <c r="C204">
        <v>22</v>
      </c>
      <c r="D204">
        <v>22</v>
      </c>
      <c r="E204">
        <v>2</v>
      </c>
      <c r="F204">
        <v>18</v>
      </c>
      <c r="G204">
        <v>28</v>
      </c>
      <c r="H204">
        <v>10</v>
      </c>
    </row>
    <row r="205" spans="1:8">
      <c r="A205" s="6"/>
      <c r="B205">
        <v>94</v>
      </c>
      <c r="C205">
        <v>18</v>
      </c>
      <c r="D205">
        <v>24</v>
      </c>
      <c r="E205">
        <v>22</v>
      </c>
      <c r="F205">
        <v>188</v>
      </c>
      <c r="G205">
        <v>198</v>
      </c>
      <c r="H205">
        <v>10</v>
      </c>
    </row>
    <row r="206" spans="1:8">
      <c r="A206" s="6"/>
      <c r="B206">
        <v>95</v>
      </c>
      <c r="C206">
        <v>26</v>
      </c>
      <c r="D206">
        <v>27</v>
      </c>
      <c r="E206">
        <v>27</v>
      </c>
      <c r="F206">
        <v>0</v>
      </c>
      <c r="G206">
        <v>207</v>
      </c>
      <c r="H206">
        <v>10</v>
      </c>
    </row>
    <row r="207" spans="1:8">
      <c r="A207" s="6"/>
      <c r="B207">
        <v>96</v>
      </c>
      <c r="C207">
        <v>25</v>
      </c>
      <c r="D207">
        <v>24</v>
      </c>
      <c r="E207">
        <v>20</v>
      </c>
      <c r="F207">
        <v>0</v>
      </c>
      <c r="G207">
        <v>205</v>
      </c>
      <c r="H207">
        <v>10</v>
      </c>
    </row>
    <row r="208" spans="1:8">
      <c r="A208" s="6"/>
      <c r="B208">
        <v>97</v>
      </c>
      <c r="C208">
        <v>22</v>
      </c>
      <c r="D208">
        <v>27</v>
      </c>
      <c r="E208">
        <v>11</v>
      </c>
      <c r="F208">
        <v>0</v>
      </c>
      <c r="G208">
        <v>204</v>
      </c>
      <c r="H208">
        <v>10</v>
      </c>
    </row>
    <row r="209" spans="1:8">
      <c r="A209" s="6"/>
      <c r="B209">
        <v>98</v>
      </c>
      <c r="C209">
        <v>25</v>
      </c>
      <c r="D209">
        <v>21</v>
      </c>
      <c r="E209">
        <v>12</v>
      </c>
      <c r="F209">
        <v>133</v>
      </c>
      <c r="G209">
        <v>143</v>
      </c>
      <c r="H209">
        <v>10</v>
      </c>
    </row>
    <row r="210" spans="1:8">
      <c r="A210" s="6"/>
      <c r="B210">
        <v>99</v>
      </c>
      <c r="C210">
        <v>19</v>
      </c>
      <c r="D210">
        <v>21</v>
      </c>
      <c r="E210">
        <v>10</v>
      </c>
      <c r="F210">
        <v>0</v>
      </c>
      <c r="G210">
        <v>198</v>
      </c>
      <c r="H210">
        <v>10</v>
      </c>
    </row>
    <row r="211" spans="1:8">
      <c r="A211" s="6"/>
      <c r="B211">
        <v>100</v>
      </c>
      <c r="C211">
        <v>20</v>
      </c>
      <c r="D211">
        <v>26</v>
      </c>
      <c r="E211">
        <v>9</v>
      </c>
      <c r="F211">
        <v>83</v>
      </c>
      <c r="G211">
        <v>93</v>
      </c>
      <c r="H211">
        <v>10</v>
      </c>
    </row>
    <row r="212" spans="1:8">
      <c r="A212" s="2"/>
      <c r="B212">
        <v>101</v>
      </c>
      <c r="C212">
        <v>18</v>
      </c>
      <c r="D212">
        <v>18</v>
      </c>
      <c r="E212">
        <v>17</v>
      </c>
      <c r="F212">
        <v>185</v>
      </c>
      <c r="G212">
        <v>195</v>
      </c>
      <c r="H212">
        <v>10</v>
      </c>
    </row>
    <row r="215" spans="1:8" ht="17.399999999999999">
      <c r="A215" s="7" t="s">
        <v>15</v>
      </c>
    </row>
    <row r="216" spans="1:8">
      <c r="A216" s="4"/>
    </row>
    <row r="217" spans="1:8">
      <c r="A217" s="6"/>
      <c r="B217" t="s">
        <v>32</v>
      </c>
      <c r="C217" t="s">
        <v>26</v>
      </c>
      <c r="D217" t="s">
        <v>27</v>
      </c>
      <c r="E217" t="s">
        <v>28</v>
      </c>
      <c r="F217" t="s">
        <v>29</v>
      </c>
      <c r="G217" t="s">
        <v>30</v>
      </c>
      <c r="H217" t="s">
        <v>31</v>
      </c>
    </row>
    <row r="218" spans="1:8">
      <c r="A218" s="6"/>
      <c r="B218">
        <v>1</v>
      </c>
      <c r="C218">
        <v>35</v>
      </c>
      <c r="D218">
        <v>35</v>
      </c>
      <c r="E218">
        <v>0</v>
      </c>
      <c r="F218">
        <v>0</v>
      </c>
      <c r="G218">
        <v>230</v>
      </c>
      <c r="H218">
        <v>0</v>
      </c>
    </row>
    <row r="219" spans="1:8">
      <c r="A219" s="6"/>
      <c r="B219">
        <v>2</v>
      </c>
      <c r="C219">
        <v>41</v>
      </c>
      <c r="D219">
        <v>49</v>
      </c>
      <c r="E219">
        <v>10</v>
      </c>
      <c r="F219">
        <v>0</v>
      </c>
      <c r="G219">
        <v>204</v>
      </c>
      <c r="H219">
        <v>10</v>
      </c>
    </row>
    <row r="220" spans="1:8">
      <c r="A220" s="6"/>
      <c r="B220">
        <v>3</v>
      </c>
      <c r="C220">
        <v>35</v>
      </c>
      <c r="D220">
        <v>17</v>
      </c>
      <c r="E220">
        <v>7</v>
      </c>
      <c r="F220">
        <v>0</v>
      </c>
      <c r="G220">
        <v>202</v>
      </c>
      <c r="H220">
        <v>10</v>
      </c>
    </row>
    <row r="221" spans="1:8">
      <c r="A221" s="6"/>
      <c r="B221">
        <v>4</v>
      </c>
      <c r="C221">
        <v>55</v>
      </c>
      <c r="D221">
        <v>45</v>
      </c>
      <c r="E221">
        <v>13</v>
      </c>
      <c r="F221">
        <v>0</v>
      </c>
      <c r="G221">
        <v>197</v>
      </c>
      <c r="H221">
        <v>10</v>
      </c>
    </row>
    <row r="222" spans="1:8">
      <c r="A222" s="6"/>
      <c r="B222">
        <v>5</v>
      </c>
      <c r="C222">
        <v>55</v>
      </c>
      <c r="D222">
        <v>20</v>
      </c>
      <c r="E222">
        <v>19</v>
      </c>
      <c r="F222">
        <v>149</v>
      </c>
      <c r="G222">
        <v>159</v>
      </c>
      <c r="H222">
        <v>10</v>
      </c>
    </row>
    <row r="223" spans="1:8">
      <c r="A223" s="6"/>
      <c r="B223">
        <v>6</v>
      </c>
      <c r="C223">
        <v>15</v>
      </c>
      <c r="D223">
        <v>30</v>
      </c>
      <c r="E223">
        <v>26</v>
      </c>
      <c r="F223">
        <v>0</v>
      </c>
      <c r="G223">
        <v>199</v>
      </c>
      <c r="H223">
        <v>10</v>
      </c>
    </row>
    <row r="224" spans="1:8">
      <c r="A224" s="6"/>
      <c r="B224">
        <v>7</v>
      </c>
      <c r="C224">
        <v>25</v>
      </c>
      <c r="D224">
        <v>30</v>
      </c>
      <c r="E224">
        <v>3</v>
      </c>
      <c r="F224">
        <v>99</v>
      </c>
      <c r="G224">
        <v>109</v>
      </c>
      <c r="H224">
        <v>10</v>
      </c>
    </row>
    <row r="225" spans="1:8">
      <c r="A225" s="6"/>
      <c r="B225">
        <v>8</v>
      </c>
      <c r="C225">
        <v>20</v>
      </c>
      <c r="D225">
        <v>50</v>
      </c>
      <c r="E225">
        <v>5</v>
      </c>
      <c r="F225">
        <v>0</v>
      </c>
      <c r="G225">
        <v>198</v>
      </c>
      <c r="H225">
        <v>10</v>
      </c>
    </row>
    <row r="226" spans="1:8">
      <c r="A226" s="6"/>
      <c r="B226">
        <v>9</v>
      </c>
      <c r="C226">
        <v>10</v>
      </c>
      <c r="D226">
        <v>43</v>
      </c>
      <c r="E226">
        <v>9</v>
      </c>
      <c r="F226">
        <v>95</v>
      </c>
      <c r="G226">
        <v>105</v>
      </c>
      <c r="H226">
        <v>10</v>
      </c>
    </row>
    <row r="227" spans="1:8">
      <c r="A227" s="6"/>
      <c r="B227">
        <v>10</v>
      </c>
      <c r="C227">
        <v>55</v>
      </c>
      <c r="D227">
        <v>60</v>
      </c>
      <c r="E227">
        <v>16</v>
      </c>
      <c r="F227">
        <v>97</v>
      </c>
      <c r="G227">
        <v>107</v>
      </c>
      <c r="H227">
        <v>10</v>
      </c>
    </row>
    <row r="228" spans="1:8">
      <c r="A228" s="6"/>
      <c r="B228">
        <v>11</v>
      </c>
      <c r="C228">
        <v>30</v>
      </c>
      <c r="D228">
        <v>60</v>
      </c>
      <c r="E228">
        <v>16</v>
      </c>
      <c r="F228">
        <v>124</v>
      </c>
      <c r="G228">
        <v>134</v>
      </c>
      <c r="H228">
        <v>10</v>
      </c>
    </row>
    <row r="229" spans="1:8">
      <c r="A229" s="6"/>
      <c r="B229">
        <v>12</v>
      </c>
      <c r="C229">
        <v>20</v>
      </c>
      <c r="D229">
        <v>65</v>
      </c>
      <c r="E229">
        <v>12</v>
      </c>
      <c r="F229">
        <v>67</v>
      </c>
      <c r="G229">
        <v>77</v>
      </c>
      <c r="H229">
        <v>10</v>
      </c>
    </row>
    <row r="230" spans="1:8">
      <c r="A230" s="6"/>
      <c r="B230">
        <v>13</v>
      </c>
      <c r="C230">
        <v>50</v>
      </c>
      <c r="D230">
        <v>35</v>
      </c>
      <c r="E230">
        <v>19</v>
      </c>
      <c r="F230">
        <v>0</v>
      </c>
      <c r="G230">
        <v>205</v>
      </c>
      <c r="H230">
        <v>10</v>
      </c>
    </row>
    <row r="231" spans="1:8">
      <c r="A231" s="6"/>
      <c r="B231">
        <v>14</v>
      </c>
      <c r="C231">
        <v>30</v>
      </c>
      <c r="D231">
        <v>25</v>
      </c>
      <c r="E231">
        <v>23</v>
      </c>
      <c r="F231">
        <v>159</v>
      </c>
      <c r="G231">
        <v>169</v>
      </c>
      <c r="H231">
        <v>10</v>
      </c>
    </row>
    <row r="232" spans="1:8">
      <c r="A232" s="6"/>
      <c r="B232">
        <v>15</v>
      </c>
      <c r="C232">
        <v>15</v>
      </c>
      <c r="D232">
        <v>10</v>
      </c>
      <c r="E232">
        <v>20</v>
      </c>
      <c r="F232">
        <v>0</v>
      </c>
      <c r="G232">
        <v>187</v>
      </c>
      <c r="H232">
        <v>10</v>
      </c>
    </row>
    <row r="233" spans="1:8">
      <c r="A233" s="6"/>
      <c r="B233">
        <v>16</v>
      </c>
      <c r="C233">
        <v>30</v>
      </c>
      <c r="D233">
        <v>5</v>
      </c>
      <c r="E233">
        <v>8</v>
      </c>
      <c r="F233">
        <v>61</v>
      </c>
      <c r="G233">
        <v>71</v>
      </c>
      <c r="H233">
        <v>10</v>
      </c>
    </row>
    <row r="234" spans="1:8">
      <c r="A234" s="6"/>
      <c r="B234">
        <v>17</v>
      </c>
      <c r="C234">
        <v>10</v>
      </c>
      <c r="D234">
        <v>20</v>
      </c>
      <c r="E234">
        <v>19</v>
      </c>
      <c r="F234">
        <v>0</v>
      </c>
      <c r="G234">
        <v>190</v>
      </c>
      <c r="H234">
        <v>10</v>
      </c>
    </row>
    <row r="235" spans="1:8">
      <c r="A235" s="6"/>
      <c r="B235">
        <v>18</v>
      </c>
      <c r="C235">
        <v>5</v>
      </c>
      <c r="D235">
        <v>30</v>
      </c>
      <c r="E235">
        <v>2</v>
      </c>
      <c r="F235">
        <v>157</v>
      </c>
      <c r="G235">
        <v>167</v>
      </c>
      <c r="H235">
        <v>10</v>
      </c>
    </row>
    <row r="236" spans="1:8">
      <c r="A236" s="6"/>
      <c r="B236">
        <v>19</v>
      </c>
      <c r="C236">
        <v>20</v>
      </c>
      <c r="D236">
        <v>40</v>
      </c>
      <c r="E236">
        <v>12</v>
      </c>
      <c r="F236">
        <v>0</v>
      </c>
      <c r="G236">
        <v>204</v>
      </c>
      <c r="H236">
        <v>10</v>
      </c>
    </row>
    <row r="237" spans="1:8">
      <c r="A237" s="6"/>
      <c r="B237">
        <v>20</v>
      </c>
      <c r="C237">
        <v>15</v>
      </c>
      <c r="D237">
        <v>60</v>
      </c>
      <c r="E237">
        <v>17</v>
      </c>
      <c r="F237">
        <v>0</v>
      </c>
      <c r="G237">
        <v>187</v>
      </c>
      <c r="H237">
        <v>10</v>
      </c>
    </row>
    <row r="238" spans="1:8">
      <c r="A238" s="6"/>
      <c r="B238">
        <v>21</v>
      </c>
      <c r="C238">
        <v>45</v>
      </c>
      <c r="D238">
        <v>65</v>
      </c>
      <c r="E238">
        <v>9</v>
      </c>
      <c r="F238">
        <v>0</v>
      </c>
      <c r="G238">
        <v>188</v>
      </c>
      <c r="H238">
        <v>10</v>
      </c>
    </row>
    <row r="239" spans="1:8">
      <c r="A239" s="6"/>
      <c r="B239">
        <v>22</v>
      </c>
      <c r="C239">
        <v>45</v>
      </c>
      <c r="D239">
        <v>20</v>
      </c>
      <c r="E239">
        <v>11</v>
      </c>
      <c r="F239">
        <v>0</v>
      </c>
      <c r="G239">
        <v>201</v>
      </c>
      <c r="H239">
        <v>10</v>
      </c>
    </row>
    <row r="240" spans="1:8">
      <c r="A240" s="6"/>
      <c r="B240">
        <v>23</v>
      </c>
      <c r="C240">
        <v>45</v>
      </c>
      <c r="D240">
        <v>10</v>
      </c>
      <c r="E240">
        <v>18</v>
      </c>
      <c r="F240">
        <v>97</v>
      </c>
      <c r="G240">
        <v>107</v>
      </c>
      <c r="H240">
        <v>10</v>
      </c>
    </row>
    <row r="241" spans="1:8">
      <c r="A241" s="6"/>
      <c r="B241">
        <v>24</v>
      </c>
      <c r="C241">
        <v>55</v>
      </c>
      <c r="D241">
        <v>5</v>
      </c>
      <c r="E241">
        <v>29</v>
      </c>
      <c r="F241">
        <v>68</v>
      </c>
      <c r="G241">
        <v>78</v>
      </c>
      <c r="H241">
        <v>10</v>
      </c>
    </row>
    <row r="242" spans="1:8">
      <c r="A242" s="6"/>
      <c r="B242">
        <v>25</v>
      </c>
      <c r="C242">
        <v>65</v>
      </c>
      <c r="D242">
        <v>35</v>
      </c>
      <c r="E242">
        <v>3</v>
      </c>
      <c r="F242">
        <v>0</v>
      </c>
      <c r="G242">
        <v>190</v>
      </c>
      <c r="H242">
        <v>10</v>
      </c>
    </row>
    <row r="243" spans="1:8">
      <c r="A243" s="6"/>
      <c r="B243">
        <v>26</v>
      </c>
      <c r="C243">
        <v>65</v>
      </c>
      <c r="D243">
        <v>20</v>
      </c>
      <c r="E243">
        <v>6</v>
      </c>
      <c r="F243">
        <v>172</v>
      </c>
      <c r="G243">
        <v>182</v>
      </c>
      <c r="H243">
        <v>10</v>
      </c>
    </row>
    <row r="244" spans="1:8">
      <c r="A244" s="6"/>
      <c r="B244">
        <v>27</v>
      </c>
      <c r="C244">
        <v>45</v>
      </c>
      <c r="D244">
        <v>30</v>
      </c>
      <c r="E244">
        <v>17</v>
      </c>
      <c r="F244">
        <v>0</v>
      </c>
      <c r="G244">
        <v>208</v>
      </c>
      <c r="H244">
        <v>10</v>
      </c>
    </row>
    <row r="245" spans="1:8">
      <c r="A245" s="6"/>
      <c r="B245">
        <v>28</v>
      </c>
      <c r="C245">
        <v>35</v>
      </c>
      <c r="D245">
        <v>40</v>
      </c>
      <c r="E245">
        <v>16</v>
      </c>
      <c r="F245">
        <v>37</v>
      </c>
      <c r="G245">
        <v>47</v>
      </c>
      <c r="H245">
        <v>10</v>
      </c>
    </row>
    <row r="246" spans="1:8">
      <c r="A246" s="6"/>
      <c r="B246">
        <v>29</v>
      </c>
      <c r="C246">
        <v>41</v>
      </c>
      <c r="D246">
        <v>37</v>
      </c>
      <c r="E246">
        <v>16</v>
      </c>
      <c r="F246">
        <v>0</v>
      </c>
      <c r="G246">
        <v>213</v>
      </c>
      <c r="H246">
        <v>10</v>
      </c>
    </row>
    <row r="247" spans="1:8">
      <c r="A247" s="6"/>
      <c r="B247">
        <v>30</v>
      </c>
      <c r="C247">
        <v>64</v>
      </c>
      <c r="D247">
        <v>42</v>
      </c>
      <c r="E247">
        <v>9</v>
      </c>
      <c r="F247">
        <v>0</v>
      </c>
      <c r="G247">
        <v>190</v>
      </c>
      <c r="H247">
        <v>10</v>
      </c>
    </row>
    <row r="248" spans="1:8">
      <c r="A248" s="6"/>
      <c r="B248">
        <v>31</v>
      </c>
      <c r="C248">
        <v>40</v>
      </c>
      <c r="D248">
        <v>60</v>
      </c>
      <c r="E248">
        <v>21</v>
      </c>
      <c r="F248">
        <v>71</v>
      </c>
      <c r="G248">
        <v>81</v>
      </c>
      <c r="H248">
        <v>10</v>
      </c>
    </row>
    <row r="249" spans="1:8">
      <c r="A249" s="6"/>
      <c r="B249">
        <v>32</v>
      </c>
      <c r="C249">
        <v>31</v>
      </c>
      <c r="D249">
        <v>52</v>
      </c>
      <c r="E249">
        <v>27</v>
      </c>
      <c r="F249">
        <v>0</v>
      </c>
      <c r="G249">
        <v>202</v>
      </c>
      <c r="H249">
        <v>10</v>
      </c>
    </row>
    <row r="250" spans="1:8">
      <c r="A250" s="6"/>
      <c r="B250">
        <v>33</v>
      </c>
      <c r="C250">
        <v>35</v>
      </c>
      <c r="D250">
        <v>69</v>
      </c>
      <c r="E250">
        <v>23</v>
      </c>
      <c r="F250">
        <v>0</v>
      </c>
      <c r="G250">
        <v>186</v>
      </c>
      <c r="H250">
        <v>10</v>
      </c>
    </row>
    <row r="251" spans="1:8">
      <c r="A251" s="6"/>
      <c r="B251">
        <v>34</v>
      </c>
      <c r="C251">
        <v>53</v>
      </c>
      <c r="D251">
        <v>52</v>
      </c>
      <c r="E251">
        <v>11</v>
      </c>
      <c r="F251">
        <v>37</v>
      </c>
      <c r="G251">
        <v>47</v>
      </c>
      <c r="H251">
        <v>10</v>
      </c>
    </row>
    <row r="252" spans="1:8">
      <c r="A252" s="6"/>
      <c r="B252">
        <v>35</v>
      </c>
      <c r="C252">
        <v>65</v>
      </c>
      <c r="D252">
        <v>55</v>
      </c>
      <c r="E252">
        <v>14</v>
      </c>
      <c r="F252">
        <v>0</v>
      </c>
      <c r="G252">
        <v>183</v>
      </c>
      <c r="H252">
        <v>10</v>
      </c>
    </row>
    <row r="253" spans="1:8">
      <c r="A253" s="6"/>
      <c r="B253">
        <v>36</v>
      </c>
      <c r="C253">
        <v>63</v>
      </c>
      <c r="D253">
        <v>65</v>
      </c>
      <c r="E253">
        <v>8</v>
      </c>
      <c r="F253">
        <v>143</v>
      </c>
      <c r="G253">
        <v>153</v>
      </c>
      <c r="H253">
        <v>10</v>
      </c>
    </row>
    <row r="254" spans="1:8">
      <c r="A254" s="6"/>
      <c r="B254">
        <v>37</v>
      </c>
      <c r="C254">
        <v>2</v>
      </c>
      <c r="D254">
        <v>60</v>
      </c>
      <c r="E254">
        <v>5</v>
      </c>
      <c r="F254">
        <v>41</v>
      </c>
      <c r="G254">
        <v>51</v>
      </c>
      <c r="H254">
        <v>10</v>
      </c>
    </row>
    <row r="255" spans="1:8">
      <c r="A255" s="6"/>
      <c r="B255">
        <v>38</v>
      </c>
      <c r="C255">
        <v>20</v>
      </c>
      <c r="D255">
        <v>20</v>
      </c>
      <c r="E255">
        <v>8</v>
      </c>
      <c r="F255">
        <v>0</v>
      </c>
      <c r="G255">
        <v>198</v>
      </c>
      <c r="H255">
        <v>10</v>
      </c>
    </row>
    <row r="256" spans="1:8">
      <c r="A256" s="6"/>
      <c r="B256">
        <v>39</v>
      </c>
      <c r="C256">
        <v>5</v>
      </c>
      <c r="D256">
        <v>5</v>
      </c>
      <c r="E256">
        <v>16</v>
      </c>
      <c r="F256">
        <v>83</v>
      </c>
      <c r="G256">
        <v>93</v>
      </c>
      <c r="H256">
        <v>10</v>
      </c>
    </row>
    <row r="257" spans="1:8">
      <c r="A257" s="6"/>
      <c r="B257">
        <v>40</v>
      </c>
      <c r="C257">
        <v>60</v>
      </c>
      <c r="D257">
        <v>12</v>
      </c>
      <c r="E257">
        <v>31</v>
      </c>
      <c r="F257">
        <v>44</v>
      </c>
      <c r="G257">
        <v>54</v>
      </c>
      <c r="H257">
        <v>10</v>
      </c>
    </row>
    <row r="258" spans="1:8">
      <c r="A258" s="6"/>
      <c r="B258">
        <v>41</v>
      </c>
      <c r="C258">
        <v>40</v>
      </c>
      <c r="D258">
        <v>25</v>
      </c>
      <c r="E258">
        <v>9</v>
      </c>
      <c r="F258">
        <v>85</v>
      </c>
      <c r="G258">
        <v>95</v>
      </c>
      <c r="H258">
        <v>10</v>
      </c>
    </row>
    <row r="259" spans="1:8">
      <c r="A259" s="6"/>
      <c r="B259">
        <v>42</v>
      </c>
      <c r="C259">
        <v>42</v>
      </c>
      <c r="D259">
        <v>7</v>
      </c>
      <c r="E259">
        <v>5</v>
      </c>
      <c r="F259">
        <v>97</v>
      </c>
      <c r="G259">
        <v>107</v>
      </c>
      <c r="H259">
        <v>10</v>
      </c>
    </row>
    <row r="260" spans="1:8">
      <c r="A260" s="6"/>
      <c r="B260">
        <v>43</v>
      </c>
      <c r="C260">
        <v>24</v>
      </c>
      <c r="D260">
        <v>12</v>
      </c>
      <c r="E260">
        <v>5</v>
      </c>
      <c r="F260">
        <v>31</v>
      </c>
      <c r="G260">
        <v>41</v>
      </c>
      <c r="H260">
        <v>10</v>
      </c>
    </row>
    <row r="261" spans="1:8">
      <c r="A261" s="6"/>
      <c r="B261">
        <v>44</v>
      </c>
      <c r="C261">
        <v>23</v>
      </c>
      <c r="D261">
        <v>3</v>
      </c>
      <c r="E261">
        <v>7</v>
      </c>
      <c r="F261">
        <v>0</v>
      </c>
      <c r="G261">
        <v>185</v>
      </c>
      <c r="H261">
        <v>10</v>
      </c>
    </row>
    <row r="262" spans="1:8">
      <c r="A262" s="6"/>
      <c r="B262">
        <v>45</v>
      </c>
      <c r="C262">
        <v>11</v>
      </c>
      <c r="D262">
        <v>14</v>
      </c>
      <c r="E262">
        <v>18</v>
      </c>
      <c r="F262">
        <v>69</v>
      </c>
      <c r="G262">
        <v>79</v>
      </c>
      <c r="H262">
        <v>10</v>
      </c>
    </row>
    <row r="263" spans="1:8">
      <c r="A263" s="6"/>
      <c r="B263">
        <v>46</v>
      </c>
      <c r="C263">
        <v>6</v>
      </c>
      <c r="D263">
        <v>38</v>
      </c>
      <c r="E263">
        <v>16</v>
      </c>
      <c r="F263">
        <v>32</v>
      </c>
      <c r="G263">
        <v>42</v>
      </c>
      <c r="H263">
        <v>10</v>
      </c>
    </row>
    <row r="264" spans="1:8">
      <c r="A264" s="6"/>
      <c r="B264">
        <v>47</v>
      </c>
      <c r="C264">
        <v>2</v>
      </c>
      <c r="D264">
        <v>48</v>
      </c>
      <c r="E264">
        <v>1</v>
      </c>
      <c r="F264">
        <v>0</v>
      </c>
      <c r="G264">
        <v>184</v>
      </c>
      <c r="H264">
        <v>10</v>
      </c>
    </row>
    <row r="265" spans="1:8">
      <c r="A265" s="6"/>
      <c r="B265">
        <v>48</v>
      </c>
      <c r="C265">
        <v>8</v>
      </c>
      <c r="D265">
        <v>56</v>
      </c>
      <c r="E265">
        <v>27</v>
      </c>
      <c r="F265">
        <v>0</v>
      </c>
      <c r="G265">
        <v>185</v>
      </c>
      <c r="H265">
        <v>10</v>
      </c>
    </row>
    <row r="266" spans="1:8">
      <c r="A266" s="6"/>
      <c r="B266">
        <v>49</v>
      </c>
      <c r="C266">
        <v>13</v>
      </c>
      <c r="D266">
        <v>52</v>
      </c>
      <c r="E266">
        <v>36</v>
      </c>
      <c r="F266">
        <v>0</v>
      </c>
      <c r="G266">
        <v>192</v>
      </c>
      <c r="H266">
        <v>10</v>
      </c>
    </row>
    <row r="267" spans="1:8">
      <c r="A267" s="6"/>
      <c r="B267">
        <v>50</v>
      </c>
      <c r="C267">
        <v>6</v>
      </c>
      <c r="D267">
        <v>68</v>
      </c>
      <c r="E267">
        <v>30</v>
      </c>
      <c r="F267">
        <v>108</v>
      </c>
      <c r="G267">
        <v>118</v>
      </c>
      <c r="H267">
        <v>10</v>
      </c>
    </row>
    <row r="268" spans="1:8">
      <c r="A268" s="6"/>
      <c r="B268">
        <v>51</v>
      </c>
      <c r="C268">
        <v>47</v>
      </c>
      <c r="D268">
        <v>47</v>
      </c>
      <c r="E268">
        <v>13</v>
      </c>
      <c r="F268">
        <v>0</v>
      </c>
      <c r="G268">
        <v>203</v>
      </c>
      <c r="H268">
        <v>10</v>
      </c>
    </row>
    <row r="269" spans="1:8">
      <c r="A269" s="6"/>
      <c r="B269">
        <v>52</v>
      </c>
      <c r="C269">
        <v>49</v>
      </c>
      <c r="D269">
        <v>58</v>
      </c>
      <c r="E269">
        <v>10</v>
      </c>
      <c r="F269">
        <v>0</v>
      </c>
      <c r="G269">
        <v>193</v>
      </c>
      <c r="H269">
        <v>10</v>
      </c>
    </row>
    <row r="270" spans="1:8">
      <c r="A270" s="6"/>
      <c r="B270">
        <v>53</v>
      </c>
      <c r="C270">
        <v>27</v>
      </c>
      <c r="D270">
        <v>43</v>
      </c>
      <c r="E270">
        <v>9</v>
      </c>
      <c r="F270">
        <v>0</v>
      </c>
      <c r="G270">
        <v>208</v>
      </c>
      <c r="H270">
        <v>10</v>
      </c>
    </row>
    <row r="271" spans="1:8">
      <c r="A271" s="6"/>
      <c r="B271">
        <v>54</v>
      </c>
      <c r="C271">
        <v>37</v>
      </c>
      <c r="D271">
        <v>31</v>
      </c>
      <c r="E271">
        <v>14</v>
      </c>
      <c r="F271">
        <v>95</v>
      </c>
      <c r="G271">
        <v>105</v>
      </c>
      <c r="H271">
        <v>10</v>
      </c>
    </row>
    <row r="272" spans="1:8">
      <c r="A272" s="6"/>
      <c r="B272">
        <v>55</v>
      </c>
      <c r="C272">
        <v>57</v>
      </c>
      <c r="D272">
        <v>29</v>
      </c>
      <c r="E272">
        <v>18</v>
      </c>
      <c r="F272">
        <v>0</v>
      </c>
      <c r="G272">
        <v>197</v>
      </c>
      <c r="H272">
        <v>10</v>
      </c>
    </row>
    <row r="273" spans="1:8">
      <c r="A273" s="6"/>
      <c r="B273">
        <v>56</v>
      </c>
      <c r="C273">
        <v>63</v>
      </c>
      <c r="D273">
        <v>23</v>
      </c>
      <c r="E273">
        <v>2</v>
      </c>
      <c r="F273">
        <v>136</v>
      </c>
      <c r="G273">
        <v>146</v>
      </c>
      <c r="H273">
        <v>10</v>
      </c>
    </row>
    <row r="274" spans="1:8">
      <c r="A274" s="6"/>
      <c r="B274">
        <v>57</v>
      </c>
      <c r="C274">
        <v>53</v>
      </c>
      <c r="D274">
        <v>12</v>
      </c>
      <c r="E274">
        <v>6</v>
      </c>
      <c r="F274">
        <v>130</v>
      </c>
      <c r="G274">
        <v>140</v>
      </c>
      <c r="H274">
        <v>10</v>
      </c>
    </row>
    <row r="275" spans="1:8">
      <c r="A275" s="6"/>
      <c r="B275">
        <v>58</v>
      </c>
      <c r="C275">
        <v>32</v>
      </c>
      <c r="D275">
        <v>12</v>
      </c>
      <c r="E275">
        <v>7</v>
      </c>
      <c r="F275">
        <v>0</v>
      </c>
      <c r="G275">
        <v>196</v>
      </c>
      <c r="H275">
        <v>10</v>
      </c>
    </row>
    <row r="276" spans="1:8">
      <c r="A276" s="6"/>
      <c r="B276">
        <v>59</v>
      </c>
      <c r="C276">
        <v>36</v>
      </c>
      <c r="D276">
        <v>26</v>
      </c>
      <c r="E276">
        <v>18</v>
      </c>
      <c r="F276">
        <v>200</v>
      </c>
      <c r="G276">
        <v>210</v>
      </c>
      <c r="H276">
        <v>10</v>
      </c>
    </row>
    <row r="277" spans="1:8">
      <c r="A277" s="6"/>
      <c r="B277">
        <v>60</v>
      </c>
      <c r="C277">
        <v>21</v>
      </c>
      <c r="D277">
        <v>24</v>
      </c>
      <c r="E277">
        <v>28</v>
      </c>
      <c r="F277">
        <v>0</v>
      </c>
      <c r="G277">
        <v>202</v>
      </c>
      <c r="H277">
        <v>10</v>
      </c>
    </row>
    <row r="278" spans="1:8">
      <c r="A278" s="6"/>
      <c r="B278">
        <v>61</v>
      </c>
      <c r="C278">
        <v>17</v>
      </c>
      <c r="D278">
        <v>34</v>
      </c>
      <c r="E278">
        <v>3</v>
      </c>
      <c r="F278">
        <v>0</v>
      </c>
      <c r="G278">
        <v>201</v>
      </c>
      <c r="H278">
        <v>10</v>
      </c>
    </row>
    <row r="279" spans="1:8">
      <c r="A279" s="6"/>
      <c r="B279">
        <v>62</v>
      </c>
      <c r="C279">
        <v>12</v>
      </c>
      <c r="D279">
        <v>24</v>
      </c>
      <c r="E279">
        <v>13</v>
      </c>
      <c r="F279">
        <v>0</v>
      </c>
      <c r="G279">
        <v>194</v>
      </c>
      <c r="H279">
        <v>10</v>
      </c>
    </row>
    <row r="280" spans="1:8">
      <c r="A280" s="6"/>
      <c r="B280">
        <v>63</v>
      </c>
      <c r="C280">
        <v>24</v>
      </c>
      <c r="D280">
        <v>58</v>
      </c>
      <c r="E280">
        <v>19</v>
      </c>
      <c r="F280">
        <v>58</v>
      </c>
      <c r="G280">
        <v>68</v>
      </c>
      <c r="H280">
        <v>10</v>
      </c>
    </row>
    <row r="281" spans="1:8">
      <c r="A281" s="6"/>
      <c r="B281">
        <v>64</v>
      </c>
      <c r="C281">
        <v>27</v>
      </c>
      <c r="D281">
        <v>69</v>
      </c>
      <c r="E281">
        <v>10</v>
      </c>
      <c r="F281">
        <v>0</v>
      </c>
      <c r="G281">
        <v>185</v>
      </c>
      <c r="H281">
        <v>10</v>
      </c>
    </row>
    <row r="282" spans="1:8">
      <c r="A282" s="6"/>
      <c r="B282">
        <v>65</v>
      </c>
      <c r="C282">
        <v>15</v>
      </c>
      <c r="D282">
        <v>77</v>
      </c>
      <c r="E282">
        <v>9</v>
      </c>
      <c r="F282">
        <v>73</v>
      </c>
      <c r="G282">
        <v>83</v>
      </c>
      <c r="H282">
        <v>10</v>
      </c>
    </row>
    <row r="283" spans="1:8">
      <c r="A283" s="6"/>
      <c r="B283">
        <v>66</v>
      </c>
      <c r="C283">
        <v>62</v>
      </c>
      <c r="D283">
        <v>77</v>
      </c>
      <c r="E283">
        <v>20</v>
      </c>
      <c r="F283">
        <v>51</v>
      </c>
      <c r="G283">
        <v>61</v>
      </c>
      <c r="H283">
        <v>10</v>
      </c>
    </row>
    <row r="284" spans="1:8">
      <c r="A284" s="6"/>
      <c r="B284">
        <v>67</v>
      </c>
      <c r="C284">
        <v>49</v>
      </c>
      <c r="D284">
        <v>73</v>
      </c>
      <c r="E284">
        <v>25</v>
      </c>
      <c r="F284">
        <v>127</v>
      </c>
      <c r="G284">
        <v>137</v>
      </c>
      <c r="H284">
        <v>10</v>
      </c>
    </row>
    <row r="285" spans="1:8">
      <c r="A285" s="6"/>
      <c r="B285">
        <v>68</v>
      </c>
      <c r="C285">
        <v>67</v>
      </c>
      <c r="D285">
        <v>5</v>
      </c>
      <c r="E285">
        <v>25</v>
      </c>
      <c r="F285">
        <v>83</v>
      </c>
      <c r="G285">
        <v>93</v>
      </c>
      <c r="H285">
        <v>10</v>
      </c>
    </row>
    <row r="286" spans="1:8">
      <c r="A286" s="6"/>
      <c r="B286">
        <v>69</v>
      </c>
      <c r="C286">
        <v>56</v>
      </c>
      <c r="D286">
        <v>39</v>
      </c>
      <c r="E286">
        <v>36</v>
      </c>
      <c r="F286">
        <v>142</v>
      </c>
      <c r="G286">
        <v>152</v>
      </c>
      <c r="H286">
        <v>10</v>
      </c>
    </row>
    <row r="287" spans="1:8">
      <c r="A287" s="6"/>
      <c r="B287">
        <v>70</v>
      </c>
      <c r="C287">
        <v>37</v>
      </c>
      <c r="D287">
        <v>47</v>
      </c>
      <c r="E287">
        <v>6</v>
      </c>
      <c r="F287">
        <v>50</v>
      </c>
      <c r="G287">
        <v>60</v>
      </c>
      <c r="H287">
        <v>10</v>
      </c>
    </row>
    <row r="288" spans="1:8">
      <c r="A288" s="6"/>
      <c r="B288">
        <v>71</v>
      </c>
      <c r="C288">
        <v>37</v>
      </c>
      <c r="D288">
        <v>56</v>
      </c>
      <c r="E288">
        <v>5</v>
      </c>
      <c r="F288">
        <v>182</v>
      </c>
      <c r="G288">
        <v>192</v>
      </c>
      <c r="H288">
        <v>10</v>
      </c>
    </row>
    <row r="289" spans="1:8">
      <c r="A289" s="6"/>
      <c r="B289">
        <v>72</v>
      </c>
      <c r="C289">
        <v>57</v>
      </c>
      <c r="D289">
        <v>68</v>
      </c>
      <c r="E289">
        <v>15</v>
      </c>
      <c r="F289">
        <v>0</v>
      </c>
      <c r="G289">
        <v>180</v>
      </c>
      <c r="H289">
        <v>10</v>
      </c>
    </row>
    <row r="290" spans="1:8">
      <c r="A290" s="6"/>
      <c r="B290">
        <v>73</v>
      </c>
      <c r="C290">
        <v>47</v>
      </c>
      <c r="D290">
        <v>16</v>
      </c>
      <c r="E290">
        <v>25</v>
      </c>
      <c r="F290">
        <v>0</v>
      </c>
      <c r="G290">
        <v>197</v>
      </c>
      <c r="H290">
        <v>10</v>
      </c>
    </row>
    <row r="291" spans="1:8">
      <c r="A291" s="6"/>
      <c r="B291">
        <v>74</v>
      </c>
      <c r="C291">
        <v>44</v>
      </c>
      <c r="D291">
        <v>17</v>
      </c>
      <c r="E291">
        <v>9</v>
      </c>
      <c r="F291">
        <v>0</v>
      </c>
      <c r="G291">
        <v>199</v>
      </c>
      <c r="H291">
        <v>10</v>
      </c>
    </row>
    <row r="292" spans="1:8">
      <c r="A292" s="6"/>
      <c r="B292">
        <v>75</v>
      </c>
      <c r="C292">
        <v>46</v>
      </c>
      <c r="D292">
        <v>13</v>
      </c>
      <c r="E292">
        <v>8</v>
      </c>
      <c r="F292">
        <v>149</v>
      </c>
      <c r="G292">
        <v>159</v>
      </c>
      <c r="H292">
        <v>10</v>
      </c>
    </row>
    <row r="293" spans="1:8">
      <c r="A293" s="6"/>
      <c r="B293">
        <v>76</v>
      </c>
      <c r="C293">
        <v>49</v>
      </c>
      <c r="D293">
        <v>11</v>
      </c>
      <c r="E293">
        <v>18</v>
      </c>
      <c r="F293">
        <v>0</v>
      </c>
      <c r="G293">
        <v>192</v>
      </c>
      <c r="H293">
        <v>10</v>
      </c>
    </row>
    <row r="294" spans="1:8">
      <c r="A294" s="6"/>
      <c r="B294">
        <v>77</v>
      </c>
      <c r="C294">
        <v>49</v>
      </c>
      <c r="D294">
        <v>42</v>
      </c>
      <c r="E294">
        <v>13</v>
      </c>
      <c r="F294">
        <v>73</v>
      </c>
      <c r="G294">
        <v>83</v>
      </c>
      <c r="H294">
        <v>10</v>
      </c>
    </row>
    <row r="295" spans="1:8">
      <c r="A295" s="6"/>
      <c r="B295">
        <v>78</v>
      </c>
      <c r="C295">
        <v>53</v>
      </c>
      <c r="D295">
        <v>43</v>
      </c>
      <c r="E295">
        <v>14</v>
      </c>
      <c r="F295">
        <v>179</v>
      </c>
      <c r="G295">
        <v>189</v>
      </c>
      <c r="H295">
        <v>10</v>
      </c>
    </row>
    <row r="296" spans="1:8">
      <c r="A296" s="6"/>
      <c r="B296">
        <v>79</v>
      </c>
      <c r="C296">
        <v>61</v>
      </c>
      <c r="D296">
        <v>52</v>
      </c>
      <c r="E296">
        <v>3</v>
      </c>
      <c r="F296">
        <v>96</v>
      </c>
      <c r="G296">
        <v>106</v>
      </c>
      <c r="H296">
        <v>10</v>
      </c>
    </row>
    <row r="297" spans="1:8">
      <c r="A297" s="6"/>
      <c r="B297">
        <v>80</v>
      </c>
      <c r="C297">
        <v>57</v>
      </c>
      <c r="D297">
        <v>48</v>
      </c>
      <c r="E297">
        <v>23</v>
      </c>
      <c r="F297">
        <v>92</v>
      </c>
      <c r="G297">
        <v>102</v>
      </c>
      <c r="H297">
        <v>10</v>
      </c>
    </row>
    <row r="298" spans="1:8">
      <c r="A298" s="6"/>
      <c r="B298">
        <v>81</v>
      </c>
      <c r="C298">
        <v>56</v>
      </c>
      <c r="D298">
        <v>37</v>
      </c>
      <c r="E298">
        <v>6</v>
      </c>
      <c r="F298">
        <v>182</v>
      </c>
      <c r="G298">
        <v>192</v>
      </c>
      <c r="H298">
        <v>10</v>
      </c>
    </row>
    <row r="299" spans="1:8">
      <c r="A299" s="6"/>
      <c r="B299">
        <v>82</v>
      </c>
      <c r="C299">
        <v>55</v>
      </c>
      <c r="D299">
        <v>54</v>
      </c>
      <c r="E299">
        <v>26</v>
      </c>
      <c r="F299">
        <v>0</v>
      </c>
      <c r="G299">
        <v>192</v>
      </c>
      <c r="H299">
        <v>10</v>
      </c>
    </row>
    <row r="300" spans="1:8">
      <c r="A300" s="6"/>
      <c r="B300">
        <v>83</v>
      </c>
      <c r="C300">
        <v>15</v>
      </c>
      <c r="D300">
        <v>47</v>
      </c>
      <c r="E300">
        <v>16</v>
      </c>
      <c r="F300">
        <v>0</v>
      </c>
      <c r="G300">
        <v>196</v>
      </c>
      <c r="H300">
        <v>10</v>
      </c>
    </row>
    <row r="301" spans="1:8">
      <c r="A301" s="6"/>
      <c r="B301">
        <v>84</v>
      </c>
      <c r="C301">
        <v>14</v>
      </c>
      <c r="D301">
        <v>37</v>
      </c>
      <c r="E301">
        <v>11</v>
      </c>
      <c r="F301">
        <v>0</v>
      </c>
      <c r="G301">
        <v>198</v>
      </c>
      <c r="H301">
        <v>10</v>
      </c>
    </row>
    <row r="302" spans="1:8">
      <c r="A302" s="6"/>
      <c r="B302">
        <v>85</v>
      </c>
      <c r="C302">
        <v>11</v>
      </c>
      <c r="D302">
        <v>31</v>
      </c>
      <c r="E302">
        <v>7</v>
      </c>
      <c r="F302">
        <v>101</v>
      </c>
      <c r="G302">
        <v>111</v>
      </c>
      <c r="H302">
        <v>10</v>
      </c>
    </row>
    <row r="303" spans="1:8">
      <c r="A303" s="6"/>
      <c r="B303">
        <v>86</v>
      </c>
      <c r="C303">
        <v>16</v>
      </c>
      <c r="D303">
        <v>22</v>
      </c>
      <c r="E303">
        <v>41</v>
      </c>
      <c r="F303">
        <v>0</v>
      </c>
      <c r="G303">
        <v>196</v>
      </c>
      <c r="H303">
        <v>10</v>
      </c>
    </row>
    <row r="304" spans="1:8">
      <c r="A304" s="6"/>
      <c r="B304">
        <v>87</v>
      </c>
      <c r="C304">
        <v>4</v>
      </c>
      <c r="D304">
        <v>18</v>
      </c>
      <c r="E304">
        <v>35</v>
      </c>
      <c r="F304">
        <v>0</v>
      </c>
      <c r="G304">
        <v>184</v>
      </c>
      <c r="H304">
        <v>10</v>
      </c>
    </row>
    <row r="305" spans="1:8">
      <c r="A305" s="6"/>
      <c r="B305">
        <v>88</v>
      </c>
      <c r="C305">
        <v>28</v>
      </c>
      <c r="D305">
        <v>18</v>
      </c>
      <c r="E305">
        <v>26</v>
      </c>
      <c r="F305">
        <v>93</v>
      </c>
      <c r="G305">
        <v>103</v>
      </c>
      <c r="H305">
        <v>10</v>
      </c>
    </row>
    <row r="306" spans="1:8">
      <c r="A306" s="6"/>
      <c r="B306">
        <v>89</v>
      </c>
      <c r="C306">
        <v>26</v>
      </c>
      <c r="D306">
        <v>52</v>
      </c>
      <c r="E306">
        <v>9</v>
      </c>
      <c r="F306">
        <v>74</v>
      </c>
      <c r="G306">
        <v>84</v>
      </c>
      <c r="H306">
        <v>10</v>
      </c>
    </row>
    <row r="307" spans="1:8">
      <c r="A307" s="6"/>
      <c r="B307">
        <v>90</v>
      </c>
      <c r="C307">
        <v>26</v>
      </c>
      <c r="D307">
        <v>35</v>
      </c>
      <c r="E307">
        <v>15</v>
      </c>
      <c r="F307">
        <v>0</v>
      </c>
      <c r="G307">
        <v>211</v>
      </c>
      <c r="H307">
        <v>10</v>
      </c>
    </row>
    <row r="308" spans="1:8">
      <c r="A308" s="6"/>
      <c r="B308">
        <v>91</v>
      </c>
      <c r="C308">
        <v>31</v>
      </c>
      <c r="D308">
        <v>67</v>
      </c>
      <c r="E308">
        <v>3</v>
      </c>
      <c r="F308">
        <v>0</v>
      </c>
      <c r="G308">
        <v>187</v>
      </c>
      <c r="H308">
        <v>10</v>
      </c>
    </row>
    <row r="309" spans="1:8">
      <c r="A309" s="6"/>
      <c r="B309">
        <v>92</v>
      </c>
      <c r="C309">
        <v>15</v>
      </c>
      <c r="D309">
        <v>19</v>
      </c>
      <c r="E309">
        <v>1</v>
      </c>
      <c r="F309">
        <v>0</v>
      </c>
      <c r="G309">
        <v>194</v>
      </c>
      <c r="H309">
        <v>10</v>
      </c>
    </row>
    <row r="310" spans="1:8">
      <c r="A310" s="6"/>
      <c r="B310">
        <v>93</v>
      </c>
      <c r="C310">
        <v>22</v>
      </c>
      <c r="D310">
        <v>22</v>
      </c>
      <c r="E310">
        <v>2</v>
      </c>
      <c r="F310">
        <v>18</v>
      </c>
      <c r="G310">
        <v>28</v>
      </c>
      <c r="H310">
        <v>10</v>
      </c>
    </row>
    <row r="311" spans="1:8">
      <c r="A311" s="6"/>
      <c r="B311">
        <v>94</v>
      </c>
      <c r="C311">
        <v>18</v>
      </c>
      <c r="D311">
        <v>24</v>
      </c>
      <c r="E311">
        <v>22</v>
      </c>
      <c r="F311">
        <v>188</v>
      </c>
      <c r="G311">
        <v>198</v>
      </c>
      <c r="H311">
        <v>10</v>
      </c>
    </row>
    <row r="312" spans="1:8">
      <c r="A312" s="6"/>
      <c r="B312">
        <v>95</v>
      </c>
      <c r="C312">
        <v>26</v>
      </c>
      <c r="D312">
        <v>27</v>
      </c>
      <c r="E312">
        <v>27</v>
      </c>
      <c r="F312">
        <v>0</v>
      </c>
      <c r="G312">
        <v>207</v>
      </c>
      <c r="H312">
        <v>10</v>
      </c>
    </row>
    <row r="313" spans="1:8">
      <c r="A313" s="6"/>
      <c r="B313">
        <v>96</v>
      </c>
      <c r="C313">
        <v>25</v>
      </c>
      <c r="D313">
        <v>24</v>
      </c>
      <c r="E313">
        <v>20</v>
      </c>
      <c r="F313">
        <v>0</v>
      </c>
      <c r="G313">
        <v>205</v>
      </c>
      <c r="H313">
        <v>10</v>
      </c>
    </row>
    <row r="314" spans="1:8">
      <c r="A314" s="6"/>
      <c r="B314">
        <v>97</v>
      </c>
      <c r="C314">
        <v>22</v>
      </c>
      <c r="D314">
        <v>27</v>
      </c>
      <c r="E314">
        <v>11</v>
      </c>
      <c r="F314">
        <v>0</v>
      </c>
      <c r="G314">
        <v>204</v>
      </c>
      <c r="H314">
        <v>10</v>
      </c>
    </row>
    <row r="315" spans="1:8">
      <c r="A315" s="6"/>
      <c r="B315">
        <v>98</v>
      </c>
      <c r="C315">
        <v>25</v>
      </c>
      <c r="D315">
        <v>21</v>
      </c>
      <c r="E315">
        <v>12</v>
      </c>
      <c r="F315">
        <v>0</v>
      </c>
      <c r="G315">
        <v>202</v>
      </c>
      <c r="H315">
        <v>10</v>
      </c>
    </row>
    <row r="316" spans="1:8">
      <c r="A316" s="6"/>
      <c r="B316">
        <v>99</v>
      </c>
      <c r="C316">
        <v>19</v>
      </c>
      <c r="D316">
        <v>21</v>
      </c>
      <c r="E316">
        <v>10</v>
      </c>
      <c r="F316">
        <v>0</v>
      </c>
      <c r="G316">
        <v>198</v>
      </c>
      <c r="H316">
        <v>10</v>
      </c>
    </row>
    <row r="317" spans="1:8">
      <c r="A317" s="6"/>
      <c r="B317">
        <v>100</v>
      </c>
      <c r="C317">
        <v>20</v>
      </c>
      <c r="D317">
        <v>26</v>
      </c>
      <c r="E317">
        <v>9</v>
      </c>
      <c r="F317">
        <v>83</v>
      </c>
      <c r="G317">
        <v>93</v>
      </c>
      <c r="H317">
        <v>10</v>
      </c>
    </row>
    <row r="318" spans="1:8">
      <c r="B318">
        <v>101</v>
      </c>
      <c r="C318">
        <v>18</v>
      </c>
      <c r="D318">
        <v>18</v>
      </c>
      <c r="E318">
        <v>17</v>
      </c>
      <c r="F318">
        <v>185</v>
      </c>
      <c r="G318">
        <v>195</v>
      </c>
      <c r="H318">
        <v>10</v>
      </c>
    </row>
    <row r="320" spans="1:8" ht="17.399999999999999">
      <c r="A320" s="7" t="s">
        <v>16</v>
      </c>
    </row>
    <row r="321" spans="1:8">
      <c r="A321" s="4"/>
    </row>
    <row r="322" spans="1:8">
      <c r="A322" s="6"/>
      <c r="B322" t="s">
        <v>32</v>
      </c>
      <c r="C322" t="s">
        <v>26</v>
      </c>
      <c r="D322" t="s">
        <v>27</v>
      </c>
      <c r="E322" t="s">
        <v>28</v>
      </c>
      <c r="F322" t="s">
        <v>29</v>
      </c>
      <c r="G322" t="s">
        <v>30</v>
      </c>
      <c r="H322" t="s">
        <v>31</v>
      </c>
    </row>
    <row r="323" spans="1:8">
      <c r="A323" s="6"/>
      <c r="B323">
        <v>1</v>
      </c>
      <c r="C323">
        <v>35</v>
      </c>
      <c r="D323">
        <v>35</v>
      </c>
      <c r="E323">
        <v>0</v>
      </c>
      <c r="F323">
        <v>0</v>
      </c>
      <c r="G323">
        <v>230</v>
      </c>
      <c r="H323">
        <v>0</v>
      </c>
    </row>
    <row r="324" spans="1:8">
      <c r="A324" s="6"/>
      <c r="B324">
        <v>2</v>
      </c>
      <c r="C324">
        <v>41</v>
      </c>
      <c r="D324">
        <v>49</v>
      </c>
      <c r="E324">
        <v>10</v>
      </c>
      <c r="F324">
        <v>0</v>
      </c>
      <c r="G324">
        <v>204</v>
      </c>
      <c r="H324">
        <v>10</v>
      </c>
    </row>
    <row r="325" spans="1:8">
      <c r="A325" s="6"/>
      <c r="B325">
        <v>3</v>
      </c>
      <c r="C325">
        <v>35</v>
      </c>
      <c r="D325">
        <v>17</v>
      </c>
      <c r="E325">
        <v>7</v>
      </c>
      <c r="F325">
        <v>0</v>
      </c>
      <c r="G325">
        <v>202</v>
      </c>
      <c r="H325">
        <v>10</v>
      </c>
    </row>
    <row r="326" spans="1:8">
      <c r="A326" s="6"/>
      <c r="B326">
        <v>4</v>
      </c>
      <c r="C326">
        <v>55</v>
      </c>
      <c r="D326">
        <v>45</v>
      </c>
      <c r="E326">
        <v>13</v>
      </c>
      <c r="F326">
        <v>0</v>
      </c>
      <c r="G326">
        <v>197</v>
      </c>
      <c r="H326">
        <v>10</v>
      </c>
    </row>
    <row r="327" spans="1:8">
      <c r="A327" s="6"/>
      <c r="B327">
        <v>5</v>
      </c>
      <c r="C327">
        <v>55</v>
      </c>
      <c r="D327">
        <v>20</v>
      </c>
      <c r="E327">
        <v>19</v>
      </c>
      <c r="F327">
        <v>149</v>
      </c>
      <c r="G327">
        <v>159</v>
      </c>
      <c r="H327">
        <v>10</v>
      </c>
    </row>
    <row r="328" spans="1:8">
      <c r="A328" s="6"/>
      <c r="B328">
        <v>6</v>
      </c>
      <c r="C328">
        <v>15</v>
      </c>
      <c r="D328">
        <v>30</v>
      </c>
      <c r="E328">
        <v>26</v>
      </c>
      <c r="F328">
        <v>0</v>
      </c>
      <c r="G328">
        <v>199</v>
      </c>
      <c r="H328">
        <v>10</v>
      </c>
    </row>
    <row r="329" spans="1:8">
      <c r="A329" s="6"/>
      <c r="B329">
        <v>7</v>
      </c>
      <c r="C329">
        <v>25</v>
      </c>
      <c r="D329">
        <v>30</v>
      </c>
      <c r="E329">
        <v>3</v>
      </c>
      <c r="F329">
        <v>0</v>
      </c>
      <c r="G329">
        <v>208</v>
      </c>
      <c r="H329">
        <v>10</v>
      </c>
    </row>
    <row r="330" spans="1:8">
      <c r="A330" s="6"/>
      <c r="B330">
        <v>8</v>
      </c>
      <c r="C330">
        <v>20</v>
      </c>
      <c r="D330">
        <v>50</v>
      </c>
      <c r="E330">
        <v>5</v>
      </c>
      <c r="F330">
        <v>0</v>
      </c>
      <c r="G330">
        <v>198</v>
      </c>
      <c r="H330">
        <v>10</v>
      </c>
    </row>
    <row r="331" spans="1:8">
      <c r="A331" s="6"/>
      <c r="B331">
        <v>9</v>
      </c>
      <c r="C331">
        <v>10</v>
      </c>
      <c r="D331">
        <v>43</v>
      </c>
      <c r="E331">
        <v>9</v>
      </c>
      <c r="F331">
        <v>95</v>
      </c>
      <c r="G331">
        <v>105</v>
      </c>
      <c r="H331">
        <v>10</v>
      </c>
    </row>
    <row r="332" spans="1:8">
      <c r="A332" s="6"/>
      <c r="B332">
        <v>10</v>
      </c>
      <c r="C332">
        <v>55</v>
      </c>
      <c r="D332">
        <v>60</v>
      </c>
      <c r="E332">
        <v>16</v>
      </c>
      <c r="F332">
        <v>97</v>
      </c>
      <c r="G332">
        <v>107</v>
      </c>
      <c r="H332">
        <v>10</v>
      </c>
    </row>
    <row r="333" spans="1:8">
      <c r="A333" s="6"/>
      <c r="B333">
        <v>11</v>
      </c>
      <c r="C333">
        <v>30</v>
      </c>
      <c r="D333">
        <v>60</v>
      </c>
      <c r="E333">
        <v>16</v>
      </c>
      <c r="F333">
        <v>0</v>
      </c>
      <c r="G333">
        <v>194</v>
      </c>
      <c r="H333">
        <v>10</v>
      </c>
    </row>
    <row r="334" spans="1:8">
      <c r="A334" s="6"/>
      <c r="B334">
        <v>12</v>
      </c>
      <c r="C334">
        <v>20</v>
      </c>
      <c r="D334">
        <v>65</v>
      </c>
      <c r="E334">
        <v>12</v>
      </c>
      <c r="F334">
        <v>67</v>
      </c>
      <c r="G334">
        <v>77</v>
      </c>
      <c r="H334">
        <v>10</v>
      </c>
    </row>
    <row r="335" spans="1:8">
      <c r="A335" s="6"/>
      <c r="B335">
        <v>13</v>
      </c>
      <c r="C335">
        <v>50</v>
      </c>
      <c r="D335">
        <v>35</v>
      </c>
      <c r="E335">
        <v>19</v>
      </c>
      <c r="F335">
        <v>0</v>
      </c>
      <c r="G335">
        <v>205</v>
      </c>
      <c r="H335">
        <v>10</v>
      </c>
    </row>
    <row r="336" spans="1:8">
      <c r="A336" s="6"/>
      <c r="B336">
        <v>14</v>
      </c>
      <c r="C336">
        <v>30</v>
      </c>
      <c r="D336">
        <v>25</v>
      </c>
      <c r="E336">
        <v>23</v>
      </c>
      <c r="F336">
        <v>159</v>
      </c>
      <c r="G336">
        <v>169</v>
      </c>
      <c r="H336">
        <v>10</v>
      </c>
    </row>
    <row r="337" spans="1:8">
      <c r="A337" s="6"/>
      <c r="B337">
        <v>15</v>
      </c>
      <c r="C337">
        <v>15</v>
      </c>
      <c r="D337">
        <v>10</v>
      </c>
      <c r="E337">
        <v>20</v>
      </c>
      <c r="F337">
        <v>0</v>
      </c>
      <c r="G337">
        <v>187</v>
      </c>
      <c r="H337">
        <v>10</v>
      </c>
    </row>
    <row r="338" spans="1:8">
      <c r="A338" s="6"/>
      <c r="B338">
        <v>16</v>
      </c>
      <c r="C338">
        <v>30</v>
      </c>
      <c r="D338">
        <v>5</v>
      </c>
      <c r="E338">
        <v>8</v>
      </c>
      <c r="F338">
        <v>61</v>
      </c>
      <c r="G338">
        <v>71</v>
      </c>
      <c r="H338">
        <v>10</v>
      </c>
    </row>
    <row r="339" spans="1:8">
      <c r="A339" s="6"/>
      <c r="B339">
        <v>17</v>
      </c>
      <c r="C339">
        <v>10</v>
      </c>
      <c r="D339">
        <v>20</v>
      </c>
      <c r="E339">
        <v>19</v>
      </c>
      <c r="F339">
        <v>0</v>
      </c>
      <c r="G339">
        <v>190</v>
      </c>
      <c r="H339">
        <v>10</v>
      </c>
    </row>
    <row r="340" spans="1:8">
      <c r="A340" s="6"/>
      <c r="B340">
        <v>18</v>
      </c>
      <c r="C340">
        <v>5</v>
      </c>
      <c r="D340">
        <v>30</v>
      </c>
      <c r="E340">
        <v>2</v>
      </c>
      <c r="F340">
        <v>0</v>
      </c>
      <c r="G340">
        <v>189</v>
      </c>
      <c r="H340">
        <v>10</v>
      </c>
    </row>
    <row r="341" spans="1:8">
      <c r="A341" s="6"/>
      <c r="B341">
        <v>19</v>
      </c>
      <c r="C341">
        <v>20</v>
      </c>
      <c r="D341">
        <v>40</v>
      </c>
      <c r="E341">
        <v>12</v>
      </c>
      <c r="F341">
        <v>0</v>
      </c>
      <c r="G341">
        <v>204</v>
      </c>
      <c r="H341">
        <v>10</v>
      </c>
    </row>
    <row r="342" spans="1:8">
      <c r="A342" s="6"/>
      <c r="B342">
        <v>20</v>
      </c>
      <c r="C342">
        <v>15</v>
      </c>
      <c r="D342">
        <v>60</v>
      </c>
      <c r="E342">
        <v>17</v>
      </c>
      <c r="F342">
        <v>0</v>
      </c>
      <c r="G342">
        <v>187</v>
      </c>
      <c r="H342">
        <v>10</v>
      </c>
    </row>
    <row r="343" spans="1:8">
      <c r="A343" s="6"/>
      <c r="B343">
        <v>21</v>
      </c>
      <c r="C343">
        <v>45</v>
      </c>
      <c r="D343">
        <v>65</v>
      </c>
      <c r="E343">
        <v>9</v>
      </c>
      <c r="F343">
        <v>0</v>
      </c>
      <c r="G343">
        <v>188</v>
      </c>
      <c r="H343">
        <v>10</v>
      </c>
    </row>
    <row r="344" spans="1:8">
      <c r="A344" s="6"/>
      <c r="B344">
        <v>22</v>
      </c>
      <c r="C344">
        <v>45</v>
      </c>
      <c r="D344">
        <v>20</v>
      </c>
      <c r="E344">
        <v>11</v>
      </c>
      <c r="F344">
        <v>0</v>
      </c>
      <c r="G344">
        <v>201</v>
      </c>
      <c r="H344">
        <v>10</v>
      </c>
    </row>
    <row r="345" spans="1:8">
      <c r="A345" s="6"/>
      <c r="B345">
        <v>23</v>
      </c>
      <c r="C345">
        <v>45</v>
      </c>
      <c r="D345">
        <v>10</v>
      </c>
      <c r="E345">
        <v>18</v>
      </c>
      <c r="F345">
        <v>0</v>
      </c>
      <c r="G345">
        <v>193</v>
      </c>
      <c r="H345">
        <v>10</v>
      </c>
    </row>
    <row r="346" spans="1:8">
      <c r="A346" s="6"/>
      <c r="B346">
        <v>24</v>
      </c>
      <c r="C346">
        <v>55</v>
      </c>
      <c r="D346">
        <v>5</v>
      </c>
      <c r="E346">
        <v>29</v>
      </c>
      <c r="F346">
        <v>68</v>
      </c>
      <c r="G346">
        <v>78</v>
      </c>
      <c r="H346">
        <v>10</v>
      </c>
    </row>
    <row r="347" spans="1:8">
      <c r="A347" s="6"/>
      <c r="B347">
        <v>25</v>
      </c>
      <c r="C347">
        <v>65</v>
      </c>
      <c r="D347">
        <v>35</v>
      </c>
      <c r="E347">
        <v>3</v>
      </c>
      <c r="F347">
        <v>0</v>
      </c>
      <c r="G347">
        <v>190</v>
      </c>
      <c r="H347">
        <v>10</v>
      </c>
    </row>
    <row r="348" spans="1:8">
      <c r="A348" s="6"/>
      <c r="B348">
        <v>26</v>
      </c>
      <c r="C348">
        <v>65</v>
      </c>
      <c r="D348">
        <v>20</v>
      </c>
      <c r="E348">
        <v>6</v>
      </c>
      <c r="F348">
        <v>172</v>
      </c>
      <c r="G348">
        <v>182</v>
      </c>
      <c r="H348">
        <v>10</v>
      </c>
    </row>
    <row r="349" spans="1:8">
      <c r="A349" s="6"/>
      <c r="B349">
        <v>27</v>
      </c>
      <c r="C349">
        <v>45</v>
      </c>
      <c r="D349">
        <v>30</v>
      </c>
      <c r="E349">
        <v>17</v>
      </c>
      <c r="F349">
        <v>0</v>
      </c>
      <c r="G349">
        <v>208</v>
      </c>
      <c r="H349">
        <v>10</v>
      </c>
    </row>
    <row r="350" spans="1:8">
      <c r="A350" s="6"/>
      <c r="B350">
        <v>28</v>
      </c>
      <c r="C350">
        <v>35</v>
      </c>
      <c r="D350">
        <v>40</v>
      </c>
      <c r="E350">
        <v>16</v>
      </c>
      <c r="F350">
        <v>0</v>
      </c>
      <c r="G350">
        <v>215</v>
      </c>
      <c r="H350">
        <v>10</v>
      </c>
    </row>
    <row r="351" spans="1:8">
      <c r="A351" s="6"/>
      <c r="B351">
        <v>29</v>
      </c>
      <c r="C351">
        <v>41</v>
      </c>
      <c r="D351">
        <v>37</v>
      </c>
      <c r="E351">
        <v>16</v>
      </c>
      <c r="F351">
        <v>0</v>
      </c>
      <c r="G351">
        <v>213</v>
      </c>
      <c r="H351">
        <v>10</v>
      </c>
    </row>
    <row r="352" spans="1:8">
      <c r="A352" s="6"/>
      <c r="B352">
        <v>30</v>
      </c>
      <c r="C352">
        <v>64</v>
      </c>
      <c r="D352">
        <v>42</v>
      </c>
      <c r="E352">
        <v>9</v>
      </c>
      <c r="F352">
        <v>0</v>
      </c>
      <c r="G352">
        <v>190</v>
      </c>
      <c r="H352">
        <v>10</v>
      </c>
    </row>
    <row r="353" spans="1:8">
      <c r="A353" s="6"/>
      <c r="B353">
        <v>31</v>
      </c>
      <c r="C353">
        <v>40</v>
      </c>
      <c r="D353">
        <v>60</v>
      </c>
      <c r="E353">
        <v>21</v>
      </c>
      <c r="F353">
        <v>0</v>
      </c>
      <c r="G353">
        <v>194</v>
      </c>
      <c r="H353">
        <v>10</v>
      </c>
    </row>
    <row r="354" spans="1:8">
      <c r="A354" s="6"/>
      <c r="B354">
        <v>32</v>
      </c>
      <c r="C354">
        <v>31</v>
      </c>
      <c r="D354">
        <v>52</v>
      </c>
      <c r="E354">
        <v>27</v>
      </c>
      <c r="F354">
        <v>0</v>
      </c>
      <c r="G354">
        <v>202</v>
      </c>
      <c r="H354">
        <v>10</v>
      </c>
    </row>
    <row r="355" spans="1:8">
      <c r="A355" s="6"/>
      <c r="B355">
        <v>33</v>
      </c>
      <c r="C355">
        <v>35</v>
      </c>
      <c r="D355">
        <v>69</v>
      </c>
      <c r="E355">
        <v>23</v>
      </c>
      <c r="F355">
        <v>0</v>
      </c>
      <c r="G355">
        <v>186</v>
      </c>
      <c r="H355">
        <v>10</v>
      </c>
    </row>
    <row r="356" spans="1:8">
      <c r="A356" s="6"/>
      <c r="B356">
        <v>34</v>
      </c>
      <c r="C356">
        <v>53</v>
      </c>
      <c r="D356">
        <v>52</v>
      </c>
      <c r="E356">
        <v>11</v>
      </c>
      <c r="F356">
        <v>0</v>
      </c>
      <c r="G356">
        <v>195</v>
      </c>
      <c r="H356">
        <v>10</v>
      </c>
    </row>
    <row r="357" spans="1:8">
      <c r="A357" s="6"/>
      <c r="B357">
        <v>35</v>
      </c>
      <c r="C357">
        <v>65</v>
      </c>
      <c r="D357">
        <v>55</v>
      </c>
      <c r="E357">
        <v>14</v>
      </c>
      <c r="F357">
        <v>0</v>
      </c>
      <c r="G357">
        <v>183</v>
      </c>
      <c r="H357">
        <v>10</v>
      </c>
    </row>
    <row r="358" spans="1:8">
      <c r="A358" s="6"/>
      <c r="B358">
        <v>36</v>
      </c>
      <c r="C358">
        <v>63</v>
      </c>
      <c r="D358">
        <v>65</v>
      </c>
      <c r="E358">
        <v>8</v>
      </c>
      <c r="F358">
        <v>0</v>
      </c>
      <c r="G358">
        <v>178</v>
      </c>
      <c r="H358">
        <v>10</v>
      </c>
    </row>
    <row r="359" spans="1:8">
      <c r="A359" s="6"/>
      <c r="B359">
        <v>37</v>
      </c>
      <c r="C359">
        <v>2</v>
      </c>
      <c r="D359">
        <v>60</v>
      </c>
      <c r="E359">
        <v>5</v>
      </c>
      <c r="F359">
        <v>0</v>
      </c>
      <c r="G359">
        <v>178</v>
      </c>
      <c r="H359">
        <v>10</v>
      </c>
    </row>
    <row r="360" spans="1:8">
      <c r="A360" s="6"/>
      <c r="B360">
        <v>38</v>
      </c>
      <c r="C360">
        <v>20</v>
      </c>
      <c r="D360">
        <v>20</v>
      </c>
      <c r="E360">
        <v>8</v>
      </c>
      <c r="F360">
        <v>0</v>
      </c>
      <c r="G360">
        <v>198</v>
      </c>
      <c r="H360">
        <v>10</v>
      </c>
    </row>
    <row r="361" spans="1:8">
      <c r="A361" s="6"/>
      <c r="B361">
        <v>39</v>
      </c>
      <c r="C361">
        <v>5</v>
      </c>
      <c r="D361">
        <v>5</v>
      </c>
      <c r="E361">
        <v>16</v>
      </c>
      <c r="F361">
        <v>83</v>
      </c>
      <c r="G361">
        <v>93</v>
      </c>
      <c r="H361">
        <v>10</v>
      </c>
    </row>
    <row r="362" spans="1:8">
      <c r="A362" s="6"/>
      <c r="B362">
        <v>40</v>
      </c>
      <c r="C362">
        <v>60</v>
      </c>
      <c r="D362">
        <v>12</v>
      </c>
      <c r="E362">
        <v>31</v>
      </c>
      <c r="F362">
        <v>0</v>
      </c>
      <c r="G362">
        <v>186</v>
      </c>
      <c r="H362">
        <v>10</v>
      </c>
    </row>
    <row r="363" spans="1:8">
      <c r="A363" s="6"/>
      <c r="B363">
        <v>41</v>
      </c>
      <c r="C363">
        <v>40</v>
      </c>
      <c r="D363">
        <v>25</v>
      </c>
      <c r="E363">
        <v>9</v>
      </c>
      <c r="F363">
        <v>0</v>
      </c>
      <c r="G363">
        <v>208</v>
      </c>
      <c r="H363">
        <v>10</v>
      </c>
    </row>
    <row r="364" spans="1:8">
      <c r="A364" s="6"/>
      <c r="B364">
        <v>42</v>
      </c>
      <c r="C364">
        <v>42</v>
      </c>
      <c r="D364">
        <v>7</v>
      </c>
      <c r="E364">
        <v>5</v>
      </c>
      <c r="F364">
        <v>0</v>
      </c>
      <c r="G364">
        <v>191</v>
      </c>
      <c r="H364">
        <v>10</v>
      </c>
    </row>
    <row r="365" spans="1:8">
      <c r="A365" s="6"/>
      <c r="B365">
        <v>43</v>
      </c>
      <c r="C365">
        <v>24</v>
      </c>
      <c r="D365">
        <v>12</v>
      </c>
      <c r="E365">
        <v>5</v>
      </c>
      <c r="F365">
        <v>0</v>
      </c>
      <c r="G365">
        <v>194</v>
      </c>
      <c r="H365">
        <v>10</v>
      </c>
    </row>
    <row r="366" spans="1:8">
      <c r="A366" s="6"/>
      <c r="B366">
        <v>44</v>
      </c>
      <c r="C366">
        <v>23</v>
      </c>
      <c r="D366">
        <v>3</v>
      </c>
      <c r="E366">
        <v>7</v>
      </c>
      <c r="F366">
        <v>0</v>
      </c>
      <c r="G366">
        <v>185</v>
      </c>
      <c r="H366">
        <v>10</v>
      </c>
    </row>
    <row r="367" spans="1:8">
      <c r="A367" s="6"/>
      <c r="B367">
        <v>45</v>
      </c>
      <c r="C367">
        <v>11</v>
      </c>
      <c r="D367">
        <v>14</v>
      </c>
      <c r="E367">
        <v>18</v>
      </c>
      <c r="F367">
        <v>69</v>
      </c>
      <c r="G367">
        <v>79</v>
      </c>
      <c r="H367">
        <v>10</v>
      </c>
    </row>
    <row r="368" spans="1:8">
      <c r="A368" s="6"/>
      <c r="B368">
        <v>46</v>
      </c>
      <c r="C368">
        <v>6</v>
      </c>
      <c r="D368">
        <v>38</v>
      </c>
      <c r="E368">
        <v>16</v>
      </c>
      <c r="F368">
        <v>0</v>
      </c>
      <c r="G368">
        <v>190</v>
      </c>
      <c r="H368">
        <v>10</v>
      </c>
    </row>
    <row r="369" spans="1:8">
      <c r="A369" s="6"/>
      <c r="B369">
        <v>47</v>
      </c>
      <c r="C369">
        <v>2</v>
      </c>
      <c r="D369">
        <v>48</v>
      </c>
      <c r="E369">
        <v>1</v>
      </c>
      <c r="F369">
        <v>0</v>
      </c>
      <c r="G369">
        <v>184</v>
      </c>
      <c r="H369">
        <v>10</v>
      </c>
    </row>
    <row r="370" spans="1:8">
      <c r="A370" s="6"/>
      <c r="B370">
        <v>48</v>
      </c>
      <c r="C370">
        <v>8</v>
      </c>
      <c r="D370">
        <v>56</v>
      </c>
      <c r="E370">
        <v>27</v>
      </c>
      <c r="F370">
        <v>0</v>
      </c>
      <c r="G370">
        <v>185</v>
      </c>
      <c r="H370">
        <v>10</v>
      </c>
    </row>
    <row r="371" spans="1:8">
      <c r="A371" s="6"/>
      <c r="B371">
        <v>49</v>
      </c>
      <c r="C371">
        <v>13</v>
      </c>
      <c r="D371">
        <v>52</v>
      </c>
      <c r="E371">
        <v>36</v>
      </c>
      <c r="F371">
        <v>0</v>
      </c>
      <c r="G371">
        <v>192</v>
      </c>
      <c r="H371">
        <v>10</v>
      </c>
    </row>
    <row r="372" spans="1:8">
      <c r="A372" s="6"/>
      <c r="B372">
        <v>50</v>
      </c>
      <c r="C372">
        <v>6</v>
      </c>
      <c r="D372">
        <v>68</v>
      </c>
      <c r="E372">
        <v>30</v>
      </c>
      <c r="F372">
        <v>0</v>
      </c>
      <c r="G372">
        <v>176</v>
      </c>
      <c r="H372">
        <v>10</v>
      </c>
    </row>
    <row r="373" spans="1:8">
      <c r="A373" s="6"/>
      <c r="B373">
        <v>51</v>
      </c>
      <c r="C373">
        <v>47</v>
      </c>
      <c r="D373">
        <v>47</v>
      </c>
      <c r="E373">
        <v>13</v>
      </c>
      <c r="F373">
        <v>0</v>
      </c>
      <c r="G373">
        <v>203</v>
      </c>
      <c r="H373">
        <v>10</v>
      </c>
    </row>
    <row r="374" spans="1:8">
      <c r="A374" s="6"/>
      <c r="B374">
        <v>52</v>
      </c>
      <c r="C374">
        <v>49</v>
      </c>
      <c r="D374">
        <v>58</v>
      </c>
      <c r="E374">
        <v>10</v>
      </c>
      <c r="F374">
        <v>0</v>
      </c>
      <c r="G374">
        <v>193</v>
      </c>
      <c r="H374">
        <v>10</v>
      </c>
    </row>
    <row r="375" spans="1:8">
      <c r="A375" s="6"/>
      <c r="B375">
        <v>53</v>
      </c>
      <c r="C375">
        <v>27</v>
      </c>
      <c r="D375">
        <v>43</v>
      </c>
      <c r="E375">
        <v>9</v>
      </c>
      <c r="F375">
        <v>0</v>
      </c>
      <c r="G375">
        <v>208</v>
      </c>
      <c r="H375">
        <v>10</v>
      </c>
    </row>
    <row r="376" spans="1:8">
      <c r="A376" s="6"/>
      <c r="B376">
        <v>54</v>
      </c>
      <c r="C376">
        <v>37</v>
      </c>
      <c r="D376">
        <v>31</v>
      </c>
      <c r="E376">
        <v>14</v>
      </c>
      <c r="F376">
        <v>95</v>
      </c>
      <c r="G376">
        <v>105</v>
      </c>
      <c r="H376">
        <v>10</v>
      </c>
    </row>
    <row r="377" spans="1:8">
      <c r="A377" s="6"/>
      <c r="B377">
        <v>55</v>
      </c>
      <c r="C377">
        <v>57</v>
      </c>
      <c r="D377">
        <v>29</v>
      </c>
      <c r="E377">
        <v>18</v>
      </c>
      <c r="F377">
        <v>0</v>
      </c>
      <c r="G377">
        <v>197</v>
      </c>
      <c r="H377">
        <v>10</v>
      </c>
    </row>
    <row r="378" spans="1:8">
      <c r="A378" s="6"/>
      <c r="B378">
        <v>56</v>
      </c>
      <c r="C378">
        <v>63</v>
      </c>
      <c r="D378">
        <v>23</v>
      </c>
      <c r="E378">
        <v>2</v>
      </c>
      <c r="F378">
        <v>136</v>
      </c>
      <c r="G378">
        <v>146</v>
      </c>
      <c r="H378">
        <v>10</v>
      </c>
    </row>
    <row r="379" spans="1:8">
      <c r="A379" s="6"/>
      <c r="B379">
        <v>57</v>
      </c>
      <c r="C379">
        <v>53</v>
      </c>
      <c r="D379">
        <v>12</v>
      </c>
      <c r="E379">
        <v>6</v>
      </c>
      <c r="F379">
        <v>0</v>
      </c>
      <c r="G379">
        <v>190</v>
      </c>
      <c r="H379">
        <v>10</v>
      </c>
    </row>
    <row r="380" spans="1:8">
      <c r="A380" s="6"/>
      <c r="B380">
        <v>58</v>
      </c>
      <c r="C380">
        <v>32</v>
      </c>
      <c r="D380">
        <v>12</v>
      </c>
      <c r="E380">
        <v>7</v>
      </c>
      <c r="F380">
        <v>0</v>
      </c>
      <c r="G380">
        <v>196</v>
      </c>
      <c r="H380">
        <v>10</v>
      </c>
    </row>
    <row r="381" spans="1:8">
      <c r="A381" s="6"/>
      <c r="B381">
        <v>59</v>
      </c>
      <c r="C381">
        <v>36</v>
      </c>
      <c r="D381">
        <v>26</v>
      </c>
      <c r="E381">
        <v>18</v>
      </c>
      <c r="F381">
        <v>200</v>
      </c>
      <c r="G381">
        <v>210</v>
      </c>
      <c r="H381">
        <v>10</v>
      </c>
    </row>
    <row r="382" spans="1:8">
      <c r="A382" s="6"/>
      <c r="B382">
        <v>60</v>
      </c>
      <c r="C382">
        <v>21</v>
      </c>
      <c r="D382">
        <v>24</v>
      </c>
      <c r="E382">
        <v>28</v>
      </c>
      <c r="F382">
        <v>0</v>
      </c>
      <c r="G382">
        <v>202</v>
      </c>
      <c r="H382">
        <v>10</v>
      </c>
    </row>
    <row r="383" spans="1:8">
      <c r="A383" s="6"/>
      <c r="B383">
        <v>61</v>
      </c>
      <c r="C383">
        <v>17</v>
      </c>
      <c r="D383">
        <v>34</v>
      </c>
      <c r="E383">
        <v>3</v>
      </c>
      <c r="F383">
        <v>0</v>
      </c>
      <c r="G383">
        <v>201</v>
      </c>
      <c r="H383">
        <v>10</v>
      </c>
    </row>
    <row r="384" spans="1:8">
      <c r="A384" s="6"/>
      <c r="B384">
        <v>62</v>
      </c>
      <c r="C384">
        <v>12</v>
      </c>
      <c r="D384">
        <v>24</v>
      </c>
      <c r="E384">
        <v>13</v>
      </c>
      <c r="F384">
        <v>0</v>
      </c>
      <c r="G384">
        <v>194</v>
      </c>
      <c r="H384">
        <v>10</v>
      </c>
    </row>
    <row r="385" spans="1:8">
      <c r="A385" s="6"/>
      <c r="B385">
        <v>63</v>
      </c>
      <c r="C385">
        <v>24</v>
      </c>
      <c r="D385">
        <v>58</v>
      </c>
      <c r="E385">
        <v>19</v>
      </c>
      <c r="F385">
        <v>58</v>
      </c>
      <c r="G385">
        <v>68</v>
      </c>
      <c r="H385">
        <v>10</v>
      </c>
    </row>
    <row r="386" spans="1:8">
      <c r="A386" s="6"/>
      <c r="B386">
        <v>64</v>
      </c>
      <c r="C386">
        <v>27</v>
      </c>
      <c r="D386">
        <v>69</v>
      </c>
      <c r="E386">
        <v>10</v>
      </c>
      <c r="F386">
        <v>0</v>
      </c>
      <c r="G386">
        <v>185</v>
      </c>
      <c r="H386">
        <v>10</v>
      </c>
    </row>
    <row r="387" spans="1:8">
      <c r="A387" s="6"/>
      <c r="B387">
        <v>65</v>
      </c>
      <c r="C387">
        <v>15</v>
      </c>
      <c r="D387">
        <v>77</v>
      </c>
      <c r="E387">
        <v>9</v>
      </c>
      <c r="F387">
        <v>0</v>
      </c>
      <c r="G387">
        <v>173</v>
      </c>
      <c r="H387">
        <v>10</v>
      </c>
    </row>
    <row r="388" spans="1:8">
      <c r="A388" s="6"/>
      <c r="B388">
        <v>66</v>
      </c>
      <c r="C388">
        <v>62</v>
      </c>
      <c r="D388">
        <v>77</v>
      </c>
      <c r="E388">
        <v>20</v>
      </c>
      <c r="F388">
        <v>0</v>
      </c>
      <c r="G388">
        <v>170</v>
      </c>
      <c r="H388">
        <v>10</v>
      </c>
    </row>
    <row r="389" spans="1:8">
      <c r="A389" s="6"/>
      <c r="B389">
        <v>67</v>
      </c>
      <c r="C389">
        <v>49</v>
      </c>
      <c r="D389">
        <v>73</v>
      </c>
      <c r="E389">
        <v>25</v>
      </c>
      <c r="F389">
        <v>0</v>
      </c>
      <c r="G389">
        <v>179</v>
      </c>
      <c r="H389">
        <v>10</v>
      </c>
    </row>
    <row r="390" spans="1:8">
      <c r="A390" s="6"/>
      <c r="B390">
        <v>68</v>
      </c>
      <c r="C390">
        <v>67</v>
      </c>
      <c r="D390">
        <v>5</v>
      </c>
      <c r="E390">
        <v>25</v>
      </c>
      <c r="F390">
        <v>83</v>
      </c>
      <c r="G390">
        <v>93</v>
      </c>
      <c r="H390">
        <v>10</v>
      </c>
    </row>
    <row r="391" spans="1:8">
      <c r="A391" s="6"/>
      <c r="B391">
        <v>69</v>
      </c>
      <c r="C391">
        <v>56</v>
      </c>
      <c r="D391">
        <v>39</v>
      </c>
      <c r="E391">
        <v>36</v>
      </c>
      <c r="F391">
        <v>0</v>
      </c>
      <c r="G391">
        <v>198</v>
      </c>
      <c r="H391">
        <v>10</v>
      </c>
    </row>
    <row r="392" spans="1:8">
      <c r="A392" s="6"/>
      <c r="B392">
        <v>70</v>
      </c>
      <c r="C392">
        <v>37</v>
      </c>
      <c r="D392">
        <v>47</v>
      </c>
      <c r="E392">
        <v>6</v>
      </c>
      <c r="F392">
        <v>50</v>
      </c>
      <c r="G392">
        <v>60</v>
      </c>
      <c r="H392">
        <v>10</v>
      </c>
    </row>
    <row r="393" spans="1:8">
      <c r="A393" s="6"/>
      <c r="B393">
        <v>71</v>
      </c>
      <c r="C393">
        <v>37</v>
      </c>
      <c r="D393">
        <v>56</v>
      </c>
      <c r="E393">
        <v>5</v>
      </c>
      <c r="F393">
        <v>0</v>
      </c>
      <c r="G393">
        <v>198</v>
      </c>
      <c r="H393">
        <v>10</v>
      </c>
    </row>
    <row r="394" spans="1:8">
      <c r="A394" s="6"/>
      <c r="B394">
        <v>72</v>
      </c>
      <c r="C394">
        <v>57</v>
      </c>
      <c r="D394">
        <v>68</v>
      </c>
      <c r="E394">
        <v>15</v>
      </c>
      <c r="F394">
        <v>0</v>
      </c>
      <c r="G394">
        <v>180</v>
      </c>
      <c r="H394">
        <v>10</v>
      </c>
    </row>
    <row r="395" spans="1:8">
      <c r="A395" s="6"/>
      <c r="B395">
        <v>73</v>
      </c>
      <c r="C395">
        <v>47</v>
      </c>
      <c r="D395">
        <v>16</v>
      </c>
      <c r="E395">
        <v>25</v>
      </c>
      <c r="F395">
        <v>0</v>
      </c>
      <c r="G395">
        <v>197</v>
      </c>
      <c r="H395">
        <v>10</v>
      </c>
    </row>
    <row r="396" spans="1:8">
      <c r="A396" s="6"/>
      <c r="B396">
        <v>74</v>
      </c>
      <c r="C396">
        <v>44</v>
      </c>
      <c r="D396">
        <v>17</v>
      </c>
      <c r="E396">
        <v>9</v>
      </c>
      <c r="F396">
        <v>0</v>
      </c>
      <c r="G396">
        <v>199</v>
      </c>
      <c r="H396">
        <v>10</v>
      </c>
    </row>
    <row r="397" spans="1:8">
      <c r="A397" s="6"/>
      <c r="B397">
        <v>75</v>
      </c>
      <c r="C397">
        <v>46</v>
      </c>
      <c r="D397">
        <v>13</v>
      </c>
      <c r="E397">
        <v>8</v>
      </c>
      <c r="F397">
        <v>149</v>
      </c>
      <c r="G397">
        <v>159</v>
      </c>
      <c r="H397">
        <v>10</v>
      </c>
    </row>
    <row r="398" spans="1:8">
      <c r="A398" s="6"/>
      <c r="B398">
        <v>76</v>
      </c>
      <c r="C398">
        <v>49</v>
      </c>
      <c r="D398">
        <v>11</v>
      </c>
      <c r="E398">
        <v>18</v>
      </c>
      <c r="F398">
        <v>0</v>
      </c>
      <c r="G398">
        <v>192</v>
      </c>
      <c r="H398">
        <v>10</v>
      </c>
    </row>
    <row r="399" spans="1:8">
      <c r="A399" s="6"/>
      <c r="B399">
        <v>77</v>
      </c>
      <c r="C399">
        <v>49</v>
      </c>
      <c r="D399">
        <v>42</v>
      </c>
      <c r="E399">
        <v>13</v>
      </c>
      <c r="F399">
        <v>73</v>
      </c>
      <c r="G399">
        <v>83</v>
      </c>
      <c r="H399">
        <v>10</v>
      </c>
    </row>
    <row r="400" spans="1:8">
      <c r="A400" s="6"/>
      <c r="B400">
        <v>78</v>
      </c>
      <c r="C400">
        <v>53</v>
      </c>
      <c r="D400">
        <v>43</v>
      </c>
      <c r="E400">
        <v>14</v>
      </c>
      <c r="F400">
        <v>179</v>
      </c>
      <c r="G400">
        <v>189</v>
      </c>
      <c r="H400">
        <v>10</v>
      </c>
    </row>
    <row r="401" spans="1:8">
      <c r="A401" s="6"/>
      <c r="B401">
        <v>79</v>
      </c>
      <c r="C401">
        <v>61</v>
      </c>
      <c r="D401">
        <v>52</v>
      </c>
      <c r="E401">
        <v>3</v>
      </c>
      <c r="F401">
        <v>0</v>
      </c>
      <c r="G401">
        <v>188</v>
      </c>
      <c r="H401">
        <v>10</v>
      </c>
    </row>
    <row r="402" spans="1:8">
      <c r="A402" s="6"/>
      <c r="B402">
        <v>80</v>
      </c>
      <c r="C402">
        <v>57</v>
      </c>
      <c r="D402">
        <v>48</v>
      </c>
      <c r="E402">
        <v>23</v>
      </c>
      <c r="F402">
        <v>92</v>
      </c>
      <c r="G402">
        <v>102</v>
      </c>
      <c r="H402">
        <v>10</v>
      </c>
    </row>
    <row r="403" spans="1:8">
      <c r="A403" s="6"/>
      <c r="B403">
        <v>81</v>
      </c>
      <c r="C403">
        <v>56</v>
      </c>
      <c r="D403">
        <v>37</v>
      </c>
      <c r="E403">
        <v>6</v>
      </c>
      <c r="F403">
        <v>0</v>
      </c>
      <c r="G403">
        <v>198</v>
      </c>
      <c r="H403">
        <v>10</v>
      </c>
    </row>
    <row r="404" spans="1:8">
      <c r="A404" s="6"/>
      <c r="B404">
        <v>82</v>
      </c>
      <c r="C404">
        <v>55</v>
      </c>
      <c r="D404">
        <v>54</v>
      </c>
      <c r="E404">
        <v>26</v>
      </c>
      <c r="F404">
        <v>0</v>
      </c>
      <c r="G404">
        <v>192</v>
      </c>
      <c r="H404">
        <v>10</v>
      </c>
    </row>
    <row r="405" spans="1:8">
      <c r="A405" s="6"/>
      <c r="B405">
        <v>83</v>
      </c>
      <c r="C405">
        <v>15</v>
      </c>
      <c r="D405">
        <v>47</v>
      </c>
      <c r="E405">
        <v>16</v>
      </c>
      <c r="F405">
        <v>0</v>
      </c>
      <c r="G405">
        <v>196</v>
      </c>
      <c r="H405">
        <v>10</v>
      </c>
    </row>
    <row r="406" spans="1:8">
      <c r="A406" s="6"/>
      <c r="B406">
        <v>84</v>
      </c>
      <c r="C406">
        <v>14</v>
      </c>
      <c r="D406">
        <v>37</v>
      </c>
      <c r="E406">
        <v>11</v>
      </c>
      <c r="F406">
        <v>0</v>
      </c>
      <c r="G406">
        <v>198</v>
      </c>
      <c r="H406">
        <v>10</v>
      </c>
    </row>
    <row r="407" spans="1:8">
      <c r="A407" s="6"/>
      <c r="B407">
        <v>85</v>
      </c>
      <c r="C407">
        <v>11</v>
      </c>
      <c r="D407">
        <v>31</v>
      </c>
      <c r="E407">
        <v>7</v>
      </c>
      <c r="F407">
        <v>101</v>
      </c>
      <c r="G407">
        <v>111</v>
      </c>
      <c r="H407">
        <v>10</v>
      </c>
    </row>
    <row r="408" spans="1:8">
      <c r="A408" s="6"/>
      <c r="B408">
        <v>86</v>
      </c>
      <c r="C408">
        <v>16</v>
      </c>
      <c r="D408">
        <v>22</v>
      </c>
      <c r="E408">
        <v>41</v>
      </c>
      <c r="F408">
        <v>0</v>
      </c>
      <c r="G408">
        <v>196</v>
      </c>
      <c r="H408">
        <v>10</v>
      </c>
    </row>
    <row r="409" spans="1:8">
      <c r="A409" s="6"/>
      <c r="B409">
        <v>87</v>
      </c>
      <c r="C409">
        <v>4</v>
      </c>
      <c r="D409">
        <v>18</v>
      </c>
      <c r="E409">
        <v>35</v>
      </c>
      <c r="F409">
        <v>0</v>
      </c>
      <c r="G409">
        <v>184</v>
      </c>
      <c r="H409">
        <v>10</v>
      </c>
    </row>
    <row r="410" spans="1:8">
      <c r="A410" s="6"/>
      <c r="B410">
        <v>88</v>
      </c>
      <c r="C410">
        <v>28</v>
      </c>
      <c r="D410">
        <v>18</v>
      </c>
      <c r="E410">
        <v>26</v>
      </c>
      <c r="F410">
        <v>93</v>
      </c>
      <c r="G410">
        <v>103</v>
      </c>
      <c r="H410">
        <v>10</v>
      </c>
    </row>
    <row r="411" spans="1:8">
      <c r="A411" s="6"/>
      <c r="B411">
        <v>89</v>
      </c>
      <c r="C411">
        <v>26</v>
      </c>
      <c r="D411">
        <v>52</v>
      </c>
      <c r="E411">
        <v>9</v>
      </c>
      <c r="F411">
        <v>0</v>
      </c>
      <c r="G411">
        <v>200</v>
      </c>
      <c r="H411">
        <v>10</v>
      </c>
    </row>
    <row r="412" spans="1:8">
      <c r="A412" s="6"/>
      <c r="B412">
        <v>90</v>
      </c>
      <c r="C412">
        <v>26</v>
      </c>
      <c r="D412">
        <v>35</v>
      </c>
      <c r="E412">
        <v>15</v>
      </c>
      <c r="F412">
        <v>0</v>
      </c>
      <c r="G412">
        <v>211</v>
      </c>
      <c r="H412">
        <v>10</v>
      </c>
    </row>
    <row r="413" spans="1:8">
      <c r="A413" s="6"/>
      <c r="B413">
        <v>91</v>
      </c>
      <c r="C413">
        <v>31</v>
      </c>
      <c r="D413">
        <v>67</v>
      </c>
      <c r="E413">
        <v>3</v>
      </c>
      <c r="F413">
        <v>0</v>
      </c>
      <c r="G413">
        <v>187</v>
      </c>
      <c r="H413">
        <v>10</v>
      </c>
    </row>
    <row r="414" spans="1:8">
      <c r="A414" s="6"/>
      <c r="B414">
        <v>92</v>
      </c>
      <c r="C414">
        <v>15</v>
      </c>
      <c r="D414">
        <v>19</v>
      </c>
      <c r="E414">
        <v>1</v>
      </c>
      <c r="F414">
        <v>0</v>
      </c>
      <c r="G414">
        <v>194</v>
      </c>
      <c r="H414">
        <v>10</v>
      </c>
    </row>
    <row r="415" spans="1:8">
      <c r="A415" s="6"/>
      <c r="B415">
        <v>93</v>
      </c>
      <c r="C415">
        <v>22</v>
      </c>
      <c r="D415">
        <v>22</v>
      </c>
      <c r="E415">
        <v>2</v>
      </c>
      <c r="F415">
        <v>18</v>
      </c>
      <c r="G415">
        <v>28</v>
      </c>
      <c r="H415">
        <v>10</v>
      </c>
    </row>
    <row r="416" spans="1:8">
      <c r="A416" s="6"/>
      <c r="B416">
        <v>94</v>
      </c>
      <c r="C416">
        <v>18</v>
      </c>
      <c r="D416">
        <v>24</v>
      </c>
      <c r="E416">
        <v>22</v>
      </c>
      <c r="F416">
        <v>0</v>
      </c>
      <c r="G416">
        <v>199</v>
      </c>
      <c r="H416">
        <v>10</v>
      </c>
    </row>
    <row r="417" spans="1:8">
      <c r="A417" s="6"/>
      <c r="B417">
        <v>95</v>
      </c>
      <c r="C417">
        <v>26</v>
      </c>
      <c r="D417">
        <v>27</v>
      </c>
      <c r="E417">
        <v>27</v>
      </c>
      <c r="F417">
        <v>0</v>
      </c>
      <c r="G417">
        <v>207</v>
      </c>
      <c r="H417">
        <v>10</v>
      </c>
    </row>
    <row r="418" spans="1:8">
      <c r="A418" s="6"/>
      <c r="B418">
        <v>96</v>
      </c>
      <c r="C418">
        <v>25</v>
      </c>
      <c r="D418">
        <v>24</v>
      </c>
      <c r="E418">
        <v>20</v>
      </c>
      <c r="F418">
        <v>0</v>
      </c>
      <c r="G418">
        <v>205</v>
      </c>
      <c r="H418">
        <v>10</v>
      </c>
    </row>
    <row r="419" spans="1:8">
      <c r="A419" s="6"/>
      <c r="B419">
        <v>97</v>
      </c>
      <c r="C419">
        <v>22</v>
      </c>
      <c r="D419">
        <v>27</v>
      </c>
      <c r="E419">
        <v>11</v>
      </c>
      <c r="F419">
        <v>0</v>
      </c>
      <c r="G419">
        <v>204</v>
      </c>
      <c r="H419">
        <v>10</v>
      </c>
    </row>
    <row r="420" spans="1:8">
      <c r="A420" s="6"/>
      <c r="B420">
        <v>98</v>
      </c>
      <c r="C420">
        <v>25</v>
      </c>
      <c r="D420">
        <v>21</v>
      </c>
      <c r="E420">
        <v>12</v>
      </c>
      <c r="F420">
        <v>0</v>
      </c>
      <c r="G420">
        <v>202</v>
      </c>
      <c r="H420">
        <v>10</v>
      </c>
    </row>
    <row r="421" spans="1:8">
      <c r="A421" s="6"/>
      <c r="B421">
        <v>99</v>
      </c>
      <c r="C421">
        <v>19</v>
      </c>
      <c r="D421">
        <v>21</v>
      </c>
      <c r="E421">
        <v>10</v>
      </c>
      <c r="F421">
        <v>0</v>
      </c>
      <c r="G421">
        <v>198</v>
      </c>
      <c r="H421">
        <v>10</v>
      </c>
    </row>
    <row r="422" spans="1:8">
      <c r="A422" s="6"/>
      <c r="B422">
        <v>100</v>
      </c>
      <c r="C422">
        <v>20</v>
      </c>
      <c r="D422">
        <v>26</v>
      </c>
      <c r="E422">
        <v>9</v>
      </c>
      <c r="F422">
        <v>83</v>
      </c>
      <c r="G422">
        <v>93</v>
      </c>
      <c r="H422">
        <v>10</v>
      </c>
    </row>
    <row r="423" spans="1:8">
      <c r="B423">
        <v>101</v>
      </c>
      <c r="C423">
        <v>18</v>
      </c>
      <c r="D423">
        <v>18</v>
      </c>
      <c r="E423">
        <v>17</v>
      </c>
      <c r="F423">
        <v>185</v>
      </c>
      <c r="G423">
        <v>195</v>
      </c>
      <c r="H423">
        <v>10</v>
      </c>
    </row>
    <row r="425" spans="1:8" ht="17.399999999999999">
      <c r="A425" s="7" t="s">
        <v>17</v>
      </c>
    </row>
    <row r="426" spans="1:8">
      <c r="A426" s="4"/>
    </row>
    <row r="427" spans="1:8">
      <c r="A427" s="2"/>
      <c r="B427" t="s">
        <v>32</v>
      </c>
      <c r="C427" t="s">
        <v>26</v>
      </c>
      <c r="D427" t="s">
        <v>27</v>
      </c>
      <c r="E427" t="s">
        <v>28</v>
      </c>
      <c r="F427" t="s">
        <v>29</v>
      </c>
      <c r="G427" t="s">
        <v>30</v>
      </c>
      <c r="H427" t="s">
        <v>31</v>
      </c>
    </row>
    <row r="428" spans="1:8">
      <c r="A428" s="6"/>
    </row>
    <row r="429" spans="1:8">
      <c r="A429" s="6"/>
      <c r="B429">
        <v>1</v>
      </c>
      <c r="C429">
        <v>35</v>
      </c>
      <c r="D429">
        <v>35</v>
      </c>
      <c r="E429">
        <v>0</v>
      </c>
      <c r="F429">
        <v>0</v>
      </c>
      <c r="G429">
        <v>230</v>
      </c>
      <c r="H429">
        <v>0</v>
      </c>
    </row>
    <row r="430" spans="1:8">
      <c r="A430" s="6"/>
      <c r="B430">
        <v>2</v>
      </c>
      <c r="C430">
        <v>41</v>
      </c>
      <c r="D430">
        <v>49</v>
      </c>
      <c r="E430">
        <v>10</v>
      </c>
      <c r="F430">
        <v>151</v>
      </c>
      <c r="G430">
        <v>181</v>
      </c>
      <c r="H430">
        <v>10</v>
      </c>
    </row>
    <row r="431" spans="1:8">
      <c r="A431" s="6"/>
      <c r="B431">
        <v>3</v>
      </c>
      <c r="C431">
        <v>35</v>
      </c>
      <c r="D431">
        <v>17</v>
      </c>
      <c r="E431">
        <v>7</v>
      </c>
      <c r="F431">
        <v>40</v>
      </c>
      <c r="G431">
        <v>70</v>
      </c>
      <c r="H431">
        <v>10</v>
      </c>
    </row>
    <row r="432" spans="1:8">
      <c r="A432" s="6"/>
      <c r="B432">
        <v>4</v>
      </c>
      <c r="C432">
        <v>55</v>
      </c>
      <c r="D432">
        <v>45</v>
      </c>
      <c r="E432">
        <v>13</v>
      </c>
      <c r="F432">
        <v>106</v>
      </c>
      <c r="G432">
        <v>136</v>
      </c>
      <c r="H432">
        <v>10</v>
      </c>
    </row>
    <row r="433" spans="1:8">
      <c r="A433" s="6"/>
      <c r="B433">
        <v>5</v>
      </c>
      <c r="C433">
        <v>55</v>
      </c>
      <c r="D433">
        <v>20</v>
      </c>
      <c r="E433">
        <v>19</v>
      </c>
      <c r="F433">
        <v>139</v>
      </c>
      <c r="G433">
        <v>169</v>
      </c>
      <c r="H433">
        <v>10</v>
      </c>
    </row>
    <row r="434" spans="1:8">
      <c r="A434" s="6"/>
      <c r="B434">
        <v>6</v>
      </c>
      <c r="C434">
        <v>15</v>
      </c>
      <c r="D434">
        <v>30</v>
      </c>
      <c r="E434">
        <v>26</v>
      </c>
      <c r="F434">
        <v>24</v>
      </c>
      <c r="G434">
        <v>54</v>
      </c>
      <c r="H434">
        <v>10</v>
      </c>
    </row>
    <row r="435" spans="1:8">
      <c r="A435" s="6"/>
      <c r="B435">
        <v>7</v>
      </c>
      <c r="C435">
        <v>25</v>
      </c>
      <c r="D435">
        <v>30</v>
      </c>
      <c r="E435">
        <v>3</v>
      </c>
      <c r="F435">
        <v>89</v>
      </c>
      <c r="G435">
        <v>119</v>
      </c>
      <c r="H435">
        <v>10</v>
      </c>
    </row>
    <row r="436" spans="1:8">
      <c r="A436" s="6"/>
      <c r="B436">
        <v>8</v>
      </c>
      <c r="C436">
        <v>20</v>
      </c>
      <c r="D436">
        <v>50</v>
      </c>
      <c r="E436">
        <v>5</v>
      </c>
      <c r="F436">
        <v>71</v>
      </c>
      <c r="G436">
        <v>101</v>
      </c>
      <c r="H436">
        <v>10</v>
      </c>
    </row>
    <row r="437" spans="1:8">
      <c r="A437" s="6"/>
      <c r="B437">
        <v>9</v>
      </c>
      <c r="C437">
        <v>10</v>
      </c>
      <c r="D437">
        <v>43</v>
      </c>
      <c r="E437">
        <v>9</v>
      </c>
      <c r="F437">
        <v>85</v>
      </c>
      <c r="G437">
        <v>115</v>
      </c>
      <c r="H437">
        <v>10</v>
      </c>
    </row>
    <row r="438" spans="1:8">
      <c r="A438" s="6"/>
      <c r="B438">
        <v>10</v>
      </c>
      <c r="C438">
        <v>55</v>
      </c>
      <c r="D438">
        <v>60</v>
      </c>
      <c r="E438">
        <v>16</v>
      </c>
      <c r="F438">
        <v>87</v>
      </c>
      <c r="G438">
        <v>117</v>
      </c>
      <c r="H438">
        <v>10</v>
      </c>
    </row>
    <row r="439" spans="1:8">
      <c r="A439" s="6"/>
      <c r="B439">
        <v>11</v>
      </c>
      <c r="C439">
        <v>30</v>
      </c>
      <c r="D439">
        <v>60</v>
      </c>
      <c r="E439">
        <v>16</v>
      </c>
      <c r="F439">
        <v>114</v>
      </c>
      <c r="G439">
        <v>144</v>
      </c>
      <c r="H439">
        <v>10</v>
      </c>
    </row>
    <row r="440" spans="1:8">
      <c r="A440" s="6"/>
      <c r="B440">
        <v>12</v>
      </c>
      <c r="C440">
        <v>20</v>
      </c>
      <c r="D440">
        <v>65</v>
      </c>
      <c r="E440">
        <v>12</v>
      </c>
      <c r="F440">
        <v>57</v>
      </c>
      <c r="G440">
        <v>87</v>
      </c>
      <c r="H440">
        <v>10</v>
      </c>
    </row>
    <row r="441" spans="1:8">
      <c r="A441" s="6"/>
      <c r="B441">
        <v>13</v>
      </c>
      <c r="C441">
        <v>50</v>
      </c>
      <c r="D441">
        <v>35</v>
      </c>
      <c r="E441">
        <v>19</v>
      </c>
      <c r="F441">
        <v>53</v>
      </c>
      <c r="G441">
        <v>83</v>
      </c>
      <c r="H441">
        <v>10</v>
      </c>
    </row>
    <row r="442" spans="1:8">
      <c r="A442" s="6"/>
      <c r="B442">
        <v>14</v>
      </c>
      <c r="C442">
        <v>30</v>
      </c>
      <c r="D442">
        <v>25</v>
      </c>
      <c r="E442">
        <v>23</v>
      </c>
      <c r="F442">
        <v>149</v>
      </c>
      <c r="G442">
        <v>179</v>
      </c>
      <c r="H442">
        <v>10</v>
      </c>
    </row>
    <row r="443" spans="1:8">
      <c r="A443" s="6"/>
      <c r="B443">
        <v>15</v>
      </c>
      <c r="C443">
        <v>15</v>
      </c>
      <c r="D443">
        <v>10</v>
      </c>
      <c r="E443">
        <v>20</v>
      </c>
      <c r="F443">
        <v>32</v>
      </c>
      <c r="G443">
        <v>62</v>
      </c>
      <c r="H443">
        <v>10</v>
      </c>
    </row>
    <row r="444" spans="1:8">
      <c r="A444" s="6"/>
      <c r="B444">
        <v>16</v>
      </c>
      <c r="C444">
        <v>30</v>
      </c>
      <c r="D444">
        <v>5</v>
      </c>
      <c r="E444">
        <v>8</v>
      </c>
      <c r="F444">
        <v>51</v>
      </c>
      <c r="G444">
        <v>81</v>
      </c>
      <c r="H444">
        <v>10</v>
      </c>
    </row>
    <row r="445" spans="1:8">
      <c r="A445" s="6"/>
      <c r="B445">
        <v>17</v>
      </c>
      <c r="C445">
        <v>10</v>
      </c>
      <c r="D445">
        <v>20</v>
      </c>
      <c r="E445">
        <v>19</v>
      </c>
      <c r="F445">
        <v>65</v>
      </c>
      <c r="G445">
        <v>95</v>
      </c>
      <c r="H445">
        <v>10</v>
      </c>
    </row>
    <row r="446" spans="1:8">
      <c r="A446" s="6"/>
      <c r="B446">
        <v>18</v>
      </c>
      <c r="C446">
        <v>5</v>
      </c>
      <c r="D446">
        <v>30</v>
      </c>
      <c r="E446">
        <v>2</v>
      </c>
      <c r="F446">
        <v>147</v>
      </c>
      <c r="G446">
        <v>177</v>
      </c>
      <c r="H446">
        <v>10</v>
      </c>
    </row>
    <row r="447" spans="1:8">
      <c r="A447" s="6"/>
      <c r="B447">
        <v>19</v>
      </c>
      <c r="C447">
        <v>20</v>
      </c>
      <c r="D447">
        <v>40</v>
      </c>
      <c r="E447">
        <v>12</v>
      </c>
      <c r="F447">
        <v>77</v>
      </c>
      <c r="G447">
        <v>107</v>
      </c>
      <c r="H447">
        <v>10</v>
      </c>
    </row>
    <row r="448" spans="1:8">
      <c r="A448" s="6"/>
      <c r="B448">
        <v>20</v>
      </c>
      <c r="C448">
        <v>15</v>
      </c>
      <c r="D448">
        <v>60</v>
      </c>
      <c r="E448">
        <v>17</v>
      </c>
      <c r="F448">
        <v>66</v>
      </c>
      <c r="G448">
        <v>96</v>
      </c>
      <c r="H448">
        <v>10</v>
      </c>
    </row>
    <row r="449" spans="1:8">
      <c r="A449" s="6"/>
      <c r="B449">
        <v>21</v>
      </c>
      <c r="C449">
        <v>45</v>
      </c>
      <c r="D449">
        <v>65</v>
      </c>
      <c r="E449">
        <v>9</v>
      </c>
      <c r="F449">
        <v>116</v>
      </c>
      <c r="G449">
        <v>146</v>
      </c>
      <c r="H449">
        <v>10</v>
      </c>
    </row>
    <row r="450" spans="1:8">
      <c r="A450" s="6"/>
      <c r="B450">
        <v>22</v>
      </c>
      <c r="C450">
        <v>45</v>
      </c>
      <c r="D450">
        <v>20</v>
      </c>
      <c r="E450">
        <v>11</v>
      </c>
      <c r="F450">
        <v>52</v>
      </c>
      <c r="G450">
        <v>82</v>
      </c>
      <c r="H450">
        <v>10</v>
      </c>
    </row>
    <row r="451" spans="1:8">
      <c r="A451" s="6"/>
      <c r="B451">
        <v>23</v>
      </c>
      <c r="C451">
        <v>45</v>
      </c>
      <c r="D451">
        <v>10</v>
      </c>
      <c r="E451">
        <v>18</v>
      </c>
      <c r="F451">
        <v>87</v>
      </c>
      <c r="G451">
        <v>117</v>
      </c>
      <c r="H451">
        <v>10</v>
      </c>
    </row>
    <row r="452" spans="1:8">
      <c r="A452" s="6"/>
      <c r="B452">
        <v>24</v>
      </c>
      <c r="C452">
        <v>55</v>
      </c>
      <c r="D452">
        <v>5</v>
      </c>
      <c r="E452">
        <v>29</v>
      </c>
      <c r="F452">
        <v>58</v>
      </c>
      <c r="G452">
        <v>88</v>
      </c>
      <c r="H452">
        <v>10</v>
      </c>
    </row>
    <row r="453" spans="1:8">
      <c r="A453" s="6"/>
      <c r="B453">
        <v>25</v>
      </c>
      <c r="C453">
        <v>65</v>
      </c>
      <c r="D453">
        <v>35</v>
      </c>
      <c r="E453">
        <v>3</v>
      </c>
      <c r="F453">
        <v>143</v>
      </c>
      <c r="G453">
        <v>173</v>
      </c>
      <c r="H453">
        <v>10</v>
      </c>
    </row>
    <row r="454" spans="1:8">
      <c r="A454" s="6"/>
      <c r="B454">
        <v>26</v>
      </c>
      <c r="C454">
        <v>65</v>
      </c>
      <c r="D454">
        <v>20</v>
      </c>
      <c r="E454">
        <v>6</v>
      </c>
      <c r="F454">
        <v>156</v>
      </c>
      <c r="G454">
        <v>186</v>
      </c>
      <c r="H454">
        <v>10</v>
      </c>
    </row>
    <row r="455" spans="1:8">
      <c r="A455" s="6"/>
      <c r="B455">
        <v>27</v>
      </c>
      <c r="C455">
        <v>45</v>
      </c>
      <c r="D455">
        <v>30</v>
      </c>
      <c r="E455">
        <v>17</v>
      </c>
      <c r="F455">
        <v>122</v>
      </c>
      <c r="G455">
        <v>152</v>
      </c>
      <c r="H455">
        <v>10</v>
      </c>
    </row>
    <row r="456" spans="1:8">
      <c r="A456" s="6"/>
      <c r="B456">
        <v>28</v>
      </c>
      <c r="C456">
        <v>35</v>
      </c>
      <c r="D456">
        <v>40</v>
      </c>
      <c r="E456">
        <v>16</v>
      </c>
      <c r="F456">
        <v>27</v>
      </c>
      <c r="G456">
        <v>57</v>
      </c>
      <c r="H456">
        <v>10</v>
      </c>
    </row>
    <row r="457" spans="1:8">
      <c r="A457" s="6"/>
      <c r="B457">
        <v>29</v>
      </c>
      <c r="C457">
        <v>41</v>
      </c>
      <c r="D457">
        <v>37</v>
      </c>
      <c r="E457">
        <v>16</v>
      </c>
      <c r="F457">
        <v>29</v>
      </c>
      <c r="G457">
        <v>59</v>
      </c>
      <c r="H457">
        <v>10</v>
      </c>
    </row>
    <row r="458" spans="1:8">
      <c r="A458" s="6"/>
      <c r="B458">
        <v>30</v>
      </c>
      <c r="C458">
        <v>64</v>
      </c>
      <c r="D458">
        <v>42</v>
      </c>
      <c r="E458">
        <v>9</v>
      </c>
      <c r="F458">
        <v>53</v>
      </c>
      <c r="G458">
        <v>83</v>
      </c>
      <c r="H458">
        <v>10</v>
      </c>
    </row>
    <row r="459" spans="1:8">
      <c r="A459" s="6"/>
      <c r="B459">
        <v>31</v>
      </c>
      <c r="C459">
        <v>40</v>
      </c>
      <c r="D459">
        <v>60</v>
      </c>
      <c r="E459">
        <v>21</v>
      </c>
      <c r="F459">
        <v>61</v>
      </c>
      <c r="G459">
        <v>91</v>
      </c>
      <c r="H459">
        <v>10</v>
      </c>
    </row>
    <row r="460" spans="1:8">
      <c r="A460" s="6"/>
      <c r="B460">
        <v>32</v>
      </c>
      <c r="C460">
        <v>31</v>
      </c>
      <c r="D460">
        <v>52</v>
      </c>
      <c r="E460">
        <v>27</v>
      </c>
      <c r="F460">
        <v>40</v>
      </c>
      <c r="G460">
        <v>70</v>
      </c>
      <c r="H460">
        <v>10</v>
      </c>
    </row>
    <row r="461" spans="1:8">
      <c r="A461" s="6"/>
      <c r="B461">
        <v>33</v>
      </c>
      <c r="C461">
        <v>35</v>
      </c>
      <c r="D461">
        <v>69</v>
      </c>
      <c r="E461">
        <v>23</v>
      </c>
      <c r="F461">
        <v>131</v>
      </c>
      <c r="G461">
        <v>161</v>
      </c>
      <c r="H461">
        <v>10</v>
      </c>
    </row>
    <row r="462" spans="1:8">
      <c r="A462" s="6"/>
      <c r="B462">
        <v>34</v>
      </c>
      <c r="C462">
        <v>53</v>
      </c>
      <c r="D462">
        <v>52</v>
      </c>
      <c r="E462">
        <v>11</v>
      </c>
      <c r="F462">
        <v>27</v>
      </c>
      <c r="G462">
        <v>57</v>
      </c>
      <c r="H462">
        <v>10</v>
      </c>
    </row>
    <row r="463" spans="1:8">
      <c r="A463" s="6"/>
      <c r="B463">
        <v>35</v>
      </c>
      <c r="C463">
        <v>65</v>
      </c>
      <c r="D463">
        <v>55</v>
      </c>
      <c r="E463">
        <v>14</v>
      </c>
      <c r="F463">
        <v>107</v>
      </c>
      <c r="G463">
        <v>137</v>
      </c>
      <c r="H463">
        <v>10</v>
      </c>
    </row>
    <row r="464" spans="1:8">
      <c r="A464" s="6"/>
      <c r="B464">
        <v>36</v>
      </c>
      <c r="C464">
        <v>63</v>
      </c>
      <c r="D464">
        <v>65</v>
      </c>
      <c r="E464">
        <v>8</v>
      </c>
      <c r="F464">
        <v>133</v>
      </c>
      <c r="G464">
        <v>163</v>
      </c>
      <c r="H464">
        <v>10</v>
      </c>
    </row>
    <row r="465" spans="1:8">
      <c r="A465" s="6"/>
      <c r="B465">
        <v>37</v>
      </c>
      <c r="C465">
        <v>2</v>
      </c>
      <c r="D465">
        <v>60</v>
      </c>
      <c r="E465">
        <v>5</v>
      </c>
      <c r="F465">
        <v>41</v>
      </c>
      <c r="G465">
        <v>71</v>
      </c>
      <c r="H465">
        <v>10</v>
      </c>
    </row>
    <row r="466" spans="1:8">
      <c r="A466" s="6"/>
      <c r="B466">
        <v>38</v>
      </c>
      <c r="C466">
        <v>20</v>
      </c>
      <c r="D466">
        <v>20</v>
      </c>
      <c r="E466">
        <v>8</v>
      </c>
      <c r="F466">
        <v>124</v>
      </c>
      <c r="G466">
        <v>154</v>
      </c>
      <c r="H466">
        <v>10</v>
      </c>
    </row>
    <row r="467" spans="1:8">
      <c r="A467" s="6"/>
      <c r="B467">
        <v>39</v>
      </c>
      <c r="C467">
        <v>5</v>
      </c>
      <c r="D467">
        <v>5</v>
      </c>
      <c r="E467">
        <v>16</v>
      </c>
      <c r="F467">
        <v>73</v>
      </c>
      <c r="G467">
        <v>103</v>
      </c>
      <c r="H467">
        <v>10</v>
      </c>
    </row>
    <row r="468" spans="1:8">
      <c r="A468" s="6"/>
      <c r="B468">
        <v>40</v>
      </c>
      <c r="C468">
        <v>60</v>
      </c>
      <c r="D468">
        <v>12</v>
      </c>
      <c r="E468">
        <v>31</v>
      </c>
      <c r="F468">
        <v>34</v>
      </c>
      <c r="G468">
        <v>64</v>
      </c>
      <c r="H468">
        <v>10</v>
      </c>
    </row>
    <row r="469" spans="1:8">
      <c r="A469" s="6"/>
      <c r="B469">
        <v>41</v>
      </c>
      <c r="C469">
        <v>40</v>
      </c>
      <c r="D469">
        <v>25</v>
      </c>
      <c r="E469">
        <v>9</v>
      </c>
      <c r="F469">
        <v>75</v>
      </c>
      <c r="G469">
        <v>105</v>
      </c>
      <c r="H469">
        <v>10</v>
      </c>
    </row>
    <row r="470" spans="1:8">
      <c r="A470" s="6"/>
      <c r="B470">
        <v>42</v>
      </c>
      <c r="C470">
        <v>42</v>
      </c>
      <c r="D470">
        <v>7</v>
      </c>
      <c r="E470">
        <v>5</v>
      </c>
      <c r="F470">
        <v>87</v>
      </c>
      <c r="G470">
        <v>117</v>
      </c>
      <c r="H470">
        <v>10</v>
      </c>
    </row>
    <row r="471" spans="1:8">
      <c r="A471" s="6"/>
      <c r="B471">
        <v>43</v>
      </c>
      <c r="C471">
        <v>24</v>
      </c>
      <c r="D471">
        <v>12</v>
      </c>
      <c r="E471">
        <v>5</v>
      </c>
      <c r="F471">
        <v>25</v>
      </c>
      <c r="G471">
        <v>55</v>
      </c>
      <c r="H471">
        <v>10</v>
      </c>
    </row>
    <row r="472" spans="1:8">
      <c r="A472" s="6"/>
      <c r="B472">
        <v>44</v>
      </c>
      <c r="C472">
        <v>23</v>
      </c>
      <c r="D472">
        <v>3</v>
      </c>
      <c r="E472">
        <v>7</v>
      </c>
      <c r="F472">
        <v>122</v>
      </c>
      <c r="G472">
        <v>152</v>
      </c>
      <c r="H472">
        <v>10</v>
      </c>
    </row>
    <row r="473" spans="1:8">
      <c r="A473" s="6"/>
      <c r="B473">
        <v>45</v>
      </c>
      <c r="C473">
        <v>11</v>
      </c>
      <c r="D473">
        <v>14</v>
      </c>
      <c r="E473">
        <v>18</v>
      </c>
      <c r="F473">
        <v>59</v>
      </c>
      <c r="G473">
        <v>89</v>
      </c>
      <c r="H473">
        <v>10</v>
      </c>
    </row>
    <row r="474" spans="1:8">
      <c r="A474" s="6"/>
      <c r="B474">
        <v>46</v>
      </c>
      <c r="C474">
        <v>6</v>
      </c>
      <c r="D474">
        <v>38</v>
      </c>
      <c r="E474">
        <v>16</v>
      </c>
      <c r="F474">
        <v>29</v>
      </c>
      <c r="G474">
        <v>59</v>
      </c>
      <c r="H474">
        <v>10</v>
      </c>
    </row>
    <row r="475" spans="1:8">
      <c r="A475" s="6"/>
      <c r="B475">
        <v>47</v>
      </c>
      <c r="C475">
        <v>2</v>
      </c>
      <c r="D475">
        <v>48</v>
      </c>
      <c r="E475">
        <v>1</v>
      </c>
      <c r="F475">
        <v>107</v>
      </c>
      <c r="G475">
        <v>137</v>
      </c>
      <c r="H475">
        <v>10</v>
      </c>
    </row>
    <row r="476" spans="1:8">
      <c r="A476" s="6"/>
      <c r="B476">
        <v>48</v>
      </c>
      <c r="C476">
        <v>8</v>
      </c>
      <c r="D476">
        <v>56</v>
      </c>
      <c r="E476">
        <v>27</v>
      </c>
      <c r="F476">
        <v>41</v>
      </c>
      <c r="G476">
        <v>71</v>
      </c>
      <c r="H476">
        <v>10</v>
      </c>
    </row>
    <row r="477" spans="1:8">
      <c r="A477" s="6"/>
      <c r="B477">
        <v>49</v>
      </c>
      <c r="C477">
        <v>13</v>
      </c>
      <c r="D477">
        <v>52</v>
      </c>
      <c r="E477">
        <v>36</v>
      </c>
      <c r="F477">
        <v>155</v>
      </c>
      <c r="G477">
        <v>185</v>
      </c>
      <c r="H477">
        <v>10</v>
      </c>
    </row>
    <row r="478" spans="1:8">
      <c r="A478" s="6"/>
      <c r="B478">
        <v>50</v>
      </c>
      <c r="C478">
        <v>6</v>
      </c>
      <c r="D478">
        <v>68</v>
      </c>
      <c r="E478">
        <v>30</v>
      </c>
      <c r="F478">
        <v>98</v>
      </c>
      <c r="G478">
        <v>128</v>
      </c>
      <c r="H478">
        <v>10</v>
      </c>
    </row>
    <row r="479" spans="1:8">
      <c r="A479" s="6"/>
      <c r="B479">
        <v>51</v>
      </c>
      <c r="C479">
        <v>47</v>
      </c>
      <c r="D479">
        <v>47</v>
      </c>
      <c r="E479">
        <v>13</v>
      </c>
      <c r="F479">
        <v>114</v>
      </c>
      <c r="G479">
        <v>144</v>
      </c>
      <c r="H479">
        <v>10</v>
      </c>
    </row>
    <row r="480" spans="1:8">
      <c r="A480" s="6"/>
      <c r="B480">
        <v>52</v>
      </c>
      <c r="C480">
        <v>49</v>
      </c>
      <c r="D480">
        <v>58</v>
      </c>
      <c r="E480">
        <v>10</v>
      </c>
      <c r="F480">
        <v>78</v>
      </c>
      <c r="G480">
        <v>108</v>
      </c>
      <c r="H480">
        <v>10</v>
      </c>
    </row>
    <row r="481" spans="1:8">
      <c r="A481" s="6"/>
      <c r="B481">
        <v>53</v>
      </c>
      <c r="C481">
        <v>27</v>
      </c>
      <c r="D481">
        <v>43</v>
      </c>
      <c r="E481">
        <v>9</v>
      </c>
      <c r="F481">
        <v>42</v>
      </c>
      <c r="G481">
        <v>72</v>
      </c>
      <c r="H481">
        <v>10</v>
      </c>
    </row>
    <row r="482" spans="1:8">
      <c r="A482" s="6"/>
      <c r="B482">
        <v>54</v>
      </c>
      <c r="C482">
        <v>37</v>
      </c>
      <c r="D482">
        <v>31</v>
      </c>
      <c r="E482">
        <v>14</v>
      </c>
      <c r="F482">
        <v>85</v>
      </c>
      <c r="G482">
        <v>115</v>
      </c>
      <c r="H482">
        <v>10</v>
      </c>
    </row>
    <row r="483" spans="1:8">
      <c r="A483" s="6"/>
      <c r="B483">
        <v>55</v>
      </c>
      <c r="C483">
        <v>57</v>
      </c>
      <c r="D483">
        <v>29</v>
      </c>
      <c r="E483">
        <v>18</v>
      </c>
      <c r="F483">
        <v>130</v>
      </c>
      <c r="G483">
        <v>160</v>
      </c>
      <c r="H483">
        <v>10</v>
      </c>
    </row>
    <row r="484" spans="1:8">
      <c r="A484" s="6"/>
      <c r="B484">
        <v>56</v>
      </c>
      <c r="C484">
        <v>63</v>
      </c>
      <c r="D484">
        <v>23</v>
      </c>
      <c r="E484">
        <v>2</v>
      </c>
      <c r="F484">
        <v>126</v>
      </c>
      <c r="G484">
        <v>156</v>
      </c>
      <c r="H484">
        <v>10</v>
      </c>
    </row>
    <row r="485" spans="1:8">
      <c r="A485" s="6"/>
      <c r="B485">
        <v>57</v>
      </c>
      <c r="C485">
        <v>53</v>
      </c>
      <c r="D485">
        <v>12</v>
      </c>
      <c r="E485">
        <v>6</v>
      </c>
      <c r="F485">
        <v>120</v>
      </c>
      <c r="G485">
        <v>150</v>
      </c>
      <c r="H485">
        <v>10</v>
      </c>
    </row>
    <row r="486" spans="1:8">
      <c r="A486" s="6"/>
      <c r="B486">
        <v>58</v>
      </c>
      <c r="C486">
        <v>32</v>
      </c>
      <c r="D486">
        <v>12</v>
      </c>
      <c r="E486">
        <v>7</v>
      </c>
      <c r="F486">
        <v>91</v>
      </c>
      <c r="G486">
        <v>121</v>
      </c>
      <c r="H486">
        <v>10</v>
      </c>
    </row>
    <row r="487" spans="1:8">
      <c r="A487" s="6"/>
      <c r="B487">
        <v>59</v>
      </c>
      <c r="C487">
        <v>36</v>
      </c>
      <c r="D487">
        <v>26</v>
      </c>
      <c r="E487">
        <v>18</v>
      </c>
      <c r="F487">
        <v>180</v>
      </c>
      <c r="G487">
        <v>210</v>
      </c>
      <c r="H487">
        <v>10</v>
      </c>
    </row>
    <row r="488" spans="1:8">
      <c r="A488" s="6"/>
      <c r="B488">
        <v>60</v>
      </c>
      <c r="C488">
        <v>21</v>
      </c>
      <c r="D488">
        <v>24</v>
      </c>
      <c r="E488">
        <v>28</v>
      </c>
      <c r="F488">
        <v>17</v>
      </c>
      <c r="G488">
        <v>47</v>
      </c>
      <c r="H488">
        <v>10</v>
      </c>
    </row>
    <row r="489" spans="1:8">
      <c r="A489" s="6"/>
      <c r="B489">
        <v>61</v>
      </c>
      <c r="C489">
        <v>17</v>
      </c>
      <c r="D489">
        <v>34</v>
      </c>
      <c r="E489">
        <v>3</v>
      </c>
      <c r="F489">
        <v>152</v>
      </c>
      <c r="G489">
        <v>182</v>
      </c>
      <c r="H489">
        <v>10</v>
      </c>
    </row>
    <row r="490" spans="1:8">
      <c r="A490" s="6"/>
      <c r="B490">
        <v>62</v>
      </c>
      <c r="C490">
        <v>12</v>
      </c>
      <c r="D490">
        <v>24</v>
      </c>
      <c r="E490">
        <v>13</v>
      </c>
      <c r="F490">
        <v>66</v>
      </c>
      <c r="G490">
        <v>96</v>
      </c>
      <c r="H490">
        <v>10</v>
      </c>
    </row>
    <row r="491" spans="1:8">
      <c r="A491" s="6"/>
      <c r="B491">
        <v>63</v>
      </c>
      <c r="C491">
        <v>24</v>
      </c>
      <c r="D491">
        <v>58</v>
      </c>
      <c r="E491">
        <v>19</v>
      </c>
      <c r="F491">
        <v>48</v>
      </c>
      <c r="G491">
        <v>78</v>
      </c>
      <c r="H491">
        <v>10</v>
      </c>
    </row>
    <row r="492" spans="1:8">
      <c r="A492" s="6"/>
      <c r="B492">
        <v>64</v>
      </c>
      <c r="C492">
        <v>27</v>
      </c>
      <c r="D492">
        <v>69</v>
      </c>
      <c r="E492">
        <v>10</v>
      </c>
      <c r="F492">
        <v>34</v>
      </c>
      <c r="G492">
        <v>64</v>
      </c>
      <c r="H492">
        <v>10</v>
      </c>
    </row>
    <row r="493" spans="1:8">
      <c r="A493" s="6"/>
      <c r="B493">
        <v>65</v>
      </c>
      <c r="C493">
        <v>15</v>
      </c>
      <c r="D493">
        <v>77</v>
      </c>
      <c r="E493">
        <v>9</v>
      </c>
      <c r="F493">
        <v>63</v>
      </c>
      <c r="G493">
        <v>93</v>
      </c>
      <c r="H493">
        <v>10</v>
      </c>
    </row>
    <row r="494" spans="1:8">
      <c r="A494" s="6"/>
      <c r="B494">
        <v>66</v>
      </c>
      <c r="C494">
        <v>62</v>
      </c>
      <c r="D494">
        <v>77</v>
      </c>
      <c r="E494">
        <v>20</v>
      </c>
      <c r="F494">
        <v>49</v>
      </c>
      <c r="G494">
        <v>79</v>
      </c>
      <c r="H494">
        <v>10</v>
      </c>
    </row>
    <row r="495" spans="1:8">
      <c r="A495" s="6"/>
      <c r="B495">
        <v>67</v>
      </c>
      <c r="C495">
        <v>49</v>
      </c>
      <c r="D495">
        <v>73</v>
      </c>
      <c r="E495">
        <v>25</v>
      </c>
      <c r="F495">
        <v>117</v>
      </c>
      <c r="G495">
        <v>147</v>
      </c>
      <c r="H495">
        <v>10</v>
      </c>
    </row>
    <row r="496" spans="1:8">
      <c r="A496" s="6"/>
      <c r="B496">
        <v>68</v>
      </c>
      <c r="C496">
        <v>67</v>
      </c>
      <c r="D496">
        <v>5</v>
      </c>
      <c r="E496">
        <v>25</v>
      </c>
      <c r="F496">
        <v>73</v>
      </c>
      <c r="G496">
        <v>103</v>
      </c>
      <c r="H496">
        <v>10</v>
      </c>
    </row>
    <row r="497" spans="1:8">
      <c r="A497" s="6"/>
      <c r="B497">
        <v>69</v>
      </c>
      <c r="C497">
        <v>56</v>
      </c>
      <c r="D497">
        <v>39</v>
      </c>
      <c r="E497">
        <v>36</v>
      </c>
      <c r="F497">
        <v>132</v>
      </c>
      <c r="G497">
        <v>162</v>
      </c>
      <c r="H497">
        <v>10</v>
      </c>
    </row>
    <row r="498" spans="1:8">
      <c r="A498" s="6"/>
      <c r="B498">
        <v>70</v>
      </c>
      <c r="C498">
        <v>37</v>
      </c>
      <c r="D498">
        <v>47</v>
      </c>
      <c r="E498">
        <v>6</v>
      </c>
      <c r="F498">
        <v>40</v>
      </c>
      <c r="G498">
        <v>70</v>
      </c>
      <c r="H498">
        <v>10</v>
      </c>
    </row>
    <row r="499" spans="1:8">
      <c r="A499" s="6"/>
      <c r="B499">
        <v>71</v>
      </c>
      <c r="C499">
        <v>37</v>
      </c>
      <c r="D499">
        <v>56</v>
      </c>
      <c r="E499">
        <v>5</v>
      </c>
      <c r="F499">
        <v>168</v>
      </c>
      <c r="G499">
        <v>198</v>
      </c>
      <c r="H499">
        <v>10</v>
      </c>
    </row>
    <row r="500" spans="1:8">
      <c r="A500" s="6"/>
      <c r="B500">
        <v>72</v>
      </c>
      <c r="C500">
        <v>57</v>
      </c>
      <c r="D500">
        <v>68</v>
      </c>
      <c r="E500">
        <v>15</v>
      </c>
      <c r="F500">
        <v>67</v>
      </c>
      <c r="G500">
        <v>97</v>
      </c>
      <c r="H500">
        <v>10</v>
      </c>
    </row>
    <row r="501" spans="1:8">
      <c r="A501" s="6"/>
      <c r="B501">
        <v>73</v>
      </c>
      <c r="C501">
        <v>47</v>
      </c>
      <c r="D501">
        <v>16</v>
      </c>
      <c r="E501">
        <v>25</v>
      </c>
      <c r="F501">
        <v>25</v>
      </c>
      <c r="G501">
        <v>55</v>
      </c>
      <c r="H501">
        <v>10</v>
      </c>
    </row>
    <row r="502" spans="1:8">
      <c r="A502" s="6"/>
      <c r="B502">
        <v>74</v>
      </c>
      <c r="C502">
        <v>44</v>
      </c>
      <c r="D502">
        <v>17</v>
      </c>
      <c r="E502">
        <v>9</v>
      </c>
      <c r="F502">
        <v>68</v>
      </c>
      <c r="G502">
        <v>98</v>
      </c>
      <c r="H502">
        <v>10</v>
      </c>
    </row>
    <row r="503" spans="1:8">
      <c r="A503" s="6"/>
      <c r="B503">
        <v>75</v>
      </c>
      <c r="C503">
        <v>46</v>
      </c>
      <c r="D503">
        <v>13</v>
      </c>
      <c r="E503">
        <v>8</v>
      </c>
      <c r="F503">
        <v>139</v>
      </c>
      <c r="G503">
        <v>169</v>
      </c>
      <c r="H503">
        <v>10</v>
      </c>
    </row>
    <row r="504" spans="1:8">
      <c r="A504" s="6"/>
      <c r="B504">
        <v>76</v>
      </c>
      <c r="C504">
        <v>49</v>
      </c>
      <c r="D504">
        <v>11</v>
      </c>
      <c r="E504">
        <v>18</v>
      </c>
      <c r="F504">
        <v>59</v>
      </c>
      <c r="G504">
        <v>89</v>
      </c>
      <c r="H504">
        <v>10</v>
      </c>
    </row>
    <row r="505" spans="1:8">
      <c r="A505" s="6"/>
      <c r="B505">
        <v>77</v>
      </c>
      <c r="C505">
        <v>49</v>
      </c>
      <c r="D505">
        <v>42</v>
      </c>
      <c r="E505">
        <v>13</v>
      </c>
      <c r="F505">
        <v>63</v>
      </c>
      <c r="G505">
        <v>93</v>
      </c>
      <c r="H505">
        <v>10</v>
      </c>
    </row>
    <row r="506" spans="1:8">
      <c r="A506" s="6"/>
      <c r="B506">
        <v>78</v>
      </c>
      <c r="C506">
        <v>53</v>
      </c>
      <c r="D506">
        <v>43</v>
      </c>
      <c r="E506">
        <v>14</v>
      </c>
      <c r="F506">
        <v>169</v>
      </c>
      <c r="G506">
        <v>199</v>
      </c>
      <c r="H506">
        <v>10</v>
      </c>
    </row>
    <row r="507" spans="1:8">
      <c r="A507" s="6"/>
      <c r="B507">
        <v>79</v>
      </c>
      <c r="C507">
        <v>61</v>
      </c>
      <c r="D507">
        <v>52</v>
      </c>
      <c r="E507">
        <v>3</v>
      </c>
      <c r="F507">
        <v>86</v>
      </c>
      <c r="G507">
        <v>116</v>
      </c>
      <c r="H507">
        <v>10</v>
      </c>
    </row>
    <row r="508" spans="1:8">
      <c r="A508" s="6"/>
      <c r="B508">
        <v>80</v>
      </c>
      <c r="C508">
        <v>57</v>
      </c>
      <c r="D508">
        <v>48</v>
      </c>
      <c r="E508">
        <v>23</v>
      </c>
      <c r="F508">
        <v>82</v>
      </c>
      <c r="G508">
        <v>112</v>
      </c>
      <c r="H508">
        <v>10</v>
      </c>
    </row>
    <row r="509" spans="1:8">
      <c r="A509" s="6"/>
      <c r="B509">
        <v>81</v>
      </c>
      <c r="C509">
        <v>56</v>
      </c>
      <c r="D509">
        <v>37</v>
      </c>
      <c r="E509">
        <v>6</v>
      </c>
      <c r="F509">
        <v>168</v>
      </c>
      <c r="G509">
        <v>198</v>
      </c>
      <c r="H509">
        <v>10</v>
      </c>
    </row>
    <row r="510" spans="1:8">
      <c r="A510" s="6"/>
      <c r="B510">
        <v>82</v>
      </c>
      <c r="C510">
        <v>55</v>
      </c>
      <c r="D510">
        <v>54</v>
      </c>
      <c r="E510">
        <v>26</v>
      </c>
      <c r="F510">
        <v>84</v>
      </c>
      <c r="G510">
        <v>114</v>
      </c>
      <c r="H510">
        <v>10</v>
      </c>
    </row>
    <row r="511" spans="1:8">
      <c r="A511" s="6"/>
      <c r="B511">
        <v>83</v>
      </c>
      <c r="C511">
        <v>15</v>
      </c>
      <c r="D511">
        <v>47</v>
      </c>
      <c r="E511">
        <v>16</v>
      </c>
      <c r="F511">
        <v>45</v>
      </c>
      <c r="G511">
        <v>75</v>
      </c>
      <c r="H511">
        <v>10</v>
      </c>
    </row>
    <row r="512" spans="1:8">
      <c r="A512" s="6"/>
      <c r="B512">
        <v>84</v>
      </c>
      <c r="C512">
        <v>14</v>
      </c>
      <c r="D512">
        <v>37</v>
      </c>
      <c r="E512">
        <v>11</v>
      </c>
      <c r="F512">
        <v>34</v>
      </c>
      <c r="G512">
        <v>64</v>
      </c>
      <c r="H512">
        <v>10</v>
      </c>
    </row>
    <row r="513" spans="1:8">
      <c r="A513" s="6"/>
      <c r="B513">
        <v>85</v>
      </c>
      <c r="C513">
        <v>11</v>
      </c>
      <c r="D513">
        <v>31</v>
      </c>
      <c r="E513">
        <v>7</v>
      </c>
      <c r="F513">
        <v>91</v>
      </c>
      <c r="G513">
        <v>121</v>
      </c>
      <c r="H513">
        <v>10</v>
      </c>
    </row>
    <row r="514" spans="1:8">
      <c r="A514" s="6"/>
      <c r="B514">
        <v>86</v>
      </c>
      <c r="C514">
        <v>16</v>
      </c>
      <c r="D514">
        <v>22</v>
      </c>
      <c r="E514">
        <v>41</v>
      </c>
      <c r="F514">
        <v>81</v>
      </c>
      <c r="G514">
        <v>111</v>
      </c>
      <c r="H514">
        <v>10</v>
      </c>
    </row>
    <row r="515" spans="1:8">
      <c r="A515" s="6"/>
      <c r="B515">
        <v>87</v>
      </c>
      <c r="C515">
        <v>4</v>
      </c>
      <c r="D515">
        <v>18</v>
      </c>
      <c r="E515">
        <v>35</v>
      </c>
      <c r="F515">
        <v>84</v>
      </c>
      <c r="G515">
        <v>114</v>
      </c>
      <c r="H515">
        <v>10</v>
      </c>
    </row>
    <row r="516" spans="1:8">
      <c r="A516" s="6"/>
      <c r="B516">
        <v>88</v>
      </c>
      <c r="C516">
        <v>28</v>
      </c>
      <c r="D516">
        <v>18</v>
      </c>
      <c r="E516">
        <v>26</v>
      </c>
      <c r="F516">
        <v>83</v>
      </c>
      <c r="G516">
        <v>113</v>
      </c>
      <c r="H516">
        <v>10</v>
      </c>
    </row>
    <row r="517" spans="1:8">
      <c r="A517" s="6"/>
      <c r="B517">
        <v>89</v>
      </c>
      <c r="C517">
        <v>26</v>
      </c>
      <c r="D517">
        <v>52</v>
      </c>
      <c r="E517">
        <v>9</v>
      </c>
      <c r="F517">
        <v>64</v>
      </c>
      <c r="G517">
        <v>94</v>
      </c>
      <c r="H517">
        <v>10</v>
      </c>
    </row>
    <row r="518" spans="1:8">
      <c r="A518" s="6"/>
      <c r="B518">
        <v>90</v>
      </c>
      <c r="C518">
        <v>26</v>
      </c>
      <c r="D518">
        <v>35</v>
      </c>
      <c r="E518">
        <v>15</v>
      </c>
      <c r="F518">
        <v>166</v>
      </c>
      <c r="G518">
        <v>196</v>
      </c>
      <c r="H518">
        <v>10</v>
      </c>
    </row>
    <row r="519" spans="1:8">
      <c r="A519" s="6"/>
      <c r="B519">
        <v>91</v>
      </c>
      <c r="C519">
        <v>31</v>
      </c>
      <c r="D519">
        <v>67</v>
      </c>
      <c r="E519">
        <v>3</v>
      </c>
      <c r="F519">
        <v>85</v>
      </c>
      <c r="G519">
        <v>115</v>
      </c>
      <c r="H519">
        <v>10</v>
      </c>
    </row>
    <row r="520" spans="1:8">
      <c r="A520" s="6"/>
      <c r="B520">
        <v>92</v>
      </c>
      <c r="C520">
        <v>15</v>
      </c>
      <c r="D520">
        <v>19</v>
      </c>
      <c r="E520">
        <v>1</v>
      </c>
      <c r="F520">
        <v>150</v>
      </c>
      <c r="G520">
        <v>180</v>
      </c>
      <c r="H520">
        <v>10</v>
      </c>
    </row>
    <row r="521" spans="1:8">
      <c r="A521" s="6"/>
      <c r="B521">
        <v>93</v>
      </c>
      <c r="C521">
        <v>22</v>
      </c>
      <c r="D521">
        <v>22</v>
      </c>
      <c r="E521">
        <v>2</v>
      </c>
      <c r="F521">
        <v>18</v>
      </c>
      <c r="G521">
        <v>48</v>
      </c>
      <c r="H521">
        <v>10</v>
      </c>
    </row>
    <row r="522" spans="1:8">
      <c r="A522" s="6"/>
      <c r="B522">
        <v>94</v>
      </c>
      <c r="C522">
        <v>18</v>
      </c>
      <c r="D522">
        <v>24</v>
      </c>
      <c r="E522">
        <v>22</v>
      </c>
      <c r="F522">
        <v>169</v>
      </c>
      <c r="G522">
        <v>199</v>
      </c>
      <c r="H522">
        <v>10</v>
      </c>
    </row>
    <row r="523" spans="1:8">
      <c r="A523" s="6"/>
      <c r="B523">
        <v>95</v>
      </c>
      <c r="C523">
        <v>26</v>
      </c>
      <c r="D523">
        <v>27</v>
      </c>
      <c r="E523">
        <v>27</v>
      </c>
      <c r="F523">
        <v>90</v>
      </c>
      <c r="G523">
        <v>120</v>
      </c>
      <c r="H523">
        <v>10</v>
      </c>
    </row>
    <row r="524" spans="1:8">
      <c r="A524" s="6"/>
      <c r="B524">
        <v>96</v>
      </c>
      <c r="C524">
        <v>25</v>
      </c>
      <c r="D524">
        <v>24</v>
      </c>
      <c r="E524">
        <v>20</v>
      </c>
      <c r="F524">
        <v>29</v>
      </c>
      <c r="G524">
        <v>59</v>
      </c>
      <c r="H524">
        <v>10</v>
      </c>
    </row>
    <row r="525" spans="1:8">
      <c r="A525" s="6"/>
      <c r="B525">
        <v>97</v>
      </c>
      <c r="C525">
        <v>22</v>
      </c>
      <c r="D525">
        <v>27</v>
      </c>
      <c r="E525">
        <v>11</v>
      </c>
      <c r="F525">
        <v>125</v>
      </c>
      <c r="G525">
        <v>155</v>
      </c>
      <c r="H525">
        <v>10</v>
      </c>
    </row>
    <row r="526" spans="1:8">
      <c r="A526" s="6"/>
      <c r="B526">
        <v>98</v>
      </c>
      <c r="C526">
        <v>25</v>
      </c>
      <c r="D526">
        <v>21</v>
      </c>
      <c r="E526">
        <v>12</v>
      </c>
      <c r="F526">
        <v>123</v>
      </c>
      <c r="G526">
        <v>153</v>
      </c>
      <c r="H526">
        <v>10</v>
      </c>
    </row>
    <row r="527" spans="1:8">
      <c r="A527" s="6"/>
      <c r="B527">
        <v>99</v>
      </c>
      <c r="C527">
        <v>19</v>
      </c>
      <c r="D527">
        <v>21</v>
      </c>
      <c r="E527">
        <v>10</v>
      </c>
      <c r="F527">
        <v>48</v>
      </c>
      <c r="G527">
        <v>78</v>
      </c>
      <c r="H527">
        <v>10</v>
      </c>
    </row>
    <row r="528" spans="1:8">
      <c r="A528" s="6"/>
      <c r="B528">
        <v>100</v>
      </c>
      <c r="C528">
        <v>20</v>
      </c>
      <c r="D528">
        <v>26</v>
      </c>
      <c r="E528">
        <v>9</v>
      </c>
      <c r="F528">
        <v>73</v>
      </c>
      <c r="G528">
        <v>103</v>
      </c>
      <c r="H528">
        <v>10</v>
      </c>
    </row>
    <row r="529" spans="1:8">
      <c r="B529">
        <v>101</v>
      </c>
      <c r="C529">
        <v>18</v>
      </c>
      <c r="D529">
        <v>18</v>
      </c>
      <c r="E529">
        <v>17</v>
      </c>
      <c r="F529">
        <v>165</v>
      </c>
      <c r="G529">
        <v>195</v>
      </c>
      <c r="H529">
        <v>10</v>
      </c>
    </row>
    <row r="531" spans="1:8" ht="22.8">
      <c r="A531" s="8" t="s">
        <v>18</v>
      </c>
    </row>
    <row r="532" spans="1:8">
      <c r="A532" s="4"/>
    </row>
    <row r="533" spans="1:8">
      <c r="A533" s="6"/>
      <c r="B533" t="s">
        <v>32</v>
      </c>
      <c r="C533" t="s">
        <v>26</v>
      </c>
      <c r="D533" t="s">
        <v>27</v>
      </c>
      <c r="E533" t="s">
        <v>28</v>
      </c>
      <c r="F533" t="s">
        <v>29</v>
      </c>
      <c r="G533" t="s">
        <v>30</v>
      </c>
      <c r="H533" t="s">
        <v>31</v>
      </c>
    </row>
    <row r="534" spans="1:8">
      <c r="A534" s="6"/>
      <c r="B534">
        <v>1</v>
      </c>
      <c r="C534">
        <v>35</v>
      </c>
      <c r="D534">
        <v>35</v>
      </c>
      <c r="E534">
        <v>0</v>
      </c>
      <c r="F534">
        <v>0</v>
      </c>
      <c r="G534">
        <v>230</v>
      </c>
      <c r="H534">
        <v>0</v>
      </c>
    </row>
    <row r="535" spans="1:8">
      <c r="A535" s="6"/>
      <c r="B535">
        <v>2</v>
      </c>
      <c r="C535">
        <v>41</v>
      </c>
      <c r="D535">
        <v>49</v>
      </c>
      <c r="E535">
        <v>10</v>
      </c>
      <c r="F535">
        <v>0</v>
      </c>
      <c r="G535">
        <v>204</v>
      </c>
      <c r="H535">
        <v>10</v>
      </c>
    </row>
    <row r="536" spans="1:8">
      <c r="A536" s="6"/>
      <c r="B536">
        <v>3</v>
      </c>
      <c r="C536">
        <v>35</v>
      </c>
      <c r="D536">
        <v>17</v>
      </c>
      <c r="E536">
        <v>7</v>
      </c>
      <c r="F536">
        <v>0</v>
      </c>
      <c r="G536">
        <v>202</v>
      </c>
      <c r="H536">
        <v>10</v>
      </c>
    </row>
    <row r="537" spans="1:8">
      <c r="A537" s="6"/>
      <c r="B537">
        <v>4</v>
      </c>
      <c r="C537">
        <v>55</v>
      </c>
      <c r="D537">
        <v>45</v>
      </c>
      <c r="E537">
        <v>13</v>
      </c>
      <c r="F537">
        <v>0</v>
      </c>
      <c r="G537">
        <v>197</v>
      </c>
      <c r="H537">
        <v>10</v>
      </c>
    </row>
    <row r="538" spans="1:8">
      <c r="A538" s="6"/>
      <c r="B538">
        <v>5</v>
      </c>
      <c r="C538">
        <v>55</v>
      </c>
      <c r="D538">
        <v>20</v>
      </c>
      <c r="E538">
        <v>19</v>
      </c>
      <c r="F538">
        <v>139</v>
      </c>
      <c r="G538">
        <v>169</v>
      </c>
      <c r="H538">
        <v>10</v>
      </c>
    </row>
    <row r="539" spans="1:8">
      <c r="A539" s="6"/>
      <c r="B539">
        <v>6</v>
      </c>
      <c r="C539">
        <v>15</v>
      </c>
      <c r="D539">
        <v>30</v>
      </c>
      <c r="E539">
        <v>26</v>
      </c>
      <c r="F539">
        <v>0</v>
      </c>
      <c r="G539">
        <v>199</v>
      </c>
      <c r="H539">
        <v>10</v>
      </c>
    </row>
    <row r="540" spans="1:8">
      <c r="A540" s="6"/>
      <c r="B540">
        <v>7</v>
      </c>
      <c r="C540">
        <v>25</v>
      </c>
      <c r="D540">
        <v>30</v>
      </c>
      <c r="E540">
        <v>3</v>
      </c>
      <c r="F540">
        <v>89</v>
      </c>
      <c r="G540">
        <v>119</v>
      </c>
      <c r="H540">
        <v>10</v>
      </c>
    </row>
    <row r="541" spans="1:8">
      <c r="A541" s="6"/>
      <c r="B541">
        <v>8</v>
      </c>
      <c r="C541">
        <v>20</v>
      </c>
      <c r="D541">
        <v>50</v>
      </c>
      <c r="E541">
        <v>5</v>
      </c>
      <c r="F541">
        <v>0</v>
      </c>
      <c r="G541">
        <v>198</v>
      </c>
      <c r="H541">
        <v>10</v>
      </c>
    </row>
    <row r="542" spans="1:8">
      <c r="A542" s="6"/>
      <c r="B542">
        <v>9</v>
      </c>
      <c r="C542">
        <v>10</v>
      </c>
      <c r="D542">
        <v>43</v>
      </c>
      <c r="E542">
        <v>9</v>
      </c>
      <c r="F542">
        <v>85</v>
      </c>
      <c r="G542">
        <v>115</v>
      </c>
      <c r="H542">
        <v>10</v>
      </c>
    </row>
    <row r="543" spans="1:8">
      <c r="A543" s="6"/>
      <c r="B543">
        <v>10</v>
      </c>
      <c r="C543">
        <v>55</v>
      </c>
      <c r="D543">
        <v>60</v>
      </c>
      <c r="E543">
        <v>16</v>
      </c>
      <c r="F543">
        <v>87</v>
      </c>
      <c r="G543">
        <v>117</v>
      </c>
      <c r="H543">
        <v>10</v>
      </c>
    </row>
    <row r="544" spans="1:8">
      <c r="A544" s="6"/>
      <c r="B544">
        <v>11</v>
      </c>
      <c r="C544">
        <v>30</v>
      </c>
      <c r="D544">
        <v>60</v>
      </c>
      <c r="E544">
        <v>16</v>
      </c>
      <c r="F544">
        <v>114</v>
      </c>
      <c r="G544">
        <v>144</v>
      </c>
      <c r="H544">
        <v>10</v>
      </c>
    </row>
    <row r="545" spans="1:8">
      <c r="A545" s="6"/>
      <c r="B545">
        <v>12</v>
      </c>
      <c r="C545">
        <v>20</v>
      </c>
      <c r="D545">
        <v>65</v>
      </c>
      <c r="E545">
        <v>12</v>
      </c>
      <c r="F545">
        <v>57</v>
      </c>
      <c r="G545">
        <v>87</v>
      </c>
      <c r="H545">
        <v>10</v>
      </c>
    </row>
    <row r="546" spans="1:8">
      <c r="A546" s="6"/>
      <c r="B546">
        <v>13</v>
      </c>
      <c r="C546">
        <v>50</v>
      </c>
      <c r="D546">
        <v>35</v>
      </c>
      <c r="E546">
        <v>19</v>
      </c>
      <c r="F546">
        <v>0</v>
      </c>
      <c r="G546">
        <v>205</v>
      </c>
      <c r="H546">
        <v>10</v>
      </c>
    </row>
    <row r="547" spans="1:8">
      <c r="A547" s="6"/>
      <c r="B547">
        <v>14</v>
      </c>
      <c r="C547">
        <v>30</v>
      </c>
      <c r="D547">
        <v>25</v>
      </c>
      <c r="E547">
        <v>23</v>
      </c>
      <c r="F547">
        <v>149</v>
      </c>
      <c r="G547">
        <v>179</v>
      </c>
      <c r="H547">
        <v>10</v>
      </c>
    </row>
    <row r="548" spans="1:8">
      <c r="A548" s="6"/>
      <c r="B548">
        <v>15</v>
      </c>
      <c r="C548">
        <v>15</v>
      </c>
      <c r="D548">
        <v>10</v>
      </c>
      <c r="E548">
        <v>20</v>
      </c>
      <c r="F548">
        <v>32</v>
      </c>
      <c r="G548">
        <v>62</v>
      </c>
      <c r="H548">
        <v>10</v>
      </c>
    </row>
    <row r="549" spans="1:8">
      <c r="A549" s="6"/>
      <c r="B549">
        <v>16</v>
      </c>
      <c r="C549">
        <v>30</v>
      </c>
      <c r="D549">
        <v>5</v>
      </c>
      <c r="E549">
        <v>8</v>
      </c>
      <c r="F549">
        <v>51</v>
      </c>
      <c r="G549">
        <v>81</v>
      </c>
      <c r="H549">
        <v>10</v>
      </c>
    </row>
    <row r="550" spans="1:8">
      <c r="A550" s="6"/>
      <c r="B550">
        <v>17</v>
      </c>
      <c r="C550">
        <v>10</v>
      </c>
      <c r="D550">
        <v>20</v>
      </c>
      <c r="E550">
        <v>19</v>
      </c>
      <c r="F550">
        <v>65</v>
      </c>
      <c r="G550">
        <v>95</v>
      </c>
      <c r="H550">
        <v>10</v>
      </c>
    </row>
    <row r="551" spans="1:8">
      <c r="A551" s="6"/>
      <c r="B551">
        <v>18</v>
      </c>
      <c r="C551">
        <v>5</v>
      </c>
      <c r="D551">
        <v>30</v>
      </c>
      <c r="E551">
        <v>2</v>
      </c>
      <c r="F551">
        <v>147</v>
      </c>
      <c r="G551">
        <v>177</v>
      </c>
      <c r="H551">
        <v>10</v>
      </c>
    </row>
    <row r="552" spans="1:8">
      <c r="A552" s="6"/>
      <c r="B552">
        <v>19</v>
      </c>
      <c r="C552">
        <v>20</v>
      </c>
      <c r="D552">
        <v>40</v>
      </c>
      <c r="E552">
        <v>12</v>
      </c>
      <c r="F552">
        <v>77</v>
      </c>
      <c r="G552">
        <v>107</v>
      </c>
      <c r="H552">
        <v>10</v>
      </c>
    </row>
    <row r="553" spans="1:8">
      <c r="A553" s="6"/>
      <c r="B553">
        <v>20</v>
      </c>
      <c r="C553">
        <v>15</v>
      </c>
      <c r="D553">
        <v>60</v>
      </c>
      <c r="E553">
        <v>17</v>
      </c>
      <c r="F553">
        <v>66</v>
      </c>
      <c r="G553">
        <v>96</v>
      </c>
      <c r="H553">
        <v>10</v>
      </c>
    </row>
    <row r="554" spans="1:8">
      <c r="A554" s="6"/>
      <c r="B554">
        <v>21</v>
      </c>
      <c r="C554">
        <v>45</v>
      </c>
      <c r="D554">
        <v>65</v>
      </c>
      <c r="E554">
        <v>9</v>
      </c>
      <c r="F554">
        <v>116</v>
      </c>
      <c r="G554">
        <v>146</v>
      </c>
      <c r="H554">
        <v>10</v>
      </c>
    </row>
    <row r="555" spans="1:8">
      <c r="A555" s="6"/>
      <c r="B555">
        <v>22</v>
      </c>
      <c r="C555">
        <v>45</v>
      </c>
      <c r="D555">
        <v>20</v>
      </c>
      <c r="E555">
        <v>11</v>
      </c>
      <c r="F555">
        <v>0</v>
      </c>
      <c r="G555">
        <v>201</v>
      </c>
      <c r="H555">
        <v>10</v>
      </c>
    </row>
    <row r="556" spans="1:8">
      <c r="A556" s="6"/>
      <c r="B556">
        <v>23</v>
      </c>
      <c r="C556">
        <v>45</v>
      </c>
      <c r="D556">
        <v>10</v>
      </c>
      <c r="E556">
        <v>18</v>
      </c>
      <c r="F556">
        <v>87</v>
      </c>
      <c r="G556">
        <v>117</v>
      </c>
      <c r="H556">
        <v>10</v>
      </c>
    </row>
    <row r="557" spans="1:8">
      <c r="A557" s="6"/>
      <c r="B557">
        <v>24</v>
      </c>
      <c r="C557">
        <v>55</v>
      </c>
      <c r="D557">
        <v>5</v>
      </c>
      <c r="E557">
        <v>29</v>
      </c>
      <c r="F557">
        <v>58</v>
      </c>
      <c r="G557">
        <v>88</v>
      </c>
      <c r="H557">
        <v>10</v>
      </c>
    </row>
    <row r="558" spans="1:8">
      <c r="A558" s="6"/>
      <c r="B558">
        <v>25</v>
      </c>
      <c r="C558">
        <v>65</v>
      </c>
      <c r="D558">
        <v>35</v>
      </c>
      <c r="E558">
        <v>3</v>
      </c>
      <c r="F558">
        <v>143</v>
      </c>
      <c r="G558">
        <v>173</v>
      </c>
      <c r="H558">
        <v>10</v>
      </c>
    </row>
    <row r="559" spans="1:8">
      <c r="A559" s="6"/>
      <c r="B559">
        <v>26</v>
      </c>
      <c r="C559">
        <v>65</v>
      </c>
      <c r="D559">
        <v>20</v>
      </c>
      <c r="E559">
        <v>6</v>
      </c>
      <c r="F559">
        <v>156</v>
      </c>
      <c r="G559">
        <v>186</v>
      </c>
      <c r="H559">
        <v>10</v>
      </c>
    </row>
    <row r="560" spans="1:8">
      <c r="A560" s="6"/>
      <c r="B560">
        <v>27</v>
      </c>
      <c r="C560">
        <v>45</v>
      </c>
      <c r="D560">
        <v>30</v>
      </c>
      <c r="E560">
        <v>17</v>
      </c>
      <c r="F560">
        <v>0</v>
      </c>
      <c r="G560">
        <v>208</v>
      </c>
      <c r="H560">
        <v>10</v>
      </c>
    </row>
    <row r="561" spans="1:8">
      <c r="A561" s="6"/>
      <c r="B561">
        <v>28</v>
      </c>
      <c r="C561">
        <v>35</v>
      </c>
      <c r="D561">
        <v>40</v>
      </c>
      <c r="E561">
        <v>16</v>
      </c>
      <c r="F561">
        <v>27</v>
      </c>
      <c r="G561">
        <v>57</v>
      </c>
      <c r="H561">
        <v>10</v>
      </c>
    </row>
    <row r="562" spans="1:8">
      <c r="A562" s="6"/>
      <c r="B562">
        <v>29</v>
      </c>
      <c r="C562">
        <v>41</v>
      </c>
      <c r="D562">
        <v>37</v>
      </c>
      <c r="E562">
        <v>16</v>
      </c>
      <c r="F562">
        <v>29</v>
      </c>
      <c r="G562">
        <v>59</v>
      </c>
      <c r="H562">
        <v>10</v>
      </c>
    </row>
    <row r="563" spans="1:8">
      <c r="A563" s="6"/>
      <c r="B563">
        <v>30</v>
      </c>
      <c r="C563">
        <v>64</v>
      </c>
      <c r="D563">
        <v>42</v>
      </c>
      <c r="E563">
        <v>9</v>
      </c>
      <c r="F563">
        <v>53</v>
      </c>
      <c r="G563">
        <v>83</v>
      </c>
      <c r="H563">
        <v>10</v>
      </c>
    </row>
    <row r="564" spans="1:8">
      <c r="A564" s="6"/>
      <c r="B564">
        <v>31</v>
      </c>
      <c r="C564">
        <v>40</v>
      </c>
      <c r="D564">
        <v>60</v>
      </c>
      <c r="E564">
        <v>21</v>
      </c>
      <c r="F564">
        <v>61</v>
      </c>
      <c r="G564">
        <v>91</v>
      </c>
      <c r="H564">
        <v>10</v>
      </c>
    </row>
    <row r="565" spans="1:8">
      <c r="A565" s="6"/>
      <c r="B565">
        <v>32</v>
      </c>
      <c r="C565">
        <v>31</v>
      </c>
      <c r="D565">
        <v>52</v>
      </c>
      <c r="E565">
        <v>27</v>
      </c>
      <c r="F565">
        <v>0</v>
      </c>
      <c r="G565">
        <v>202</v>
      </c>
      <c r="H565">
        <v>10</v>
      </c>
    </row>
    <row r="566" spans="1:8">
      <c r="A566" s="6"/>
      <c r="B566">
        <v>33</v>
      </c>
      <c r="C566">
        <v>35</v>
      </c>
      <c r="D566">
        <v>69</v>
      </c>
      <c r="E566">
        <v>23</v>
      </c>
      <c r="F566">
        <v>131</v>
      </c>
      <c r="G566">
        <v>161</v>
      </c>
      <c r="H566">
        <v>10</v>
      </c>
    </row>
    <row r="567" spans="1:8">
      <c r="A567" s="6"/>
      <c r="B567">
        <v>34</v>
      </c>
      <c r="C567">
        <v>53</v>
      </c>
      <c r="D567">
        <v>52</v>
      </c>
      <c r="E567">
        <v>11</v>
      </c>
      <c r="F567">
        <v>27</v>
      </c>
      <c r="G567">
        <v>57</v>
      </c>
      <c r="H567">
        <v>10</v>
      </c>
    </row>
    <row r="568" spans="1:8">
      <c r="A568" s="6"/>
      <c r="B568">
        <v>35</v>
      </c>
      <c r="C568">
        <v>65</v>
      </c>
      <c r="D568">
        <v>55</v>
      </c>
      <c r="E568">
        <v>14</v>
      </c>
      <c r="F568">
        <v>0</v>
      </c>
      <c r="G568">
        <v>183</v>
      </c>
      <c r="H568">
        <v>10</v>
      </c>
    </row>
    <row r="569" spans="1:8">
      <c r="A569" s="6"/>
      <c r="B569">
        <v>36</v>
      </c>
      <c r="C569">
        <v>63</v>
      </c>
      <c r="D569">
        <v>65</v>
      </c>
      <c r="E569">
        <v>8</v>
      </c>
      <c r="F569">
        <v>133</v>
      </c>
      <c r="G569">
        <v>163</v>
      </c>
      <c r="H569">
        <v>10</v>
      </c>
    </row>
    <row r="570" spans="1:8">
      <c r="A570" s="6"/>
      <c r="B570">
        <v>37</v>
      </c>
      <c r="C570">
        <v>2</v>
      </c>
      <c r="D570">
        <v>60</v>
      </c>
      <c r="E570">
        <v>5</v>
      </c>
      <c r="F570">
        <v>41</v>
      </c>
      <c r="G570">
        <v>71</v>
      </c>
      <c r="H570">
        <v>10</v>
      </c>
    </row>
    <row r="571" spans="1:8">
      <c r="A571" s="6"/>
      <c r="B571">
        <v>38</v>
      </c>
      <c r="C571">
        <v>20</v>
      </c>
      <c r="D571">
        <v>20</v>
      </c>
      <c r="E571">
        <v>8</v>
      </c>
      <c r="F571">
        <v>0</v>
      </c>
      <c r="G571">
        <v>198</v>
      </c>
      <c r="H571">
        <v>10</v>
      </c>
    </row>
    <row r="572" spans="1:8">
      <c r="A572" s="6"/>
      <c r="B572">
        <v>39</v>
      </c>
      <c r="C572">
        <v>5</v>
      </c>
      <c r="D572">
        <v>5</v>
      </c>
      <c r="E572">
        <v>16</v>
      </c>
      <c r="F572">
        <v>73</v>
      </c>
      <c r="G572">
        <v>103</v>
      </c>
      <c r="H572">
        <v>10</v>
      </c>
    </row>
    <row r="573" spans="1:8">
      <c r="A573" s="6"/>
      <c r="B573">
        <v>40</v>
      </c>
      <c r="C573">
        <v>60</v>
      </c>
      <c r="D573">
        <v>12</v>
      </c>
      <c r="E573">
        <v>31</v>
      </c>
      <c r="F573">
        <v>34</v>
      </c>
      <c r="G573">
        <v>64</v>
      </c>
      <c r="H573">
        <v>10</v>
      </c>
    </row>
    <row r="574" spans="1:8">
      <c r="A574" s="6"/>
      <c r="B574">
        <v>41</v>
      </c>
      <c r="C574">
        <v>40</v>
      </c>
      <c r="D574">
        <v>25</v>
      </c>
      <c r="E574">
        <v>9</v>
      </c>
      <c r="F574">
        <v>75</v>
      </c>
      <c r="G574">
        <v>105</v>
      </c>
      <c r="H574">
        <v>10</v>
      </c>
    </row>
    <row r="575" spans="1:8">
      <c r="A575" s="6"/>
      <c r="B575">
        <v>42</v>
      </c>
      <c r="C575">
        <v>42</v>
      </c>
      <c r="D575">
        <v>7</v>
      </c>
      <c r="E575">
        <v>5</v>
      </c>
      <c r="F575">
        <v>87</v>
      </c>
      <c r="G575">
        <v>117</v>
      </c>
      <c r="H575">
        <v>10</v>
      </c>
    </row>
    <row r="576" spans="1:8">
      <c r="A576" s="6"/>
      <c r="B576">
        <v>43</v>
      </c>
      <c r="C576">
        <v>24</v>
      </c>
      <c r="D576">
        <v>12</v>
      </c>
      <c r="E576">
        <v>5</v>
      </c>
      <c r="F576">
        <v>25</v>
      </c>
      <c r="G576">
        <v>55</v>
      </c>
      <c r="H576">
        <v>10</v>
      </c>
    </row>
    <row r="577" spans="1:8">
      <c r="A577" s="6"/>
      <c r="B577">
        <v>44</v>
      </c>
      <c r="C577">
        <v>23</v>
      </c>
      <c r="D577">
        <v>3</v>
      </c>
      <c r="E577">
        <v>7</v>
      </c>
      <c r="F577">
        <v>122</v>
      </c>
      <c r="G577">
        <v>152</v>
      </c>
      <c r="H577">
        <v>10</v>
      </c>
    </row>
    <row r="578" spans="1:8">
      <c r="A578" s="6"/>
      <c r="B578">
        <v>45</v>
      </c>
      <c r="C578">
        <v>11</v>
      </c>
      <c r="D578">
        <v>14</v>
      </c>
      <c r="E578">
        <v>18</v>
      </c>
      <c r="F578">
        <v>59</v>
      </c>
      <c r="G578">
        <v>89</v>
      </c>
      <c r="H578">
        <v>10</v>
      </c>
    </row>
    <row r="579" spans="1:8">
      <c r="A579" s="6"/>
      <c r="B579">
        <v>46</v>
      </c>
      <c r="C579">
        <v>6</v>
      </c>
      <c r="D579">
        <v>38</v>
      </c>
      <c r="E579">
        <v>16</v>
      </c>
      <c r="F579">
        <v>29</v>
      </c>
      <c r="G579">
        <v>59</v>
      </c>
      <c r="H579">
        <v>10</v>
      </c>
    </row>
    <row r="580" spans="1:8">
      <c r="A580" s="6"/>
      <c r="B580">
        <v>47</v>
      </c>
      <c r="C580">
        <v>2</v>
      </c>
      <c r="D580">
        <v>48</v>
      </c>
      <c r="E580">
        <v>1</v>
      </c>
      <c r="F580">
        <v>107</v>
      </c>
      <c r="G580">
        <v>137</v>
      </c>
      <c r="H580">
        <v>10</v>
      </c>
    </row>
    <row r="581" spans="1:8">
      <c r="A581" s="6"/>
      <c r="B581">
        <v>48</v>
      </c>
      <c r="C581">
        <v>8</v>
      </c>
      <c r="D581">
        <v>56</v>
      </c>
      <c r="E581">
        <v>27</v>
      </c>
      <c r="F581">
        <v>41</v>
      </c>
      <c r="G581">
        <v>71</v>
      </c>
      <c r="H581">
        <v>10</v>
      </c>
    </row>
    <row r="582" spans="1:8">
      <c r="A582" s="6"/>
      <c r="B582">
        <v>49</v>
      </c>
      <c r="C582">
        <v>13</v>
      </c>
      <c r="D582">
        <v>52</v>
      </c>
      <c r="E582">
        <v>36</v>
      </c>
      <c r="F582">
        <v>0</v>
      </c>
      <c r="G582">
        <v>192</v>
      </c>
      <c r="H582">
        <v>10</v>
      </c>
    </row>
    <row r="583" spans="1:8">
      <c r="A583" s="6"/>
      <c r="B583">
        <v>50</v>
      </c>
      <c r="C583">
        <v>6</v>
      </c>
      <c r="D583">
        <v>68</v>
      </c>
      <c r="E583">
        <v>30</v>
      </c>
      <c r="F583">
        <v>98</v>
      </c>
      <c r="G583">
        <v>128</v>
      </c>
      <c r="H583">
        <v>10</v>
      </c>
    </row>
    <row r="584" spans="1:8">
      <c r="A584" s="6"/>
      <c r="B584">
        <v>51</v>
      </c>
      <c r="C584">
        <v>47</v>
      </c>
      <c r="D584">
        <v>47</v>
      </c>
      <c r="E584">
        <v>13</v>
      </c>
      <c r="F584">
        <v>0</v>
      </c>
      <c r="G584">
        <v>203</v>
      </c>
      <c r="H584">
        <v>10</v>
      </c>
    </row>
    <row r="585" spans="1:8">
      <c r="A585" s="6"/>
      <c r="B585">
        <v>52</v>
      </c>
      <c r="C585">
        <v>49</v>
      </c>
      <c r="D585">
        <v>58</v>
      </c>
      <c r="E585">
        <v>10</v>
      </c>
      <c r="F585">
        <v>78</v>
      </c>
      <c r="G585">
        <v>108</v>
      </c>
      <c r="H585">
        <v>10</v>
      </c>
    </row>
    <row r="586" spans="1:8">
      <c r="A586" s="6"/>
      <c r="B586">
        <v>53</v>
      </c>
      <c r="C586">
        <v>27</v>
      </c>
      <c r="D586">
        <v>43</v>
      </c>
      <c r="E586">
        <v>9</v>
      </c>
      <c r="F586">
        <v>0</v>
      </c>
      <c r="G586">
        <v>208</v>
      </c>
      <c r="H586">
        <v>10</v>
      </c>
    </row>
    <row r="587" spans="1:8">
      <c r="A587" s="6"/>
      <c r="B587">
        <v>54</v>
      </c>
      <c r="C587">
        <v>37</v>
      </c>
      <c r="D587">
        <v>31</v>
      </c>
      <c r="E587">
        <v>14</v>
      </c>
      <c r="F587">
        <v>85</v>
      </c>
      <c r="G587">
        <v>115</v>
      </c>
      <c r="H587">
        <v>10</v>
      </c>
    </row>
    <row r="588" spans="1:8">
      <c r="A588" s="6"/>
      <c r="B588">
        <v>55</v>
      </c>
      <c r="C588">
        <v>57</v>
      </c>
      <c r="D588">
        <v>29</v>
      </c>
      <c r="E588">
        <v>18</v>
      </c>
      <c r="F588">
        <v>130</v>
      </c>
      <c r="G588">
        <v>160</v>
      </c>
      <c r="H588">
        <v>10</v>
      </c>
    </row>
    <row r="589" spans="1:8">
      <c r="A589" s="6"/>
      <c r="B589">
        <v>56</v>
      </c>
      <c r="C589">
        <v>63</v>
      </c>
      <c r="D589">
        <v>23</v>
      </c>
      <c r="E589">
        <v>2</v>
      </c>
      <c r="F589">
        <v>126</v>
      </c>
      <c r="G589">
        <v>156</v>
      </c>
      <c r="H589">
        <v>10</v>
      </c>
    </row>
    <row r="590" spans="1:8">
      <c r="A590" s="6"/>
      <c r="B590">
        <v>57</v>
      </c>
      <c r="C590">
        <v>53</v>
      </c>
      <c r="D590">
        <v>12</v>
      </c>
      <c r="E590">
        <v>6</v>
      </c>
      <c r="F590">
        <v>120</v>
      </c>
      <c r="G590">
        <v>150</v>
      </c>
      <c r="H590">
        <v>10</v>
      </c>
    </row>
    <row r="591" spans="1:8">
      <c r="A591" s="6"/>
      <c r="B591">
        <v>58</v>
      </c>
      <c r="C591">
        <v>32</v>
      </c>
      <c r="D591">
        <v>12</v>
      </c>
      <c r="E591">
        <v>7</v>
      </c>
      <c r="F591">
        <v>91</v>
      </c>
      <c r="G591">
        <v>121</v>
      </c>
      <c r="H591">
        <v>10</v>
      </c>
    </row>
    <row r="592" spans="1:8">
      <c r="A592" s="6"/>
      <c r="B592">
        <v>59</v>
      </c>
      <c r="C592">
        <v>36</v>
      </c>
      <c r="D592">
        <v>26</v>
      </c>
      <c r="E592">
        <v>18</v>
      </c>
      <c r="F592">
        <v>180</v>
      </c>
      <c r="G592">
        <v>210</v>
      </c>
      <c r="H592">
        <v>10</v>
      </c>
    </row>
    <row r="593" spans="1:8">
      <c r="A593" s="6"/>
      <c r="B593">
        <v>60</v>
      </c>
      <c r="C593">
        <v>21</v>
      </c>
      <c r="D593">
        <v>24</v>
      </c>
      <c r="E593">
        <v>28</v>
      </c>
      <c r="F593">
        <v>0</v>
      </c>
      <c r="G593">
        <v>202</v>
      </c>
      <c r="H593">
        <v>10</v>
      </c>
    </row>
    <row r="594" spans="1:8">
      <c r="A594" s="6"/>
      <c r="B594">
        <v>61</v>
      </c>
      <c r="C594">
        <v>17</v>
      </c>
      <c r="D594">
        <v>34</v>
      </c>
      <c r="E594">
        <v>3</v>
      </c>
      <c r="F594">
        <v>152</v>
      </c>
      <c r="G594">
        <v>182</v>
      </c>
      <c r="H594">
        <v>10</v>
      </c>
    </row>
    <row r="595" spans="1:8">
      <c r="A595" s="6"/>
      <c r="B595">
        <v>62</v>
      </c>
      <c r="C595">
        <v>12</v>
      </c>
      <c r="D595">
        <v>24</v>
      </c>
      <c r="E595">
        <v>13</v>
      </c>
      <c r="F595">
        <v>66</v>
      </c>
      <c r="G595">
        <v>96</v>
      </c>
      <c r="H595">
        <v>10</v>
      </c>
    </row>
    <row r="596" spans="1:8">
      <c r="A596" s="6"/>
      <c r="B596">
        <v>63</v>
      </c>
      <c r="C596">
        <v>24</v>
      </c>
      <c r="D596">
        <v>58</v>
      </c>
      <c r="E596">
        <v>19</v>
      </c>
      <c r="F596">
        <v>48</v>
      </c>
      <c r="G596">
        <v>78</v>
      </c>
      <c r="H596">
        <v>10</v>
      </c>
    </row>
    <row r="597" spans="1:8">
      <c r="A597" s="6"/>
      <c r="B597">
        <v>64</v>
      </c>
      <c r="C597">
        <v>27</v>
      </c>
      <c r="D597">
        <v>69</v>
      </c>
      <c r="E597">
        <v>10</v>
      </c>
      <c r="F597">
        <v>34</v>
      </c>
      <c r="G597">
        <v>64</v>
      </c>
      <c r="H597">
        <v>10</v>
      </c>
    </row>
    <row r="598" spans="1:8">
      <c r="A598" s="6"/>
      <c r="B598">
        <v>65</v>
      </c>
      <c r="C598">
        <v>15</v>
      </c>
      <c r="D598">
        <v>77</v>
      </c>
      <c r="E598">
        <v>9</v>
      </c>
      <c r="F598">
        <v>63</v>
      </c>
      <c r="G598">
        <v>93</v>
      </c>
      <c r="H598">
        <v>10</v>
      </c>
    </row>
    <row r="599" spans="1:8">
      <c r="A599" s="6"/>
      <c r="B599">
        <v>66</v>
      </c>
      <c r="C599">
        <v>62</v>
      </c>
      <c r="D599">
        <v>77</v>
      </c>
      <c r="E599">
        <v>20</v>
      </c>
      <c r="F599">
        <v>49</v>
      </c>
      <c r="G599">
        <v>79</v>
      </c>
      <c r="H599">
        <v>10</v>
      </c>
    </row>
    <row r="600" spans="1:8">
      <c r="A600" s="6"/>
      <c r="B600">
        <v>67</v>
      </c>
      <c r="C600">
        <v>49</v>
      </c>
      <c r="D600">
        <v>73</v>
      </c>
      <c r="E600">
        <v>25</v>
      </c>
      <c r="F600">
        <v>117</v>
      </c>
      <c r="G600">
        <v>147</v>
      </c>
      <c r="H600">
        <v>10</v>
      </c>
    </row>
    <row r="601" spans="1:8">
      <c r="A601" s="6"/>
      <c r="B601">
        <v>68</v>
      </c>
      <c r="C601">
        <v>67</v>
      </c>
      <c r="D601">
        <v>5</v>
      </c>
      <c r="E601">
        <v>25</v>
      </c>
      <c r="F601">
        <v>73</v>
      </c>
      <c r="G601">
        <v>103</v>
      </c>
      <c r="H601">
        <v>10</v>
      </c>
    </row>
    <row r="602" spans="1:8">
      <c r="A602" s="6"/>
      <c r="B602">
        <v>69</v>
      </c>
      <c r="C602">
        <v>56</v>
      </c>
      <c r="D602">
        <v>39</v>
      </c>
      <c r="E602">
        <v>36</v>
      </c>
      <c r="F602">
        <v>132</v>
      </c>
      <c r="G602">
        <v>162</v>
      </c>
      <c r="H602">
        <v>10</v>
      </c>
    </row>
    <row r="603" spans="1:8">
      <c r="A603" s="6"/>
      <c r="B603">
        <v>70</v>
      </c>
      <c r="C603">
        <v>37</v>
      </c>
      <c r="D603">
        <v>47</v>
      </c>
      <c r="E603">
        <v>6</v>
      </c>
      <c r="F603">
        <v>40</v>
      </c>
      <c r="G603">
        <v>70</v>
      </c>
      <c r="H603">
        <v>10</v>
      </c>
    </row>
    <row r="604" spans="1:8">
      <c r="A604" s="6"/>
      <c r="B604">
        <v>71</v>
      </c>
      <c r="C604">
        <v>37</v>
      </c>
      <c r="D604">
        <v>56</v>
      </c>
      <c r="E604">
        <v>5</v>
      </c>
      <c r="F604">
        <v>168</v>
      </c>
      <c r="G604">
        <v>198</v>
      </c>
      <c r="H604">
        <v>10</v>
      </c>
    </row>
    <row r="605" spans="1:8">
      <c r="A605" s="6"/>
      <c r="B605">
        <v>72</v>
      </c>
      <c r="C605">
        <v>57</v>
      </c>
      <c r="D605">
        <v>68</v>
      </c>
      <c r="E605">
        <v>15</v>
      </c>
      <c r="F605">
        <v>67</v>
      </c>
      <c r="G605">
        <v>97</v>
      </c>
      <c r="H605">
        <v>10</v>
      </c>
    </row>
    <row r="606" spans="1:8">
      <c r="A606" s="6"/>
      <c r="B606">
        <v>73</v>
      </c>
      <c r="C606">
        <v>47</v>
      </c>
      <c r="D606">
        <v>16</v>
      </c>
      <c r="E606">
        <v>25</v>
      </c>
      <c r="F606">
        <v>0</v>
      </c>
      <c r="G606">
        <v>197</v>
      </c>
      <c r="H606">
        <v>10</v>
      </c>
    </row>
    <row r="607" spans="1:8">
      <c r="A607" s="6"/>
      <c r="B607">
        <v>74</v>
      </c>
      <c r="C607">
        <v>44</v>
      </c>
      <c r="D607">
        <v>17</v>
      </c>
      <c r="E607">
        <v>9</v>
      </c>
      <c r="F607">
        <v>68</v>
      </c>
      <c r="G607">
        <v>98</v>
      </c>
      <c r="H607">
        <v>10</v>
      </c>
    </row>
    <row r="608" spans="1:8">
      <c r="A608" s="6"/>
      <c r="B608">
        <v>75</v>
      </c>
      <c r="C608">
        <v>46</v>
      </c>
      <c r="D608">
        <v>13</v>
      </c>
      <c r="E608">
        <v>8</v>
      </c>
      <c r="F608">
        <v>139</v>
      </c>
      <c r="G608">
        <v>169</v>
      </c>
      <c r="H608">
        <v>10</v>
      </c>
    </row>
    <row r="609" spans="1:8">
      <c r="A609" s="6"/>
      <c r="B609">
        <v>76</v>
      </c>
      <c r="C609">
        <v>49</v>
      </c>
      <c r="D609">
        <v>11</v>
      </c>
      <c r="E609">
        <v>18</v>
      </c>
      <c r="F609">
        <v>0</v>
      </c>
      <c r="G609">
        <v>192</v>
      </c>
      <c r="H609">
        <v>10</v>
      </c>
    </row>
    <row r="610" spans="1:8">
      <c r="A610" s="6"/>
      <c r="B610">
        <v>77</v>
      </c>
      <c r="C610">
        <v>49</v>
      </c>
      <c r="D610">
        <v>42</v>
      </c>
      <c r="E610">
        <v>13</v>
      </c>
      <c r="F610">
        <v>63</v>
      </c>
      <c r="G610">
        <v>93</v>
      </c>
      <c r="H610">
        <v>10</v>
      </c>
    </row>
    <row r="611" spans="1:8">
      <c r="A611" s="6"/>
      <c r="B611">
        <v>78</v>
      </c>
      <c r="C611">
        <v>53</v>
      </c>
      <c r="D611">
        <v>43</v>
      </c>
      <c r="E611">
        <v>14</v>
      </c>
      <c r="F611">
        <v>169</v>
      </c>
      <c r="G611">
        <v>199</v>
      </c>
      <c r="H611">
        <v>10</v>
      </c>
    </row>
    <row r="612" spans="1:8">
      <c r="A612" s="6"/>
      <c r="B612">
        <v>79</v>
      </c>
      <c r="C612">
        <v>61</v>
      </c>
      <c r="D612">
        <v>52</v>
      </c>
      <c r="E612">
        <v>3</v>
      </c>
      <c r="F612">
        <v>86</v>
      </c>
      <c r="G612">
        <v>116</v>
      </c>
      <c r="H612">
        <v>10</v>
      </c>
    </row>
    <row r="613" spans="1:8">
      <c r="A613" s="6"/>
      <c r="B613">
        <v>80</v>
      </c>
      <c r="C613">
        <v>57</v>
      </c>
      <c r="D613">
        <v>48</v>
      </c>
      <c r="E613">
        <v>23</v>
      </c>
      <c r="F613">
        <v>82</v>
      </c>
      <c r="G613">
        <v>112</v>
      </c>
      <c r="H613">
        <v>10</v>
      </c>
    </row>
    <row r="614" spans="1:8">
      <c r="A614" s="6"/>
      <c r="B614">
        <v>81</v>
      </c>
      <c r="C614">
        <v>56</v>
      </c>
      <c r="D614">
        <v>37</v>
      </c>
      <c r="E614">
        <v>6</v>
      </c>
      <c r="F614">
        <v>168</v>
      </c>
      <c r="G614">
        <v>198</v>
      </c>
      <c r="H614">
        <v>10</v>
      </c>
    </row>
    <row r="615" spans="1:8">
      <c r="A615" s="6"/>
      <c r="B615">
        <v>82</v>
      </c>
      <c r="C615">
        <v>55</v>
      </c>
      <c r="D615">
        <v>54</v>
      </c>
      <c r="E615">
        <v>26</v>
      </c>
      <c r="F615">
        <v>84</v>
      </c>
      <c r="G615">
        <v>114</v>
      </c>
      <c r="H615">
        <v>10</v>
      </c>
    </row>
    <row r="616" spans="1:8">
      <c r="A616" s="6"/>
      <c r="B616">
        <v>83</v>
      </c>
      <c r="C616">
        <v>15</v>
      </c>
      <c r="D616">
        <v>47</v>
      </c>
      <c r="E616">
        <v>16</v>
      </c>
      <c r="F616">
        <v>0</v>
      </c>
      <c r="G616">
        <v>196</v>
      </c>
      <c r="H616">
        <v>10</v>
      </c>
    </row>
    <row r="617" spans="1:8">
      <c r="A617" s="6"/>
      <c r="B617">
        <v>84</v>
      </c>
      <c r="C617">
        <v>14</v>
      </c>
      <c r="D617">
        <v>37</v>
      </c>
      <c r="E617">
        <v>11</v>
      </c>
      <c r="F617">
        <v>0</v>
      </c>
      <c r="G617">
        <v>198</v>
      </c>
      <c r="H617">
        <v>10</v>
      </c>
    </row>
    <row r="618" spans="1:8">
      <c r="A618" s="6"/>
      <c r="B618">
        <v>85</v>
      </c>
      <c r="C618">
        <v>11</v>
      </c>
      <c r="D618">
        <v>31</v>
      </c>
      <c r="E618">
        <v>7</v>
      </c>
      <c r="F618">
        <v>91</v>
      </c>
      <c r="G618">
        <v>121</v>
      </c>
      <c r="H618">
        <v>10</v>
      </c>
    </row>
    <row r="619" spans="1:8">
      <c r="A619" s="6"/>
      <c r="B619">
        <v>86</v>
      </c>
      <c r="C619">
        <v>16</v>
      </c>
      <c r="D619">
        <v>22</v>
      </c>
      <c r="E619">
        <v>41</v>
      </c>
      <c r="F619">
        <v>0</v>
      </c>
      <c r="G619">
        <v>196</v>
      </c>
      <c r="H619">
        <v>10</v>
      </c>
    </row>
    <row r="620" spans="1:8">
      <c r="A620" s="6"/>
      <c r="B620">
        <v>87</v>
      </c>
      <c r="C620">
        <v>4</v>
      </c>
      <c r="D620">
        <v>18</v>
      </c>
      <c r="E620">
        <v>35</v>
      </c>
      <c r="F620">
        <v>84</v>
      </c>
      <c r="G620">
        <v>114</v>
      </c>
      <c r="H620">
        <v>10</v>
      </c>
    </row>
    <row r="621" spans="1:8">
      <c r="A621" s="6"/>
      <c r="B621">
        <v>88</v>
      </c>
      <c r="C621">
        <v>28</v>
      </c>
      <c r="D621">
        <v>18</v>
      </c>
      <c r="E621">
        <v>26</v>
      </c>
      <c r="F621">
        <v>83</v>
      </c>
      <c r="G621">
        <v>113</v>
      </c>
      <c r="H621">
        <v>10</v>
      </c>
    </row>
    <row r="622" spans="1:8">
      <c r="A622" s="6"/>
      <c r="B622">
        <v>89</v>
      </c>
      <c r="C622">
        <v>26</v>
      </c>
      <c r="D622">
        <v>52</v>
      </c>
      <c r="E622">
        <v>9</v>
      </c>
      <c r="F622">
        <v>64</v>
      </c>
      <c r="G622">
        <v>94</v>
      </c>
      <c r="H622">
        <v>10</v>
      </c>
    </row>
    <row r="623" spans="1:8">
      <c r="A623" s="6"/>
      <c r="B623">
        <v>90</v>
      </c>
      <c r="C623">
        <v>26</v>
      </c>
      <c r="D623">
        <v>35</v>
      </c>
      <c r="E623">
        <v>15</v>
      </c>
      <c r="F623">
        <v>166</v>
      </c>
      <c r="G623">
        <v>196</v>
      </c>
      <c r="H623">
        <v>10</v>
      </c>
    </row>
    <row r="624" spans="1:8">
      <c r="A624" s="6"/>
      <c r="B624">
        <v>91</v>
      </c>
      <c r="C624">
        <v>31</v>
      </c>
      <c r="D624">
        <v>67</v>
      </c>
      <c r="E624">
        <v>3</v>
      </c>
      <c r="F624">
        <v>85</v>
      </c>
      <c r="G624">
        <v>115</v>
      </c>
      <c r="H624">
        <v>10</v>
      </c>
    </row>
    <row r="625" spans="1:8">
      <c r="A625" s="6"/>
      <c r="B625">
        <v>92</v>
      </c>
      <c r="C625">
        <v>15</v>
      </c>
      <c r="D625">
        <v>19</v>
      </c>
      <c r="E625">
        <v>1</v>
      </c>
      <c r="F625">
        <v>0</v>
      </c>
      <c r="G625">
        <v>194</v>
      </c>
      <c r="H625">
        <v>10</v>
      </c>
    </row>
    <row r="626" spans="1:8">
      <c r="A626" s="6"/>
      <c r="B626">
        <v>93</v>
      </c>
      <c r="C626">
        <v>22</v>
      </c>
      <c r="D626">
        <v>22</v>
      </c>
      <c r="E626">
        <v>2</v>
      </c>
      <c r="F626">
        <v>18</v>
      </c>
      <c r="G626">
        <v>48</v>
      </c>
      <c r="H626">
        <v>10</v>
      </c>
    </row>
    <row r="627" spans="1:8">
      <c r="A627" s="6"/>
      <c r="B627">
        <v>94</v>
      </c>
      <c r="C627">
        <v>18</v>
      </c>
      <c r="D627">
        <v>24</v>
      </c>
      <c r="E627">
        <v>22</v>
      </c>
      <c r="F627">
        <v>169</v>
      </c>
      <c r="G627">
        <v>199</v>
      </c>
      <c r="H627">
        <v>10</v>
      </c>
    </row>
    <row r="628" spans="1:8">
      <c r="A628" s="6"/>
      <c r="B628">
        <v>95</v>
      </c>
      <c r="C628">
        <v>26</v>
      </c>
      <c r="D628">
        <v>27</v>
      </c>
      <c r="E628">
        <v>27</v>
      </c>
      <c r="F628">
        <v>0</v>
      </c>
      <c r="G628">
        <v>207</v>
      </c>
      <c r="H628">
        <v>10</v>
      </c>
    </row>
    <row r="629" spans="1:8">
      <c r="A629" s="6"/>
      <c r="B629">
        <v>96</v>
      </c>
      <c r="C629">
        <v>25</v>
      </c>
      <c r="D629">
        <v>24</v>
      </c>
      <c r="E629">
        <v>20</v>
      </c>
      <c r="F629">
        <v>0</v>
      </c>
      <c r="G629">
        <v>205</v>
      </c>
      <c r="H629">
        <v>10</v>
      </c>
    </row>
    <row r="630" spans="1:8">
      <c r="A630" s="6"/>
      <c r="B630">
        <v>97</v>
      </c>
      <c r="C630">
        <v>22</v>
      </c>
      <c r="D630">
        <v>27</v>
      </c>
      <c r="E630">
        <v>11</v>
      </c>
      <c r="F630">
        <v>0</v>
      </c>
      <c r="G630">
        <v>204</v>
      </c>
      <c r="H630">
        <v>10</v>
      </c>
    </row>
    <row r="631" spans="1:8">
      <c r="A631" s="6"/>
      <c r="B631">
        <v>98</v>
      </c>
      <c r="C631">
        <v>25</v>
      </c>
      <c r="D631">
        <v>21</v>
      </c>
      <c r="E631">
        <v>12</v>
      </c>
      <c r="F631">
        <v>123</v>
      </c>
      <c r="G631">
        <v>153</v>
      </c>
      <c r="H631">
        <v>10</v>
      </c>
    </row>
    <row r="632" spans="1:8">
      <c r="A632" s="6"/>
      <c r="B632">
        <v>99</v>
      </c>
      <c r="C632">
        <v>19</v>
      </c>
      <c r="D632">
        <v>21</v>
      </c>
      <c r="E632">
        <v>10</v>
      </c>
      <c r="F632">
        <v>0</v>
      </c>
      <c r="G632">
        <v>198</v>
      </c>
      <c r="H632">
        <v>10</v>
      </c>
    </row>
    <row r="633" spans="1:8">
      <c r="A633" s="6"/>
      <c r="B633">
        <v>100</v>
      </c>
      <c r="C633">
        <v>20</v>
      </c>
      <c r="D633">
        <v>26</v>
      </c>
      <c r="E633">
        <v>9</v>
      </c>
      <c r="F633">
        <v>73</v>
      </c>
      <c r="G633">
        <v>103</v>
      </c>
      <c r="H633">
        <v>10</v>
      </c>
    </row>
    <row r="634" spans="1:8">
      <c r="B634">
        <v>101</v>
      </c>
      <c r="C634">
        <v>18</v>
      </c>
      <c r="D634">
        <v>18</v>
      </c>
      <c r="E634">
        <v>17</v>
      </c>
      <c r="F634">
        <v>165</v>
      </c>
      <c r="G634">
        <v>195</v>
      </c>
      <c r="H634">
        <v>10</v>
      </c>
    </row>
    <row r="636" spans="1:8">
      <c r="A636" s="2"/>
    </row>
    <row r="637" spans="1:8" ht="22.8">
      <c r="A637" s="8" t="s">
        <v>19</v>
      </c>
    </row>
    <row r="638" spans="1:8">
      <c r="A638" s="4"/>
    </row>
    <row r="639" spans="1:8">
      <c r="A639" s="6"/>
      <c r="B639" t="s">
        <v>32</v>
      </c>
      <c r="C639" t="s">
        <v>26</v>
      </c>
      <c r="D639" t="s">
        <v>27</v>
      </c>
      <c r="E639" t="s">
        <v>28</v>
      </c>
      <c r="F639" t="s">
        <v>29</v>
      </c>
      <c r="G639" t="s">
        <v>30</v>
      </c>
      <c r="H639" t="s">
        <v>31</v>
      </c>
    </row>
    <row r="640" spans="1:8">
      <c r="A640" s="6"/>
      <c r="B640">
        <v>1</v>
      </c>
      <c r="C640">
        <v>35</v>
      </c>
      <c r="D640">
        <v>35</v>
      </c>
      <c r="E640">
        <v>0</v>
      </c>
      <c r="F640">
        <v>0</v>
      </c>
      <c r="G640">
        <v>230</v>
      </c>
      <c r="H640">
        <v>0</v>
      </c>
    </row>
    <row r="641" spans="1:8">
      <c r="A641" s="6"/>
      <c r="B641">
        <v>2</v>
      </c>
      <c r="C641">
        <v>41</v>
      </c>
      <c r="D641">
        <v>49</v>
      </c>
      <c r="E641">
        <v>10</v>
      </c>
      <c r="F641">
        <v>0</v>
      </c>
      <c r="G641">
        <v>204</v>
      </c>
      <c r="H641">
        <v>10</v>
      </c>
    </row>
    <row r="642" spans="1:8">
      <c r="A642" s="6"/>
      <c r="B642">
        <v>3</v>
      </c>
      <c r="C642">
        <v>35</v>
      </c>
      <c r="D642">
        <v>17</v>
      </c>
      <c r="E642">
        <v>7</v>
      </c>
      <c r="F642">
        <v>0</v>
      </c>
      <c r="G642">
        <v>202</v>
      </c>
      <c r="H642">
        <v>10</v>
      </c>
    </row>
    <row r="643" spans="1:8">
      <c r="A643" s="6"/>
      <c r="B643">
        <v>4</v>
      </c>
      <c r="C643">
        <v>55</v>
      </c>
      <c r="D643">
        <v>45</v>
      </c>
      <c r="E643">
        <v>13</v>
      </c>
      <c r="F643">
        <v>0</v>
      </c>
      <c r="G643">
        <v>197</v>
      </c>
      <c r="H643">
        <v>10</v>
      </c>
    </row>
    <row r="644" spans="1:8">
      <c r="A644" s="6"/>
      <c r="B644">
        <v>5</v>
      </c>
      <c r="C644">
        <v>55</v>
      </c>
      <c r="D644">
        <v>20</v>
      </c>
      <c r="E644">
        <v>19</v>
      </c>
      <c r="F644">
        <v>139</v>
      </c>
      <c r="G644">
        <v>169</v>
      </c>
      <c r="H644">
        <v>10</v>
      </c>
    </row>
    <row r="645" spans="1:8">
      <c r="A645" s="6"/>
      <c r="B645">
        <v>6</v>
      </c>
      <c r="C645">
        <v>15</v>
      </c>
      <c r="D645">
        <v>30</v>
      </c>
      <c r="E645">
        <v>26</v>
      </c>
      <c r="F645">
        <v>0</v>
      </c>
      <c r="G645">
        <v>199</v>
      </c>
      <c r="H645">
        <v>10</v>
      </c>
    </row>
    <row r="646" spans="1:8">
      <c r="A646" s="6"/>
      <c r="B646">
        <v>7</v>
      </c>
      <c r="C646">
        <v>25</v>
      </c>
      <c r="D646">
        <v>30</v>
      </c>
      <c r="E646">
        <v>3</v>
      </c>
      <c r="F646">
        <v>89</v>
      </c>
      <c r="G646">
        <v>119</v>
      </c>
      <c r="H646">
        <v>10</v>
      </c>
    </row>
    <row r="647" spans="1:8">
      <c r="A647" s="6"/>
      <c r="B647">
        <v>8</v>
      </c>
      <c r="C647">
        <v>20</v>
      </c>
      <c r="D647">
        <v>50</v>
      </c>
      <c r="E647">
        <v>5</v>
      </c>
      <c r="F647">
        <v>0</v>
      </c>
      <c r="G647">
        <v>198</v>
      </c>
      <c r="H647">
        <v>10</v>
      </c>
    </row>
    <row r="648" spans="1:8">
      <c r="A648" s="6"/>
      <c r="B648">
        <v>9</v>
      </c>
      <c r="C648">
        <v>10</v>
      </c>
      <c r="D648">
        <v>43</v>
      </c>
      <c r="E648">
        <v>9</v>
      </c>
      <c r="F648">
        <v>85</v>
      </c>
      <c r="G648">
        <v>115</v>
      </c>
      <c r="H648">
        <v>10</v>
      </c>
    </row>
    <row r="649" spans="1:8">
      <c r="A649" s="6"/>
      <c r="B649">
        <v>10</v>
      </c>
      <c r="C649">
        <v>55</v>
      </c>
      <c r="D649">
        <v>60</v>
      </c>
      <c r="E649">
        <v>16</v>
      </c>
      <c r="F649">
        <v>87</v>
      </c>
      <c r="G649">
        <v>117</v>
      </c>
      <c r="H649">
        <v>10</v>
      </c>
    </row>
    <row r="650" spans="1:8">
      <c r="A650" s="6"/>
      <c r="B650">
        <v>11</v>
      </c>
      <c r="C650">
        <v>30</v>
      </c>
      <c r="D650">
        <v>60</v>
      </c>
      <c r="E650">
        <v>16</v>
      </c>
      <c r="F650">
        <v>114</v>
      </c>
      <c r="G650">
        <v>144</v>
      </c>
      <c r="H650">
        <v>10</v>
      </c>
    </row>
    <row r="651" spans="1:8">
      <c r="A651" s="6"/>
      <c r="B651">
        <v>12</v>
      </c>
      <c r="C651">
        <v>20</v>
      </c>
      <c r="D651">
        <v>65</v>
      </c>
      <c r="E651">
        <v>12</v>
      </c>
      <c r="F651">
        <v>57</v>
      </c>
      <c r="G651">
        <v>87</v>
      </c>
      <c r="H651">
        <v>10</v>
      </c>
    </row>
    <row r="652" spans="1:8">
      <c r="A652" s="6"/>
      <c r="B652">
        <v>13</v>
      </c>
      <c r="C652">
        <v>50</v>
      </c>
      <c r="D652">
        <v>35</v>
      </c>
      <c r="E652">
        <v>19</v>
      </c>
      <c r="F652">
        <v>0</v>
      </c>
      <c r="G652">
        <v>205</v>
      </c>
      <c r="H652">
        <v>10</v>
      </c>
    </row>
    <row r="653" spans="1:8">
      <c r="A653" s="6"/>
      <c r="B653">
        <v>14</v>
      </c>
      <c r="C653">
        <v>30</v>
      </c>
      <c r="D653">
        <v>25</v>
      </c>
      <c r="E653">
        <v>23</v>
      </c>
      <c r="F653">
        <v>149</v>
      </c>
      <c r="G653">
        <v>179</v>
      </c>
      <c r="H653">
        <v>10</v>
      </c>
    </row>
    <row r="654" spans="1:8">
      <c r="A654" s="6"/>
      <c r="B654">
        <v>15</v>
      </c>
      <c r="C654">
        <v>15</v>
      </c>
      <c r="D654">
        <v>10</v>
      </c>
      <c r="E654">
        <v>20</v>
      </c>
      <c r="F654">
        <v>0</v>
      </c>
      <c r="G654">
        <v>187</v>
      </c>
      <c r="H654">
        <v>10</v>
      </c>
    </row>
    <row r="655" spans="1:8">
      <c r="A655" s="6"/>
      <c r="B655">
        <v>16</v>
      </c>
      <c r="C655">
        <v>30</v>
      </c>
      <c r="D655">
        <v>5</v>
      </c>
      <c r="E655">
        <v>8</v>
      </c>
      <c r="F655">
        <v>51</v>
      </c>
      <c r="G655">
        <v>81</v>
      </c>
      <c r="H655">
        <v>10</v>
      </c>
    </row>
    <row r="656" spans="1:8">
      <c r="A656" s="6"/>
      <c r="B656">
        <v>17</v>
      </c>
      <c r="C656">
        <v>10</v>
      </c>
      <c r="D656">
        <v>20</v>
      </c>
      <c r="E656">
        <v>19</v>
      </c>
      <c r="F656">
        <v>0</v>
      </c>
      <c r="G656">
        <v>190</v>
      </c>
      <c r="H656">
        <v>10</v>
      </c>
    </row>
    <row r="657" spans="1:8">
      <c r="A657" s="6"/>
      <c r="B657">
        <v>18</v>
      </c>
      <c r="C657">
        <v>5</v>
      </c>
      <c r="D657">
        <v>30</v>
      </c>
      <c r="E657">
        <v>2</v>
      </c>
      <c r="F657">
        <v>147</v>
      </c>
      <c r="G657">
        <v>177</v>
      </c>
      <c r="H657">
        <v>10</v>
      </c>
    </row>
    <row r="658" spans="1:8">
      <c r="A658" s="6"/>
      <c r="B658">
        <v>19</v>
      </c>
      <c r="C658">
        <v>20</v>
      </c>
      <c r="D658">
        <v>40</v>
      </c>
      <c r="E658">
        <v>12</v>
      </c>
      <c r="F658">
        <v>0</v>
      </c>
      <c r="G658">
        <v>204</v>
      </c>
      <c r="H658">
        <v>10</v>
      </c>
    </row>
    <row r="659" spans="1:8">
      <c r="A659" s="6"/>
      <c r="B659">
        <v>20</v>
      </c>
      <c r="C659">
        <v>15</v>
      </c>
      <c r="D659">
        <v>60</v>
      </c>
      <c r="E659">
        <v>17</v>
      </c>
      <c r="F659">
        <v>0</v>
      </c>
      <c r="G659">
        <v>187</v>
      </c>
      <c r="H659">
        <v>10</v>
      </c>
    </row>
    <row r="660" spans="1:8">
      <c r="A660" s="6"/>
      <c r="B660">
        <v>21</v>
      </c>
      <c r="C660">
        <v>45</v>
      </c>
      <c r="D660">
        <v>65</v>
      </c>
      <c r="E660">
        <v>9</v>
      </c>
      <c r="F660">
        <v>0</v>
      </c>
      <c r="G660">
        <v>188</v>
      </c>
      <c r="H660">
        <v>10</v>
      </c>
    </row>
    <row r="661" spans="1:8">
      <c r="A661" s="6"/>
      <c r="B661">
        <v>22</v>
      </c>
      <c r="C661">
        <v>45</v>
      </c>
      <c r="D661">
        <v>20</v>
      </c>
      <c r="E661">
        <v>11</v>
      </c>
      <c r="F661">
        <v>0</v>
      </c>
      <c r="G661">
        <v>201</v>
      </c>
      <c r="H661">
        <v>10</v>
      </c>
    </row>
    <row r="662" spans="1:8">
      <c r="A662" s="6"/>
      <c r="B662">
        <v>23</v>
      </c>
      <c r="C662">
        <v>45</v>
      </c>
      <c r="D662">
        <v>10</v>
      </c>
      <c r="E662">
        <v>18</v>
      </c>
      <c r="F662">
        <v>87</v>
      </c>
      <c r="G662">
        <v>117</v>
      </c>
      <c r="H662">
        <v>10</v>
      </c>
    </row>
    <row r="663" spans="1:8">
      <c r="A663" s="6"/>
      <c r="B663">
        <v>24</v>
      </c>
      <c r="C663">
        <v>55</v>
      </c>
      <c r="D663">
        <v>5</v>
      </c>
      <c r="E663">
        <v>29</v>
      </c>
      <c r="F663">
        <v>58</v>
      </c>
      <c r="G663">
        <v>88</v>
      </c>
      <c r="H663">
        <v>10</v>
      </c>
    </row>
    <row r="664" spans="1:8">
      <c r="A664" s="6"/>
      <c r="B664">
        <v>25</v>
      </c>
      <c r="C664">
        <v>65</v>
      </c>
      <c r="D664">
        <v>35</v>
      </c>
      <c r="E664">
        <v>3</v>
      </c>
      <c r="F664">
        <v>0</v>
      </c>
      <c r="G664">
        <v>190</v>
      </c>
      <c r="H664">
        <v>10</v>
      </c>
    </row>
    <row r="665" spans="1:8">
      <c r="A665" s="6"/>
      <c r="B665">
        <v>26</v>
      </c>
      <c r="C665">
        <v>65</v>
      </c>
      <c r="D665">
        <v>20</v>
      </c>
      <c r="E665">
        <v>6</v>
      </c>
      <c r="F665">
        <v>156</v>
      </c>
      <c r="G665">
        <v>186</v>
      </c>
      <c r="H665">
        <v>10</v>
      </c>
    </row>
    <row r="666" spans="1:8">
      <c r="A666" s="6"/>
      <c r="B666">
        <v>27</v>
      </c>
      <c r="C666">
        <v>45</v>
      </c>
      <c r="D666">
        <v>30</v>
      </c>
      <c r="E666">
        <v>17</v>
      </c>
      <c r="F666">
        <v>0</v>
      </c>
      <c r="G666">
        <v>208</v>
      </c>
      <c r="H666">
        <v>10</v>
      </c>
    </row>
    <row r="667" spans="1:8">
      <c r="A667" s="6"/>
      <c r="B667">
        <v>28</v>
      </c>
      <c r="C667">
        <v>35</v>
      </c>
      <c r="D667">
        <v>40</v>
      </c>
      <c r="E667">
        <v>16</v>
      </c>
      <c r="F667">
        <v>27</v>
      </c>
      <c r="G667">
        <v>57</v>
      </c>
      <c r="H667">
        <v>10</v>
      </c>
    </row>
    <row r="668" spans="1:8">
      <c r="A668" s="6"/>
      <c r="B668">
        <v>29</v>
      </c>
      <c r="C668">
        <v>41</v>
      </c>
      <c r="D668">
        <v>37</v>
      </c>
      <c r="E668">
        <v>16</v>
      </c>
      <c r="F668">
        <v>0</v>
      </c>
      <c r="G668">
        <v>213</v>
      </c>
      <c r="H668">
        <v>10</v>
      </c>
    </row>
    <row r="669" spans="1:8">
      <c r="A669" s="6"/>
      <c r="B669">
        <v>30</v>
      </c>
      <c r="C669">
        <v>64</v>
      </c>
      <c r="D669">
        <v>42</v>
      </c>
      <c r="E669">
        <v>9</v>
      </c>
      <c r="F669">
        <v>0</v>
      </c>
      <c r="G669">
        <v>190</v>
      </c>
      <c r="H669">
        <v>10</v>
      </c>
    </row>
    <row r="670" spans="1:8">
      <c r="A670" s="6"/>
      <c r="B670">
        <v>31</v>
      </c>
      <c r="C670">
        <v>40</v>
      </c>
      <c r="D670">
        <v>60</v>
      </c>
      <c r="E670">
        <v>21</v>
      </c>
      <c r="F670">
        <v>61</v>
      </c>
      <c r="G670">
        <v>91</v>
      </c>
      <c r="H670">
        <v>10</v>
      </c>
    </row>
    <row r="671" spans="1:8">
      <c r="A671" s="6"/>
      <c r="B671">
        <v>32</v>
      </c>
      <c r="C671">
        <v>31</v>
      </c>
      <c r="D671">
        <v>52</v>
      </c>
      <c r="E671">
        <v>27</v>
      </c>
      <c r="F671">
        <v>0</v>
      </c>
      <c r="G671">
        <v>202</v>
      </c>
      <c r="H671">
        <v>10</v>
      </c>
    </row>
    <row r="672" spans="1:8">
      <c r="A672" s="6"/>
      <c r="B672">
        <v>33</v>
      </c>
      <c r="C672">
        <v>35</v>
      </c>
      <c r="D672">
        <v>69</v>
      </c>
      <c r="E672">
        <v>23</v>
      </c>
      <c r="F672">
        <v>0</v>
      </c>
      <c r="G672">
        <v>186</v>
      </c>
      <c r="H672">
        <v>10</v>
      </c>
    </row>
    <row r="673" spans="1:8">
      <c r="A673" s="6"/>
      <c r="B673">
        <v>34</v>
      </c>
      <c r="C673">
        <v>53</v>
      </c>
      <c r="D673">
        <v>52</v>
      </c>
      <c r="E673">
        <v>11</v>
      </c>
      <c r="F673">
        <v>27</v>
      </c>
      <c r="G673">
        <v>57</v>
      </c>
      <c r="H673">
        <v>10</v>
      </c>
    </row>
    <row r="674" spans="1:8">
      <c r="A674" s="6"/>
      <c r="B674">
        <v>35</v>
      </c>
      <c r="C674">
        <v>65</v>
      </c>
      <c r="D674">
        <v>55</v>
      </c>
      <c r="E674">
        <v>14</v>
      </c>
      <c r="F674">
        <v>0</v>
      </c>
      <c r="G674">
        <v>183</v>
      </c>
      <c r="H674">
        <v>10</v>
      </c>
    </row>
    <row r="675" spans="1:8">
      <c r="A675" s="6"/>
      <c r="B675">
        <v>36</v>
      </c>
      <c r="C675">
        <v>63</v>
      </c>
      <c r="D675">
        <v>65</v>
      </c>
      <c r="E675">
        <v>8</v>
      </c>
      <c r="F675">
        <v>133</v>
      </c>
      <c r="G675">
        <v>163</v>
      </c>
      <c r="H675">
        <v>10</v>
      </c>
    </row>
    <row r="676" spans="1:8">
      <c r="A676" s="6"/>
      <c r="B676">
        <v>37</v>
      </c>
      <c r="C676">
        <v>2</v>
      </c>
      <c r="D676">
        <v>60</v>
      </c>
      <c r="E676">
        <v>5</v>
      </c>
      <c r="F676">
        <v>41</v>
      </c>
      <c r="G676">
        <v>71</v>
      </c>
      <c r="H676">
        <v>10</v>
      </c>
    </row>
    <row r="677" spans="1:8">
      <c r="A677" s="6"/>
      <c r="B677">
        <v>38</v>
      </c>
      <c r="C677">
        <v>20</v>
      </c>
      <c r="D677">
        <v>20</v>
      </c>
      <c r="E677">
        <v>8</v>
      </c>
      <c r="F677">
        <v>0</v>
      </c>
      <c r="G677">
        <v>198</v>
      </c>
      <c r="H677">
        <v>10</v>
      </c>
    </row>
    <row r="678" spans="1:8">
      <c r="A678" s="6"/>
      <c r="B678">
        <v>39</v>
      </c>
      <c r="C678">
        <v>5</v>
      </c>
      <c r="D678">
        <v>5</v>
      </c>
      <c r="E678">
        <v>16</v>
      </c>
      <c r="F678">
        <v>73</v>
      </c>
      <c r="G678">
        <v>103</v>
      </c>
      <c r="H678">
        <v>10</v>
      </c>
    </row>
    <row r="679" spans="1:8">
      <c r="A679" s="6"/>
      <c r="B679">
        <v>40</v>
      </c>
      <c r="C679">
        <v>60</v>
      </c>
      <c r="D679">
        <v>12</v>
      </c>
      <c r="E679">
        <v>31</v>
      </c>
      <c r="F679">
        <v>34</v>
      </c>
      <c r="G679">
        <v>64</v>
      </c>
      <c r="H679">
        <v>10</v>
      </c>
    </row>
    <row r="680" spans="1:8">
      <c r="A680" s="6"/>
      <c r="B680">
        <v>41</v>
      </c>
      <c r="C680">
        <v>40</v>
      </c>
      <c r="D680">
        <v>25</v>
      </c>
      <c r="E680">
        <v>9</v>
      </c>
      <c r="F680">
        <v>75</v>
      </c>
      <c r="G680">
        <v>105</v>
      </c>
      <c r="H680">
        <v>10</v>
      </c>
    </row>
    <row r="681" spans="1:8">
      <c r="A681" s="6"/>
      <c r="B681">
        <v>42</v>
      </c>
      <c r="C681">
        <v>42</v>
      </c>
      <c r="D681">
        <v>7</v>
      </c>
      <c r="E681">
        <v>5</v>
      </c>
      <c r="F681">
        <v>87</v>
      </c>
      <c r="G681">
        <v>117</v>
      </c>
      <c r="H681">
        <v>10</v>
      </c>
    </row>
    <row r="682" spans="1:8">
      <c r="A682" s="6"/>
      <c r="B682">
        <v>43</v>
      </c>
      <c r="C682">
        <v>24</v>
      </c>
      <c r="D682">
        <v>12</v>
      </c>
      <c r="E682">
        <v>5</v>
      </c>
      <c r="F682">
        <v>25</v>
      </c>
      <c r="G682">
        <v>55</v>
      </c>
      <c r="H682">
        <v>10</v>
      </c>
    </row>
    <row r="683" spans="1:8">
      <c r="A683" s="6"/>
      <c r="B683">
        <v>44</v>
      </c>
      <c r="C683">
        <v>23</v>
      </c>
      <c r="D683">
        <v>3</v>
      </c>
      <c r="E683">
        <v>7</v>
      </c>
      <c r="F683">
        <v>0</v>
      </c>
      <c r="G683">
        <v>185</v>
      </c>
      <c r="H683">
        <v>10</v>
      </c>
    </row>
    <row r="684" spans="1:8">
      <c r="A684" s="6"/>
      <c r="B684">
        <v>45</v>
      </c>
      <c r="C684">
        <v>11</v>
      </c>
      <c r="D684">
        <v>14</v>
      </c>
      <c r="E684">
        <v>18</v>
      </c>
      <c r="F684">
        <v>59</v>
      </c>
      <c r="G684">
        <v>89</v>
      </c>
      <c r="H684">
        <v>10</v>
      </c>
    </row>
    <row r="685" spans="1:8">
      <c r="A685" s="6"/>
      <c r="B685">
        <v>46</v>
      </c>
      <c r="C685">
        <v>6</v>
      </c>
      <c r="D685">
        <v>38</v>
      </c>
      <c r="E685">
        <v>16</v>
      </c>
      <c r="F685">
        <v>29</v>
      </c>
      <c r="G685">
        <v>59</v>
      </c>
      <c r="H685">
        <v>10</v>
      </c>
    </row>
    <row r="686" spans="1:8">
      <c r="A686" s="6"/>
      <c r="B686">
        <v>47</v>
      </c>
      <c r="C686">
        <v>2</v>
      </c>
      <c r="D686">
        <v>48</v>
      </c>
      <c r="E686">
        <v>1</v>
      </c>
      <c r="F686">
        <v>0</v>
      </c>
      <c r="G686">
        <v>184</v>
      </c>
      <c r="H686">
        <v>10</v>
      </c>
    </row>
    <row r="687" spans="1:8">
      <c r="A687" s="6"/>
      <c r="B687">
        <v>48</v>
      </c>
      <c r="C687">
        <v>8</v>
      </c>
      <c r="D687">
        <v>56</v>
      </c>
      <c r="E687">
        <v>27</v>
      </c>
      <c r="F687">
        <v>0</v>
      </c>
      <c r="G687">
        <v>185</v>
      </c>
      <c r="H687">
        <v>10</v>
      </c>
    </row>
    <row r="688" spans="1:8">
      <c r="A688" s="6"/>
      <c r="B688">
        <v>49</v>
      </c>
      <c r="C688">
        <v>13</v>
      </c>
      <c r="D688">
        <v>52</v>
      </c>
      <c r="E688">
        <v>36</v>
      </c>
      <c r="F688">
        <v>0</v>
      </c>
      <c r="G688">
        <v>192</v>
      </c>
      <c r="H688">
        <v>10</v>
      </c>
    </row>
    <row r="689" spans="1:8">
      <c r="A689" s="6"/>
      <c r="B689">
        <v>50</v>
      </c>
      <c r="C689">
        <v>6</v>
      </c>
      <c r="D689">
        <v>68</v>
      </c>
      <c r="E689">
        <v>30</v>
      </c>
      <c r="F689">
        <v>98</v>
      </c>
      <c r="G689">
        <v>128</v>
      </c>
      <c r="H689">
        <v>10</v>
      </c>
    </row>
    <row r="690" spans="1:8">
      <c r="A690" s="6"/>
      <c r="B690">
        <v>51</v>
      </c>
      <c r="C690">
        <v>47</v>
      </c>
      <c r="D690">
        <v>47</v>
      </c>
      <c r="E690">
        <v>13</v>
      </c>
      <c r="F690">
        <v>0</v>
      </c>
      <c r="G690">
        <v>203</v>
      </c>
      <c r="H690">
        <v>10</v>
      </c>
    </row>
    <row r="691" spans="1:8">
      <c r="A691" s="6"/>
      <c r="B691">
        <v>52</v>
      </c>
      <c r="C691">
        <v>49</v>
      </c>
      <c r="D691">
        <v>58</v>
      </c>
      <c r="E691">
        <v>10</v>
      </c>
      <c r="F691">
        <v>0</v>
      </c>
      <c r="G691">
        <v>193</v>
      </c>
      <c r="H691">
        <v>10</v>
      </c>
    </row>
    <row r="692" spans="1:8">
      <c r="A692" s="6"/>
      <c r="B692">
        <v>53</v>
      </c>
      <c r="C692">
        <v>27</v>
      </c>
      <c r="D692">
        <v>43</v>
      </c>
      <c r="E692">
        <v>9</v>
      </c>
      <c r="F692">
        <v>0</v>
      </c>
      <c r="G692">
        <v>208</v>
      </c>
      <c r="H692">
        <v>10</v>
      </c>
    </row>
    <row r="693" spans="1:8">
      <c r="A693" s="6"/>
      <c r="B693">
        <v>54</v>
      </c>
      <c r="C693">
        <v>37</v>
      </c>
      <c r="D693">
        <v>31</v>
      </c>
      <c r="E693">
        <v>14</v>
      </c>
      <c r="F693">
        <v>85</v>
      </c>
      <c r="G693">
        <v>115</v>
      </c>
      <c r="H693">
        <v>10</v>
      </c>
    </row>
    <row r="694" spans="1:8">
      <c r="A694" s="6"/>
      <c r="B694">
        <v>55</v>
      </c>
      <c r="C694">
        <v>57</v>
      </c>
      <c r="D694">
        <v>29</v>
      </c>
      <c r="E694">
        <v>18</v>
      </c>
      <c r="F694">
        <v>0</v>
      </c>
      <c r="G694">
        <v>197</v>
      </c>
      <c r="H694">
        <v>10</v>
      </c>
    </row>
    <row r="695" spans="1:8">
      <c r="A695" s="6"/>
      <c r="B695">
        <v>56</v>
      </c>
      <c r="C695">
        <v>63</v>
      </c>
      <c r="D695">
        <v>23</v>
      </c>
      <c r="E695">
        <v>2</v>
      </c>
      <c r="F695">
        <v>126</v>
      </c>
      <c r="G695">
        <v>156</v>
      </c>
      <c r="H695">
        <v>10</v>
      </c>
    </row>
    <row r="696" spans="1:8">
      <c r="A696" s="6"/>
      <c r="B696">
        <v>57</v>
      </c>
      <c r="C696">
        <v>53</v>
      </c>
      <c r="D696">
        <v>12</v>
      </c>
      <c r="E696">
        <v>6</v>
      </c>
      <c r="F696">
        <v>120</v>
      </c>
      <c r="G696">
        <v>150</v>
      </c>
      <c r="H696">
        <v>10</v>
      </c>
    </row>
    <row r="697" spans="1:8">
      <c r="A697" s="6"/>
      <c r="B697">
        <v>58</v>
      </c>
      <c r="C697">
        <v>32</v>
      </c>
      <c r="D697">
        <v>12</v>
      </c>
      <c r="E697">
        <v>7</v>
      </c>
      <c r="F697">
        <v>0</v>
      </c>
      <c r="G697">
        <v>196</v>
      </c>
      <c r="H697">
        <v>10</v>
      </c>
    </row>
    <row r="698" spans="1:8">
      <c r="A698" s="6"/>
      <c r="B698">
        <v>59</v>
      </c>
      <c r="C698">
        <v>36</v>
      </c>
      <c r="D698">
        <v>26</v>
      </c>
      <c r="E698">
        <v>18</v>
      </c>
      <c r="F698">
        <v>180</v>
      </c>
      <c r="G698">
        <v>210</v>
      </c>
      <c r="H698">
        <v>10</v>
      </c>
    </row>
    <row r="699" spans="1:8">
      <c r="A699" s="6"/>
      <c r="B699">
        <v>60</v>
      </c>
      <c r="C699">
        <v>21</v>
      </c>
      <c r="D699">
        <v>24</v>
      </c>
      <c r="E699">
        <v>28</v>
      </c>
      <c r="F699">
        <v>0</v>
      </c>
      <c r="G699">
        <v>202</v>
      </c>
      <c r="H699">
        <v>10</v>
      </c>
    </row>
    <row r="700" spans="1:8">
      <c r="A700" s="6"/>
      <c r="B700">
        <v>61</v>
      </c>
      <c r="C700">
        <v>17</v>
      </c>
      <c r="D700">
        <v>34</v>
      </c>
      <c r="E700">
        <v>3</v>
      </c>
      <c r="F700">
        <v>0</v>
      </c>
      <c r="G700">
        <v>201</v>
      </c>
      <c r="H700">
        <v>10</v>
      </c>
    </row>
    <row r="701" spans="1:8">
      <c r="A701" s="6"/>
      <c r="B701">
        <v>62</v>
      </c>
      <c r="C701">
        <v>12</v>
      </c>
      <c r="D701">
        <v>24</v>
      </c>
      <c r="E701">
        <v>13</v>
      </c>
      <c r="F701">
        <v>0</v>
      </c>
      <c r="G701">
        <v>194</v>
      </c>
      <c r="H701">
        <v>10</v>
      </c>
    </row>
    <row r="702" spans="1:8">
      <c r="A702" s="6"/>
      <c r="B702">
        <v>63</v>
      </c>
      <c r="C702">
        <v>24</v>
      </c>
      <c r="D702">
        <v>58</v>
      </c>
      <c r="E702">
        <v>19</v>
      </c>
      <c r="F702">
        <v>48</v>
      </c>
      <c r="G702">
        <v>78</v>
      </c>
      <c r="H702">
        <v>10</v>
      </c>
    </row>
    <row r="703" spans="1:8">
      <c r="A703" s="6"/>
      <c r="B703">
        <v>64</v>
      </c>
      <c r="C703">
        <v>27</v>
      </c>
      <c r="D703">
        <v>69</v>
      </c>
      <c r="E703">
        <v>10</v>
      </c>
      <c r="F703">
        <v>0</v>
      </c>
      <c r="G703">
        <v>185</v>
      </c>
      <c r="H703">
        <v>10</v>
      </c>
    </row>
    <row r="704" spans="1:8">
      <c r="A704" s="6"/>
      <c r="B704">
        <v>65</v>
      </c>
      <c r="C704">
        <v>15</v>
      </c>
      <c r="D704">
        <v>77</v>
      </c>
      <c r="E704">
        <v>9</v>
      </c>
      <c r="F704">
        <v>63</v>
      </c>
      <c r="G704">
        <v>93</v>
      </c>
      <c r="H704">
        <v>10</v>
      </c>
    </row>
    <row r="705" spans="1:8">
      <c r="A705" s="6"/>
      <c r="B705">
        <v>66</v>
      </c>
      <c r="C705">
        <v>62</v>
      </c>
      <c r="D705">
        <v>77</v>
      </c>
      <c r="E705">
        <v>20</v>
      </c>
      <c r="F705">
        <v>49</v>
      </c>
      <c r="G705">
        <v>79</v>
      </c>
      <c r="H705">
        <v>10</v>
      </c>
    </row>
    <row r="706" spans="1:8">
      <c r="A706" s="6"/>
      <c r="B706">
        <v>67</v>
      </c>
      <c r="C706">
        <v>49</v>
      </c>
      <c r="D706">
        <v>73</v>
      </c>
      <c r="E706">
        <v>25</v>
      </c>
      <c r="F706">
        <v>117</v>
      </c>
      <c r="G706">
        <v>147</v>
      </c>
      <c r="H706">
        <v>10</v>
      </c>
    </row>
    <row r="707" spans="1:8">
      <c r="A707" s="6"/>
      <c r="B707">
        <v>68</v>
      </c>
      <c r="C707">
        <v>67</v>
      </c>
      <c r="D707">
        <v>5</v>
      </c>
      <c r="E707">
        <v>25</v>
      </c>
      <c r="F707">
        <v>73</v>
      </c>
      <c r="G707">
        <v>103</v>
      </c>
      <c r="H707">
        <v>10</v>
      </c>
    </row>
    <row r="708" spans="1:8">
      <c r="A708" s="6"/>
      <c r="B708">
        <v>69</v>
      </c>
      <c r="C708">
        <v>56</v>
      </c>
      <c r="D708">
        <v>39</v>
      </c>
      <c r="E708">
        <v>36</v>
      </c>
      <c r="F708">
        <v>132</v>
      </c>
      <c r="G708">
        <v>162</v>
      </c>
      <c r="H708">
        <v>10</v>
      </c>
    </row>
    <row r="709" spans="1:8">
      <c r="A709" s="6"/>
      <c r="B709">
        <v>70</v>
      </c>
      <c r="C709">
        <v>37</v>
      </c>
      <c r="D709">
        <v>47</v>
      </c>
      <c r="E709">
        <v>6</v>
      </c>
      <c r="F709">
        <v>40</v>
      </c>
      <c r="G709">
        <v>70</v>
      </c>
      <c r="H709">
        <v>10</v>
      </c>
    </row>
    <row r="710" spans="1:8">
      <c r="A710" s="6"/>
      <c r="B710">
        <v>71</v>
      </c>
      <c r="C710">
        <v>37</v>
      </c>
      <c r="D710">
        <v>56</v>
      </c>
      <c r="E710">
        <v>5</v>
      </c>
      <c r="F710">
        <v>168</v>
      </c>
      <c r="G710">
        <v>198</v>
      </c>
      <c r="H710">
        <v>10</v>
      </c>
    </row>
    <row r="711" spans="1:8">
      <c r="A711" s="6"/>
      <c r="B711">
        <v>72</v>
      </c>
      <c r="C711">
        <v>57</v>
      </c>
      <c r="D711">
        <v>68</v>
      </c>
      <c r="E711">
        <v>15</v>
      </c>
      <c r="F711">
        <v>0</v>
      </c>
      <c r="G711">
        <v>180</v>
      </c>
      <c r="H711">
        <v>10</v>
      </c>
    </row>
    <row r="712" spans="1:8">
      <c r="A712" s="6"/>
      <c r="B712">
        <v>73</v>
      </c>
      <c r="C712">
        <v>47</v>
      </c>
      <c r="D712">
        <v>16</v>
      </c>
      <c r="E712">
        <v>25</v>
      </c>
      <c r="F712">
        <v>0</v>
      </c>
      <c r="G712">
        <v>197</v>
      </c>
      <c r="H712">
        <v>10</v>
      </c>
    </row>
    <row r="713" spans="1:8">
      <c r="A713" s="6"/>
      <c r="B713">
        <v>74</v>
      </c>
      <c r="C713">
        <v>44</v>
      </c>
      <c r="D713">
        <v>17</v>
      </c>
      <c r="E713">
        <v>9</v>
      </c>
      <c r="F713">
        <v>0</v>
      </c>
      <c r="G713">
        <v>199</v>
      </c>
      <c r="H713">
        <v>10</v>
      </c>
    </row>
    <row r="714" spans="1:8">
      <c r="A714" s="6"/>
      <c r="B714">
        <v>75</v>
      </c>
      <c r="C714">
        <v>46</v>
      </c>
      <c r="D714">
        <v>13</v>
      </c>
      <c r="E714">
        <v>8</v>
      </c>
      <c r="F714">
        <v>139</v>
      </c>
      <c r="G714">
        <v>169</v>
      </c>
      <c r="H714">
        <v>10</v>
      </c>
    </row>
    <row r="715" spans="1:8">
      <c r="A715" s="6"/>
      <c r="B715">
        <v>76</v>
      </c>
      <c r="C715">
        <v>49</v>
      </c>
      <c r="D715">
        <v>11</v>
      </c>
      <c r="E715">
        <v>18</v>
      </c>
      <c r="F715">
        <v>0</v>
      </c>
      <c r="G715">
        <v>192</v>
      </c>
      <c r="H715">
        <v>10</v>
      </c>
    </row>
    <row r="716" spans="1:8">
      <c r="A716" s="6"/>
      <c r="B716">
        <v>77</v>
      </c>
      <c r="C716">
        <v>49</v>
      </c>
      <c r="D716">
        <v>42</v>
      </c>
      <c r="E716">
        <v>13</v>
      </c>
      <c r="F716">
        <v>63</v>
      </c>
      <c r="G716">
        <v>93</v>
      </c>
      <c r="H716">
        <v>10</v>
      </c>
    </row>
    <row r="717" spans="1:8">
      <c r="A717" s="6"/>
      <c r="B717">
        <v>78</v>
      </c>
      <c r="C717">
        <v>53</v>
      </c>
      <c r="D717">
        <v>43</v>
      </c>
      <c r="E717">
        <v>14</v>
      </c>
      <c r="F717">
        <v>169</v>
      </c>
      <c r="G717">
        <v>199</v>
      </c>
      <c r="H717">
        <v>10</v>
      </c>
    </row>
    <row r="718" spans="1:8">
      <c r="A718" s="6"/>
      <c r="B718">
        <v>79</v>
      </c>
      <c r="C718">
        <v>61</v>
      </c>
      <c r="D718">
        <v>52</v>
      </c>
      <c r="E718">
        <v>3</v>
      </c>
      <c r="F718">
        <v>86</v>
      </c>
      <c r="G718">
        <v>116</v>
      </c>
      <c r="H718">
        <v>10</v>
      </c>
    </row>
    <row r="719" spans="1:8">
      <c r="A719" s="6"/>
      <c r="B719">
        <v>80</v>
      </c>
      <c r="C719">
        <v>57</v>
      </c>
      <c r="D719">
        <v>48</v>
      </c>
      <c r="E719">
        <v>23</v>
      </c>
      <c r="F719">
        <v>82</v>
      </c>
      <c r="G719">
        <v>112</v>
      </c>
      <c r="H719">
        <v>10</v>
      </c>
    </row>
    <row r="720" spans="1:8">
      <c r="A720" s="6"/>
      <c r="B720">
        <v>81</v>
      </c>
      <c r="C720">
        <v>56</v>
      </c>
      <c r="D720">
        <v>37</v>
      </c>
      <c r="E720">
        <v>6</v>
      </c>
      <c r="F720">
        <v>168</v>
      </c>
      <c r="G720">
        <v>198</v>
      </c>
      <c r="H720">
        <v>10</v>
      </c>
    </row>
    <row r="721" spans="1:8">
      <c r="A721" s="6"/>
      <c r="B721">
        <v>82</v>
      </c>
      <c r="C721">
        <v>55</v>
      </c>
      <c r="D721">
        <v>54</v>
      </c>
      <c r="E721">
        <v>26</v>
      </c>
      <c r="F721">
        <v>0</v>
      </c>
      <c r="G721">
        <v>192</v>
      </c>
      <c r="H721">
        <v>10</v>
      </c>
    </row>
    <row r="722" spans="1:8">
      <c r="A722" s="6"/>
      <c r="B722">
        <v>83</v>
      </c>
      <c r="C722">
        <v>15</v>
      </c>
      <c r="D722">
        <v>47</v>
      </c>
      <c r="E722">
        <v>16</v>
      </c>
      <c r="F722">
        <v>0</v>
      </c>
      <c r="G722">
        <v>196</v>
      </c>
      <c r="H722">
        <v>10</v>
      </c>
    </row>
    <row r="723" spans="1:8">
      <c r="A723" s="6"/>
      <c r="B723">
        <v>84</v>
      </c>
      <c r="C723">
        <v>14</v>
      </c>
      <c r="D723">
        <v>37</v>
      </c>
      <c r="E723">
        <v>11</v>
      </c>
      <c r="F723">
        <v>0</v>
      </c>
      <c r="G723">
        <v>198</v>
      </c>
      <c r="H723">
        <v>10</v>
      </c>
    </row>
    <row r="724" spans="1:8">
      <c r="A724" s="6"/>
      <c r="B724">
        <v>85</v>
      </c>
      <c r="C724">
        <v>11</v>
      </c>
      <c r="D724">
        <v>31</v>
      </c>
      <c r="E724">
        <v>7</v>
      </c>
      <c r="F724">
        <v>91</v>
      </c>
      <c r="G724">
        <v>121</v>
      </c>
      <c r="H724">
        <v>10</v>
      </c>
    </row>
    <row r="725" spans="1:8">
      <c r="A725" s="6"/>
      <c r="B725">
        <v>86</v>
      </c>
      <c r="C725">
        <v>16</v>
      </c>
      <c r="D725">
        <v>22</v>
      </c>
      <c r="E725">
        <v>41</v>
      </c>
      <c r="F725">
        <v>0</v>
      </c>
      <c r="G725">
        <v>196</v>
      </c>
      <c r="H725">
        <v>10</v>
      </c>
    </row>
    <row r="726" spans="1:8">
      <c r="A726" s="6"/>
      <c r="B726">
        <v>87</v>
      </c>
      <c r="C726">
        <v>4</v>
      </c>
      <c r="D726">
        <v>18</v>
      </c>
      <c r="E726">
        <v>35</v>
      </c>
      <c r="F726">
        <v>0</v>
      </c>
      <c r="G726">
        <v>184</v>
      </c>
      <c r="H726">
        <v>10</v>
      </c>
    </row>
    <row r="727" spans="1:8">
      <c r="A727" s="6"/>
      <c r="B727">
        <v>88</v>
      </c>
      <c r="C727">
        <v>28</v>
      </c>
      <c r="D727">
        <v>18</v>
      </c>
      <c r="E727">
        <v>26</v>
      </c>
      <c r="F727">
        <v>83</v>
      </c>
      <c r="G727">
        <v>113</v>
      </c>
      <c r="H727">
        <v>10</v>
      </c>
    </row>
    <row r="728" spans="1:8">
      <c r="A728" s="6"/>
      <c r="B728">
        <v>89</v>
      </c>
      <c r="C728">
        <v>26</v>
      </c>
      <c r="D728">
        <v>52</v>
      </c>
      <c r="E728">
        <v>9</v>
      </c>
      <c r="F728">
        <v>64</v>
      </c>
      <c r="G728">
        <v>94</v>
      </c>
      <c r="H728">
        <v>10</v>
      </c>
    </row>
    <row r="729" spans="1:8">
      <c r="A729" s="6"/>
      <c r="B729">
        <v>90</v>
      </c>
      <c r="C729">
        <v>26</v>
      </c>
      <c r="D729">
        <v>35</v>
      </c>
      <c r="E729">
        <v>15</v>
      </c>
      <c r="F729">
        <v>0</v>
      </c>
      <c r="G729">
        <v>211</v>
      </c>
      <c r="H729">
        <v>10</v>
      </c>
    </row>
    <row r="730" spans="1:8">
      <c r="A730" s="6"/>
      <c r="B730">
        <v>91</v>
      </c>
      <c r="C730">
        <v>31</v>
      </c>
      <c r="D730">
        <v>67</v>
      </c>
      <c r="E730">
        <v>3</v>
      </c>
      <c r="F730">
        <v>0</v>
      </c>
      <c r="G730">
        <v>187</v>
      </c>
      <c r="H730">
        <v>10</v>
      </c>
    </row>
    <row r="731" spans="1:8">
      <c r="A731" s="6"/>
      <c r="B731">
        <v>92</v>
      </c>
      <c r="C731">
        <v>15</v>
      </c>
      <c r="D731">
        <v>19</v>
      </c>
      <c r="E731">
        <v>1</v>
      </c>
      <c r="F731">
        <v>0</v>
      </c>
      <c r="G731">
        <v>194</v>
      </c>
      <c r="H731">
        <v>10</v>
      </c>
    </row>
    <row r="732" spans="1:8">
      <c r="A732" s="6"/>
      <c r="B732">
        <v>93</v>
      </c>
      <c r="C732">
        <v>22</v>
      </c>
      <c r="D732">
        <v>22</v>
      </c>
      <c r="E732">
        <v>2</v>
      </c>
      <c r="F732">
        <v>18</v>
      </c>
      <c r="G732">
        <v>48</v>
      </c>
      <c r="H732">
        <v>10</v>
      </c>
    </row>
    <row r="733" spans="1:8">
      <c r="A733" s="6"/>
      <c r="B733">
        <v>94</v>
      </c>
      <c r="C733">
        <v>18</v>
      </c>
      <c r="D733">
        <v>24</v>
      </c>
      <c r="E733">
        <v>22</v>
      </c>
      <c r="F733">
        <v>169</v>
      </c>
      <c r="G733">
        <v>199</v>
      </c>
      <c r="H733">
        <v>10</v>
      </c>
    </row>
    <row r="734" spans="1:8">
      <c r="A734" s="6"/>
      <c r="B734">
        <v>95</v>
      </c>
      <c r="C734">
        <v>26</v>
      </c>
      <c r="D734">
        <v>27</v>
      </c>
      <c r="E734">
        <v>27</v>
      </c>
      <c r="F734">
        <v>0</v>
      </c>
      <c r="G734">
        <v>207</v>
      </c>
      <c r="H734">
        <v>10</v>
      </c>
    </row>
    <row r="735" spans="1:8">
      <c r="A735" s="6"/>
      <c r="B735">
        <v>96</v>
      </c>
      <c r="C735">
        <v>25</v>
      </c>
      <c r="D735">
        <v>24</v>
      </c>
      <c r="E735">
        <v>20</v>
      </c>
      <c r="F735">
        <v>0</v>
      </c>
      <c r="G735">
        <v>205</v>
      </c>
      <c r="H735">
        <v>10</v>
      </c>
    </row>
    <row r="736" spans="1:8">
      <c r="A736" s="6"/>
      <c r="B736">
        <v>97</v>
      </c>
      <c r="C736">
        <v>22</v>
      </c>
      <c r="D736">
        <v>27</v>
      </c>
      <c r="E736">
        <v>11</v>
      </c>
      <c r="F736">
        <v>0</v>
      </c>
      <c r="G736">
        <v>204</v>
      </c>
      <c r="H736">
        <v>10</v>
      </c>
    </row>
    <row r="737" spans="1:8">
      <c r="A737" s="6"/>
      <c r="B737">
        <v>98</v>
      </c>
      <c r="C737">
        <v>25</v>
      </c>
      <c r="D737">
        <v>21</v>
      </c>
      <c r="E737">
        <v>12</v>
      </c>
      <c r="F737">
        <v>0</v>
      </c>
      <c r="G737">
        <v>202</v>
      </c>
      <c r="H737">
        <v>10</v>
      </c>
    </row>
    <row r="738" spans="1:8">
      <c r="A738" s="6"/>
      <c r="B738">
        <v>99</v>
      </c>
      <c r="C738">
        <v>19</v>
      </c>
      <c r="D738">
        <v>21</v>
      </c>
      <c r="E738">
        <v>10</v>
      </c>
      <c r="F738">
        <v>0</v>
      </c>
      <c r="G738">
        <v>198</v>
      </c>
      <c r="H738">
        <v>10</v>
      </c>
    </row>
    <row r="739" spans="1:8">
      <c r="A739" s="6"/>
      <c r="B739">
        <v>100</v>
      </c>
      <c r="C739">
        <v>20</v>
      </c>
      <c r="D739">
        <v>26</v>
      </c>
      <c r="E739">
        <v>9</v>
      </c>
      <c r="F739">
        <v>73</v>
      </c>
      <c r="G739">
        <v>103</v>
      </c>
      <c r="H739">
        <v>10</v>
      </c>
    </row>
    <row r="740" spans="1:8">
      <c r="B740">
        <v>101</v>
      </c>
      <c r="C740">
        <v>18</v>
      </c>
      <c r="D740">
        <v>18</v>
      </c>
      <c r="E740">
        <v>17</v>
      </c>
      <c r="F740">
        <v>165</v>
      </c>
      <c r="G740">
        <v>195</v>
      </c>
      <c r="H740">
        <v>10</v>
      </c>
    </row>
    <row r="742" spans="1:8" ht="22.8">
      <c r="A742" s="8" t="s">
        <v>20</v>
      </c>
    </row>
    <row r="743" spans="1:8">
      <c r="A743" s="4"/>
    </row>
    <row r="744" spans="1:8">
      <c r="A744" s="6"/>
      <c r="B744" t="s">
        <v>32</v>
      </c>
      <c r="C744" t="s">
        <v>26</v>
      </c>
      <c r="D744" t="s">
        <v>27</v>
      </c>
      <c r="E744" t="s">
        <v>28</v>
      </c>
      <c r="F744" t="s">
        <v>29</v>
      </c>
      <c r="G744" t="s">
        <v>30</v>
      </c>
      <c r="H744" t="s">
        <v>31</v>
      </c>
    </row>
    <row r="745" spans="1:8">
      <c r="A745" s="6"/>
      <c r="B745">
        <v>1</v>
      </c>
      <c r="C745">
        <v>35</v>
      </c>
      <c r="D745">
        <v>35</v>
      </c>
      <c r="E745">
        <v>0</v>
      </c>
      <c r="F745">
        <v>0</v>
      </c>
      <c r="G745">
        <v>230</v>
      </c>
      <c r="H745">
        <v>0</v>
      </c>
    </row>
    <row r="746" spans="1:8">
      <c r="A746" s="6"/>
      <c r="B746">
        <v>2</v>
      </c>
      <c r="C746">
        <v>41</v>
      </c>
      <c r="D746">
        <v>49</v>
      </c>
      <c r="E746">
        <v>10</v>
      </c>
      <c r="F746">
        <v>0</v>
      </c>
      <c r="G746">
        <v>204</v>
      </c>
      <c r="H746">
        <v>10</v>
      </c>
    </row>
    <row r="747" spans="1:8">
      <c r="A747" s="6"/>
      <c r="B747">
        <v>3</v>
      </c>
      <c r="C747">
        <v>35</v>
      </c>
      <c r="D747">
        <v>17</v>
      </c>
      <c r="E747">
        <v>7</v>
      </c>
      <c r="F747">
        <v>0</v>
      </c>
      <c r="G747">
        <v>202</v>
      </c>
      <c r="H747">
        <v>10</v>
      </c>
    </row>
    <row r="748" spans="1:8">
      <c r="A748" s="6"/>
      <c r="B748">
        <v>4</v>
      </c>
      <c r="C748">
        <v>55</v>
      </c>
      <c r="D748">
        <v>45</v>
      </c>
      <c r="E748">
        <v>13</v>
      </c>
      <c r="F748">
        <v>0</v>
      </c>
      <c r="G748">
        <v>197</v>
      </c>
      <c r="H748">
        <v>10</v>
      </c>
    </row>
    <row r="749" spans="1:8">
      <c r="A749" s="6"/>
      <c r="B749">
        <v>5</v>
      </c>
      <c r="C749">
        <v>55</v>
      </c>
      <c r="D749">
        <v>20</v>
      </c>
      <c r="E749">
        <v>19</v>
      </c>
      <c r="F749">
        <v>139</v>
      </c>
      <c r="G749">
        <v>169</v>
      </c>
      <c r="H749">
        <v>10</v>
      </c>
    </row>
    <row r="750" spans="1:8">
      <c r="A750" s="6"/>
      <c r="B750">
        <v>6</v>
      </c>
      <c r="C750">
        <v>15</v>
      </c>
      <c r="D750">
        <v>30</v>
      </c>
      <c r="E750">
        <v>26</v>
      </c>
      <c r="F750">
        <v>0</v>
      </c>
      <c r="G750">
        <v>199</v>
      </c>
      <c r="H750">
        <v>10</v>
      </c>
    </row>
    <row r="751" spans="1:8">
      <c r="A751" s="6"/>
      <c r="B751">
        <v>7</v>
      </c>
      <c r="C751">
        <v>25</v>
      </c>
      <c r="D751">
        <v>30</v>
      </c>
      <c r="E751">
        <v>3</v>
      </c>
      <c r="F751">
        <v>0</v>
      </c>
      <c r="G751">
        <v>208</v>
      </c>
      <c r="H751">
        <v>10</v>
      </c>
    </row>
    <row r="752" spans="1:8">
      <c r="A752" s="6"/>
      <c r="B752">
        <v>8</v>
      </c>
      <c r="C752">
        <v>20</v>
      </c>
      <c r="D752">
        <v>50</v>
      </c>
      <c r="E752">
        <v>5</v>
      </c>
      <c r="F752">
        <v>0</v>
      </c>
      <c r="G752">
        <v>198</v>
      </c>
      <c r="H752">
        <v>10</v>
      </c>
    </row>
    <row r="753" spans="1:8">
      <c r="A753" s="6"/>
      <c r="B753">
        <v>9</v>
      </c>
      <c r="C753">
        <v>10</v>
      </c>
      <c r="D753">
        <v>43</v>
      </c>
      <c r="E753">
        <v>9</v>
      </c>
      <c r="F753">
        <v>85</v>
      </c>
      <c r="G753">
        <v>115</v>
      </c>
      <c r="H753">
        <v>10</v>
      </c>
    </row>
    <row r="754" spans="1:8">
      <c r="A754" s="6"/>
      <c r="B754">
        <v>10</v>
      </c>
      <c r="C754">
        <v>55</v>
      </c>
      <c r="D754">
        <v>60</v>
      </c>
      <c r="E754">
        <v>16</v>
      </c>
      <c r="F754">
        <v>87</v>
      </c>
      <c r="G754">
        <v>117</v>
      </c>
      <c r="H754">
        <v>10</v>
      </c>
    </row>
    <row r="755" spans="1:8">
      <c r="A755" s="6"/>
      <c r="B755">
        <v>11</v>
      </c>
      <c r="C755">
        <v>30</v>
      </c>
      <c r="D755">
        <v>60</v>
      </c>
      <c r="E755">
        <v>16</v>
      </c>
      <c r="F755">
        <v>0</v>
      </c>
      <c r="G755">
        <v>194</v>
      </c>
      <c r="H755">
        <v>10</v>
      </c>
    </row>
    <row r="756" spans="1:8">
      <c r="A756" s="6"/>
      <c r="B756">
        <v>12</v>
      </c>
      <c r="C756">
        <v>20</v>
      </c>
      <c r="D756">
        <v>65</v>
      </c>
      <c r="E756">
        <v>12</v>
      </c>
      <c r="F756">
        <v>57</v>
      </c>
      <c r="G756">
        <v>87</v>
      </c>
      <c r="H756">
        <v>10</v>
      </c>
    </row>
    <row r="757" spans="1:8">
      <c r="A757" s="6"/>
      <c r="B757">
        <v>13</v>
      </c>
      <c r="C757">
        <v>50</v>
      </c>
      <c r="D757">
        <v>35</v>
      </c>
      <c r="E757">
        <v>19</v>
      </c>
      <c r="F757">
        <v>0</v>
      </c>
      <c r="G757">
        <v>205</v>
      </c>
      <c r="H757">
        <v>10</v>
      </c>
    </row>
    <row r="758" spans="1:8">
      <c r="A758" s="6"/>
      <c r="B758">
        <v>14</v>
      </c>
      <c r="C758">
        <v>30</v>
      </c>
      <c r="D758">
        <v>25</v>
      </c>
      <c r="E758">
        <v>23</v>
      </c>
      <c r="F758">
        <v>149</v>
      </c>
      <c r="G758">
        <v>179</v>
      </c>
      <c r="H758">
        <v>10</v>
      </c>
    </row>
    <row r="759" spans="1:8">
      <c r="A759" s="6"/>
      <c r="B759">
        <v>15</v>
      </c>
      <c r="C759">
        <v>15</v>
      </c>
      <c r="D759">
        <v>10</v>
      </c>
      <c r="E759">
        <v>20</v>
      </c>
      <c r="F759">
        <v>0</v>
      </c>
      <c r="G759">
        <v>187</v>
      </c>
      <c r="H759">
        <v>10</v>
      </c>
    </row>
    <row r="760" spans="1:8">
      <c r="A760" s="6"/>
      <c r="B760">
        <v>16</v>
      </c>
      <c r="C760">
        <v>30</v>
      </c>
      <c r="D760">
        <v>5</v>
      </c>
      <c r="E760">
        <v>8</v>
      </c>
      <c r="F760">
        <v>51</v>
      </c>
      <c r="G760">
        <v>81</v>
      </c>
      <c r="H760">
        <v>10</v>
      </c>
    </row>
    <row r="761" spans="1:8">
      <c r="A761" s="6"/>
      <c r="B761">
        <v>17</v>
      </c>
      <c r="C761">
        <v>10</v>
      </c>
      <c r="D761">
        <v>20</v>
      </c>
      <c r="E761">
        <v>19</v>
      </c>
      <c r="F761">
        <v>0</v>
      </c>
      <c r="G761">
        <v>190</v>
      </c>
      <c r="H761">
        <v>10</v>
      </c>
    </row>
    <row r="762" spans="1:8">
      <c r="A762" s="6"/>
      <c r="B762">
        <v>18</v>
      </c>
      <c r="C762">
        <v>5</v>
      </c>
      <c r="D762">
        <v>30</v>
      </c>
      <c r="E762">
        <v>2</v>
      </c>
      <c r="F762">
        <v>0</v>
      </c>
      <c r="G762">
        <v>189</v>
      </c>
      <c r="H762">
        <v>10</v>
      </c>
    </row>
    <row r="763" spans="1:8">
      <c r="A763" s="6"/>
      <c r="B763">
        <v>19</v>
      </c>
      <c r="C763">
        <v>20</v>
      </c>
      <c r="D763">
        <v>40</v>
      </c>
      <c r="E763">
        <v>12</v>
      </c>
      <c r="F763">
        <v>0</v>
      </c>
      <c r="G763">
        <v>204</v>
      </c>
      <c r="H763">
        <v>10</v>
      </c>
    </row>
    <row r="764" spans="1:8">
      <c r="A764" s="6"/>
      <c r="B764">
        <v>20</v>
      </c>
      <c r="C764">
        <v>15</v>
      </c>
      <c r="D764">
        <v>60</v>
      </c>
      <c r="E764">
        <v>17</v>
      </c>
      <c r="F764">
        <v>0</v>
      </c>
      <c r="G764">
        <v>187</v>
      </c>
      <c r="H764">
        <v>10</v>
      </c>
    </row>
    <row r="765" spans="1:8">
      <c r="A765" s="6"/>
      <c r="B765">
        <v>21</v>
      </c>
      <c r="C765">
        <v>45</v>
      </c>
      <c r="D765">
        <v>65</v>
      </c>
      <c r="E765">
        <v>9</v>
      </c>
      <c r="F765">
        <v>0</v>
      </c>
      <c r="G765">
        <v>188</v>
      </c>
      <c r="H765">
        <v>10</v>
      </c>
    </row>
    <row r="766" spans="1:8">
      <c r="A766" s="6"/>
      <c r="B766">
        <v>22</v>
      </c>
      <c r="C766">
        <v>45</v>
      </c>
      <c r="D766">
        <v>20</v>
      </c>
      <c r="E766">
        <v>11</v>
      </c>
      <c r="F766">
        <v>0</v>
      </c>
      <c r="G766">
        <v>201</v>
      </c>
      <c r="H766">
        <v>10</v>
      </c>
    </row>
    <row r="767" spans="1:8">
      <c r="A767" s="6"/>
      <c r="B767">
        <v>23</v>
      </c>
      <c r="C767">
        <v>45</v>
      </c>
      <c r="D767">
        <v>10</v>
      </c>
      <c r="E767">
        <v>18</v>
      </c>
      <c r="F767">
        <v>0</v>
      </c>
      <c r="G767">
        <v>193</v>
      </c>
      <c r="H767">
        <v>10</v>
      </c>
    </row>
    <row r="768" spans="1:8">
      <c r="A768" s="6"/>
      <c r="B768">
        <v>24</v>
      </c>
      <c r="C768">
        <v>55</v>
      </c>
      <c r="D768">
        <v>5</v>
      </c>
      <c r="E768">
        <v>29</v>
      </c>
      <c r="F768">
        <v>58</v>
      </c>
      <c r="G768">
        <v>88</v>
      </c>
      <c r="H768">
        <v>10</v>
      </c>
    </row>
    <row r="769" spans="1:8">
      <c r="A769" s="6"/>
      <c r="B769">
        <v>25</v>
      </c>
      <c r="C769">
        <v>65</v>
      </c>
      <c r="D769">
        <v>35</v>
      </c>
      <c r="E769">
        <v>3</v>
      </c>
      <c r="F769">
        <v>0</v>
      </c>
      <c r="G769">
        <v>190</v>
      </c>
      <c r="H769">
        <v>10</v>
      </c>
    </row>
    <row r="770" spans="1:8">
      <c r="A770" s="6"/>
      <c r="B770">
        <v>26</v>
      </c>
      <c r="C770">
        <v>65</v>
      </c>
      <c r="D770">
        <v>20</v>
      </c>
      <c r="E770">
        <v>6</v>
      </c>
      <c r="F770">
        <v>156</v>
      </c>
      <c r="G770">
        <v>186</v>
      </c>
      <c r="H770">
        <v>10</v>
      </c>
    </row>
    <row r="771" spans="1:8">
      <c r="A771" s="6"/>
      <c r="B771">
        <v>27</v>
      </c>
      <c r="C771">
        <v>45</v>
      </c>
      <c r="D771">
        <v>30</v>
      </c>
      <c r="E771">
        <v>17</v>
      </c>
      <c r="F771">
        <v>0</v>
      </c>
      <c r="G771">
        <v>208</v>
      </c>
      <c r="H771">
        <v>10</v>
      </c>
    </row>
    <row r="772" spans="1:8">
      <c r="A772" s="6"/>
      <c r="B772">
        <v>28</v>
      </c>
      <c r="C772">
        <v>35</v>
      </c>
      <c r="D772">
        <v>40</v>
      </c>
      <c r="E772">
        <v>16</v>
      </c>
      <c r="F772">
        <v>0</v>
      </c>
      <c r="G772">
        <v>215</v>
      </c>
      <c r="H772">
        <v>10</v>
      </c>
    </row>
    <row r="773" spans="1:8">
      <c r="A773" s="6"/>
      <c r="B773">
        <v>29</v>
      </c>
      <c r="C773">
        <v>41</v>
      </c>
      <c r="D773">
        <v>37</v>
      </c>
      <c r="E773">
        <v>16</v>
      </c>
      <c r="F773">
        <v>0</v>
      </c>
      <c r="G773">
        <v>213</v>
      </c>
      <c r="H773">
        <v>10</v>
      </c>
    </row>
    <row r="774" spans="1:8">
      <c r="A774" s="6"/>
      <c r="B774">
        <v>30</v>
      </c>
      <c r="C774">
        <v>64</v>
      </c>
      <c r="D774">
        <v>42</v>
      </c>
      <c r="E774">
        <v>9</v>
      </c>
      <c r="F774">
        <v>0</v>
      </c>
      <c r="G774">
        <v>190</v>
      </c>
      <c r="H774">
        <v>10</v>
      </c>
    </row>
    <row r="775" spans="1:8">
      <c r="A775" s="6"/>
      <c r="B775">
        <v>31</v>
      </c>
      <c r="C775">
        <v>40</v>
      </c>
      <c r="D775">
        <v>60</v>
      </c>
      <c r="E775">
        <v>21</v>
      </c>
      <c r="F775">
        <v>0</v>
      </c>
      <c r="G775">
        <v>194</v>
      </c>
      <c r="H775">
        <v>10</v>
      </c>
    </row>
    <row r="776" spans="1:8">
      <c r="A776" s="6"/>
      <c r="B776">
        <v>32</v>
      </c>
      <c r="C776">
        <v>31</v>
      </c>
      <c r="D776">
        <v>52</v>
      </c>
      <c r="E776">
        <v>27</v>
      </c>
      <c r="F776">
        <v>0</v>
      </c>
      <c r="G776">
        <v>202</v>
      </c>
      <c r="H776">
        <v>10</v>
      </c>
    </row>
    <row r="777" spans="1:8">
      <c r="A777" s="6"/>
      <c r="B777">
        <v>33</v>
      </c>
      <c r="C777">
        <v>35</v>
      </c>
      <c r="D777">
        <v>69</v>
      </c>
      <c r="E777">
        <v>23</v>
      </c>
      <c r="F777">
        <v>0</v>
      </c>
      <c r="G777">
        <v>186</v>
      </c>
      <c r="H777">
        <v>10</v>
      </c>
    </row>
    <row r="778" spans="1:8">
      <c r="A778" s="6"/>
      <c r="B778">
        <v>34</v>
      </c>
      <c r="C778">
        <v>53</v>
      </c>
      <c r="D778">
        <v>52</v>
      </c>
      <c r="E778">
        <v>11</v>
      </c>
      <c r="F778">
        <v>0</v>
      </c>
      <c r="G778">
        <v>195</v>
      </c>
      <c r="H778">
        <v>10</v>
      </c>
    </row>
    <row r="779" spans="1:8">
      <c r="A779" s="6"/>
      <c r="B779">
        <v>35</v>
      </c>
      <c r="C779">
        <v>65</v>
      </c>
      <c r="D779">
        <v>55</v>
      </c>
      <c r="E779">
        <v>14</v>
      </c>
      <c r="F779">
        <v>0</v>
      </c>
      <c r="G779">
        <v>183</v>
      </c>
      <c r="H779">
        <v>10</v>
      </c>
    </row>
    <row r="780" spans="1:8">
      <c r="A780" s="6"/>
      <c r="B780">
        <v>36</v>
      </c>
      <c r="C780">
        <v>63</v>
      </c>
      <c r="D780">
        <v>65</v>
      </c>
      <c r="E780">
        <v>8</v>
      </c>
      <c r="F780">
        <v>0</v>
      </c>
      <c r="G780">
        <v>178</v>
      </c>
      <c r="H780">
        <v>10</v>
      </c>
    </row>
    <row r="781" spans="1:8">
      <c r="A781" s="6"/>
      <c r="B781">
        <v>37</v>
      </c>
      <c r="C781">
        <v>2</v>
      </c>
      <c r="D781">
        <v>60</v>
      </c>
      <c r="E781">
        <v>5</v>
      </c>
      <c r="F781">
        <v>0</v>
      </c>
      <c r="G781">
        <v>178</v>
      </c>
      <c r="H781">
        <v>10</v>
      </c>
    </row>
    <row r="782" spans="1:8">
      <c r="A782" s="6"/>
      <c r="B782">
        <v>38</v>
      </c>
      <c r="C782">
        <v>20</v>
      </c>
      <c r="D782">
        <v>20</v>
      </c>
      <c r="E782">
        <v>8</v>
      </c>
      <c r="F782">
        <v>0</v>
      </c>
      <c r="G782">
        <v>198</v>
      </c>
      <c r="H782">
        <v>10</v>
      </c>
    </row>
    <row r="783" spans="1:8">
      <c r="A783" s="6"/>
      <c r="B783">
        <v>39</v>
      </c>
      <c r="C783">
        <v>5</v>
      </c>
      <c r="D783">
        <v>5</v>
      </c>
      <c r="E783">
        <v>16</v>
      </c>
      <c r="F783">
        <v>73</v>
      </c>
      <c r="G783">
        <v>103</v>
      </c>
      <c r="H783">
        <v>10</v>
      </c>
    </row>
    <row r="784" spans="1:8">
      <c r="A784" s="6"/>
      <c r="B784">
        <v>40</v>
      </c>
      <c r="C784">
        <v>60</v>
      </c>
      <c r="D784">
        <v>12</v>
      </c>
      <c r="E784">
        <v>31</v>
      </c>
      <c r="F784">
        <v>0</v>
      </c>
      <c r="G784">
        <v>186</v>
      </c>
      <c r="H784">
        <v>10</v>
      </c>
    </row>
    <row r="785" spans="1:8">
      <c r="A785" s="6"/>
      <c r="B785">
        <v>41</v>
      </c>
      <c r="C785">
        <v>40</v>
      </c>
      <c r="D785">
        <v>25</v>
      </c>
      <c r="E785">
        <v>9</v>
      </c>
      <c r="F785">
        <v>0</v>
      </c>
      <c r="G785">
        <v>208</v>
      </c>
      <c r="H785">
        <v>10</v>
      </c>
    </row>
    <row r="786" spans="1:8">
      <c r="A786" s="6"/>
      <c r="B786">
        <v>42</v>
      </c>
      <c r="C786">
        <v>42</v>
      </c>
      <c r="D786">
        <v>7</v>
      </c>
      <c r="E786">
        <v>5</v>
      </c>
      <c r="F786">
        <v>0</v>
      </c>
      <c r="G786">
        <v>191</v>
      </c>
      <c r="H786">
        <v>10</v>
      </c>
    </row>
    <row r="787" spans="1:8">
      <c r="A787" s="6"/>
      <c r="B787">
        <v>43</v>
      </c>
      <c r="C787">
        <v>24</v>
      </c>
      <c r="D787">
        <v>12</v>
      </c>
      <c r="E787">
        <v>5</v>
      </c>
      <c r="F787">
        <v>0</v>
      </c>
      <c r="G787">
        <v>194</v>
      </c>
      <c r="H787">
        <v>10</v>
      </c>
    </row>
    <row r="788" spans="1:8">
      <c r="A788" s="6"/>
      <c r="B788">
        <v>44</v>
      </c>
      <c r="C788">
        <v>23</v>
      </c>
      <c r="D788">
        <v>3</v>
      </c>
      <c r="E788">
        <v>7</v>
      </c>
      <c r="F788">
        <v>0</v>
      </c>
      <c r="G788">
        <v>185</v>
      </c>
      <c r="H788">
        <v>10</v>
      </c>
    </row>
    <row r="789" spans="1:8">
      <c r="A789" s="6"/>
      <c r="B789">
        <v>45</v>
      </c>
      <c r="C789">
        <v>11</v>
      </c>
      <c r="D789">
        <v>14</v>
      </c>
      <c r="E789">
        <v>18</v>
      </c>
      <c r="F789">
        <v>59</v>
      </c>
      <c r="G789">
        <v>89</v>
      </c>
      <c r="H789">
        <v>10</v>
      </c>
    </row>
    <row r="790" spans="1:8">
      <c r="A790" s="6"/>
      <c r="B790">
        <v>46</v>
      </c>
      <c r="C790">
        <v>6</v>
      </c>
      <c r="D790">
        <v>38</v>
      </c>
      <c r="E790">
        <v>16</v>
      </c>
      <c r="F790">
        <v>0</v>
      </c>
      <c r="G790">
        <v>190</v>
      </c>
      <c r="H790">
        <v>10</v>
      </c>
    </row>
    <row r="791" spans="1:8">
      <c r="A791" s="6"/>
      <c r="B791">
        <v>47</v>
      </c>
      <c r="C791">
        <v>2</v>
      </c>
      <c r="D791">
        <v>48</v>
      </c>
      <c r="E791">
        <v>1</v>
      </c>
      <c r="F791">
        <v>0</v>
      </c>
      <c r="G791">
        <v>184</v>
      </c>
      <c r="H791">
        <v>10</v>
      </c>
    </row>
    <row r="792" spans="1:8">
      <c r="A792" s="6"/>
      <c r="B792">
        <v>48</v>
      </c>
      <c r="C792">
        <v>8</v>
      </c>
      <c r="D792">
        <v>56</v>
      </c>
      <c r="E792">
        <v>27</v>
      </c>
      <c r="F792">
        <v>0</v>
      </c>
      <c r="G792">
        <v>185</v>
      </c>
      <c r="H792">
        <v>10</v>
      </c>
    </row>
    <row r="793" spans="1:8">
      <c r="A793" s="6"/>
      <c r="B793">
        <v>49</v>
      </c>
      <c r="C793">
        <v>13</v>
      </c>
      <c r="D793">
        <v>52</v>
      </c>
      <c r="E793">
        <v>36</v>
      </c>
      <c r="F793">
        <v>0</v>
      </c>
      <c r="G793">
        <v>192</v>
      </c>
      <c r="H793">
        <v>10</v>
      </c>
    </row>
    <row r="794" spans="1:8">
      <c r="A794" s="6"/>
      <c r="B794">
        <v>50</v>
      </c>
      <c r="C794">
        <v>6</v>
      </c>
      <c r="D794">
        <v>68</v>
      </c>
      <c r="E794">
        <v>30</v>
      </c>
      <c r="F794">
        <v>0</v>
      </c>
      <c r="G794">
        <v>176</v>
      </c>
      <c r="H794">
        <v>10</v>
      </c>
    </row>
    <row r="795" spans="1:8">
      <c r="A795" s="6"/>
      <c r="B795">
        <v>51</v>
      </c>
      <c r="C795">
        <v>47</v>
      </c>
      <c r="D795">
        <v>47</v>
      </c>
      <c r="E795">
        <v>13</v>
      </c>
      <c r="F795">
        <v>0</v>
      </c>
      <c r="G795">
        <v>203</v>
      </c>
      <c r="H795">
        <v>10</v>
      </c>
    </row>
    <row r="796" spans="1:8">
      <c r="A796" s="6"/>
      <c r="B796">
        <v>52</v>
      </c>
      <c r="C796">
        <v>49</v>
      </c>
      <c r="D796">
        <v>58</v>
      </c>
      <c r="E796">
        <v>10</v>
      </c>
      <c r="F796">
        <v>0</v>
      </c>
      <c r="G796">
        <v>193</v>
      </c>
      <c r="H796">
        <v>10</v>
      </c>
    </row>
    <row r="797" spans="1:8">
      <c r="A797" s="6"/>
      <c r="B797">
        <v>53</v>
      </c>
      <c r="C797">
        <v>27</v>
      </c>
      <c r="D797">
        <v>43</v>
      </c>
      <c r="E797">
        <v>9</v>
      </c>
      <c r="F797">
        <v>0</v>
      </c>
      <c r="G797">
        <v>208</v>
      </c>
      <c r="H797">
        <v>10</v>
      </c>
    </row>
    <row r="798" spans="1:8">
      <c r="A798" s="6"/>
      <c r="B798">
        <v>54</v>
      </c>
      <c r="C798">
        <v>37</v>
      </c>
      <c r="D798">
        <v>31</v>
      </c>
      <c r="E798">
        <v>14</v>
      </c>
      <c r="F798">
        <v>85</v>
      </c>
      <c r="G798">
        <v>115</v>
      </c>
      <c r="H798">
        <v>10</v>
      </c>
    </row>
    <row r="799" spans="1:8">
      <c r="A799" s="6"/>
      <c r="B799">
        <v>55</v>
      </c>
      <c r="C799">
        <v>57</v>
      </c>
      <c r="D799">
        <v>29</v>
      </c>
      <c r="E799">
        <v>18</v>
      </c>
      <c r="F799">
        <v>0</v>
      </c>
      <c r="G799">
        <v>197</v>
      </c>
      <c r="H799">
        <v>10</v>
      </c>
    </row>
    <row r="800" spans="1:8">
      <c r="A800" s="6"/>
      <c r="B800">
        <v>56</v>
      </c>
      <c r="C800">
        <v>63</v>
      </c>
      <c r="D800">
        <v>23</v>
      </c>
      <c r="E800">
        <v>2</v>
      </c>
      <c r="F800">
        <v>126</v>
      </c>
      <c r="G800">
        <v>156</v>
      </c>
      <c r="H800">
        <v>10</v>
      </c>
    </row>
    <row r="801" spans="1:8">
      <c r="A801" s="6"/>
      <c r="B801">
        <v>57</v>
      </c>
      <c r="C801">
        <v>53</v>
      </c>
      <c r="D801">
        <v>12</v>
      </c>
      <c r="E801">
        <v>6</v>
      </c>
      <c r="F801">
        <v>0</v>
      </c>
      <c r="G801">
        <v>190</v>
      </c>
      <c r="H801">
        <v>10</v>
      </c>
    </row>
    <row r="802" spans="1:8">
      <c r="A802" s="6"/>
      <c r="B802">
        <v>58</v>
      </c>
      <c r="C802">
        <v>32</v>
      </c>
      <c r="D802">
        <v>12</v>
      </c>
      <c r="E802">
        <v>7</v>
      </c>
      <c r="F802">
        <v>0</v>
      </c>
      <c r="G802">
        <v>196</v>
      </c>
      <c r="H802">
        <v>10</v>
      </c>
    </row>
    <row r="803" spans="1:8">
      <c r="A803" s="6"/>
      <c r="B803">
        <v>59</v>
      </c>
      <c r="C803">
        <v>36</v>
      </c>
      <c r="D803">
        <v>26</v>
      </c>
      <c r="E803">
        <v>18</v>
      </c>
      <c r="F803">
        <v>180</v>
      </c>
      <c r="G803">
        <v>210</v>
      </c>
      <c r="H803">
        <v>10</v>
      </c>
    </row>
    <row r="804" spans="1:8">
      <c r="A804" s="6"/>
      <c r="B804">
        <v>60</v>
      </c>
      <c r="C804">
        <v>21</v>
      </c>
      <c r="D804">
        <v>24</v>
      </c>
      <c r="E804">
        <v>28</v>
      </c>
      <c r="F804">
        <v>0</v>
      </c>
      <c r="G804">
        <v>202</v>
      </c>
      <c r="H804">
        <v>10</v>
      </c>
    </row>
    <row r="805" spans="1:8">
      <c r="A805" s="6"/>
      <c r="B805">
        <v>61</v>
      </c>
      <c r="C805">
        <v>17</v>
      </c>
      <c r="D805">
        <v>34</v>
      </c>
      <c r="E805">
        <v>3</v>
      </c>
      <c r="F805">
        <v>0</v>
      </c>
      <c r="G805">
        <v>201</v>
      </c>
      <c r="H805">
        <v>10</v>
      </c>
    </row>
    <row r="806" spans="1:8">
      <c r="A806" s="6"/>
      <c r="B806">
        <v>62</v>
      </c>
      <c r="C806">
        <v>12</v>
      </c>
      <c r="D806">
        <v>24</v>
      </c>
      <c r="E806">
        <v>13</v>
      </c>
      <c r="F806">
        <v>0</v>
      </c>
      <c r="G806">
        <v>194</v>
      </c>
      <c r="H806">
        <v>10</v>
      </c>
    </row>
    <row r="807" spans="1:8">
      <c r="A807" s="6"/>
      <c r="B807">
        <v>63</v>
      </c>
      <c r="C807">
        <v>24</v>
      </c>
      <c r="D807">
        <v>58</v>
      </c>
      <c r="E807">
        <v>19</v>
      </c>
      <c r="F807">
        <v>48</v>
      </c>
      <c r="G807">
        <v>78</v>
      </c>
      <c r="H807">
        <v>10</v>
      </c>
    </row>
    <row r="808" spans="1:8">
      <c r="A808" s="6"/>
      <c r="B808">
        <v>64</v>
      </c>
      <c r="C808">
        <v>27</v>
      </c>
      <c r="D808">
        <v>69</v>
      </c>
      <c r="E808">
        <v>10</v>
      </c>
      <c r="F808">
        <v>0</v>
      </c>
      <c r="G808">
        <v>185</v>
      </c>
      <c r="H808">
        <v>10</v>
      </c>
    </row>
    <row r="809" spans="1:8">
      <c r="A809" s="6"/>
      <c r="B809">
        <v>65</v>
      </c>
      <c r="C809">
        <v>15</v>
      </c>
      <c r="D809">
        <v>77</v>
      </c>
      <c r="E809">
        <v>9</v>
      </c>
      <c r="F809">
        <v>0</v>
      </c>
      <c r="G809">
        <v>173</v>
      </c>
      <c r="H809">
        <v>10</v>
      </c>
    </row>
    <row r="810" spans="1:8">
      <c r="A810" s="6"/>
      <c r="B810">
        <v>66</v>
      </c>
      <c r="C810">
        <v>62</v>
      </c>
      <c r="D810">
        <v>77</v>
      </c>
      <c r="E810">
        <v>20</v>
      </c>
      <c r="F810">
        <v>0</v>
      </c>
      <c r="G810">
        <v>170</v>
      </c>
      <c r="H810">
        <v>10</v>
      </c>
    </row>
    <row r="811" spans="1:8">
      <c r="A811" s="6"/>
      <c r="B811">
        <v>67</v>
      </c>
      <c r="C811">
        <v>49</v>
      </c>
      <c r="D811">
        <v>73</v>
      </c>
      <c r="E811">
        <v>25</v>
      </c>
      <c r="F811">
        <v>0</v>
      </c>
      <c r="G811">
        <v>179</v>
      </c>
      <c r="H811">
        <v>10</v>
      </c>
    </row>
    <row r="812" spans="1:8">
      <c r="A812" s="6"/>
      <c r="B812">
        <v>68</v>
      </c>
      <c r="C812">
        <v>67</v>
      </c>
      <c r="D812">
        <v>5</v>
      </c>
      <c r="E812">
        <v>25</v>
      </c>
      <c r="F812">
        <v>73</v>
      </c>
      <c r="G812">
        <v>103</v>
      </c>
      <c r="H812">
        <v>10</v>
      </c>
    </row>
    <row r="813" spans="1:8">
      <c r="A813" s="6"/>
      <c r="B813">
        <v>69</v>
      </c>
      <c r="C813">
        <v>56</v>
      </c>
      <c r="D813">
        <v>39</v>
      </c>
      <c r="E813">
        <v>36</v>
      </c>
      <c r="F813">
        <v>0</v>
      </c>
      <c r="G813">
        <v>198</v>
      </c>
      <c r="H813">
        <v>10</v>
      </c>
    </row>
    <row r="814" spans="1:8">
      <c r="A814" s="6"/>
      <c r="B814">
        <v>70</v>
      </c>
      <c r="C814">
        <v>37</v>
      </c>
      <c r="D814">
        <v>47</v>
      </c>
      <c r="E814">
        <v>6</v>
      </c>
      <c r="F814">
        <v>40</v>
      </c>
      <c r="G814">
        <v>70</v>
      </c>
      <c r="H814">
        <v>10</v>
      </c>
    </row>
    <row r="815" spans="1:8">
      <c r="A815" s="6"/>
      <c r="B815">
        <v>71</v>
      </c>
      <c r="C815">
        <v>37</v>
      </c>
      <c r="D815">
        <v>56</v>
      </c>
      <c r="E815">
        <v>5</v>
      </c>
      <c r="F815">
        <v>0</v>
      </c>
      <c r="G815">
        <v>198</v>
      </c>
      <c r="H815">
        <v>10</v>
      </c>
    </row>
    <row r="816" spans="1:8">
      <c r="A816" s="6"/>
      <c r="B816">
        <v>72</v>
      </c>
      <c r="C816">
        <v>57</v>
      </c>
      <c r="D816">
        <v>68</v>
      </c>
      <c r="E816">
        <v>15</v>
      </c>
      <c r="F816">
        <v>0</v>
      </c>
      <c r="G816">
        <v>180</v>
      </c>
      <c r="H816">
        <v>10</v>
      </c>
    </row>
    <row r="817" spans="1:8">
      <c r="A817" s="6"/>
      <c r="B817">
        <v>73</v>
      </c>
      <c r="C817">
        <v>47</v>
      </c>
      <c r="D817">
        <v>16</v>
      </c>
      <c r="E817">
        <v>25</v>
      </c>
      <c r="F817">
        <v>0</v>
      </c>
      <c r="G817">
        <v>197</v>
      </c>
      <c r="H817">
        <v>10</v>
      </c>
    </row>
    <row r="818" spans="1:8">
      <c r="A818" s="6"/>
      <c r="B818">
        <v>74</v>
      </c>
      <c r="C818">
        <v>44</v>
      </c>
      <c r="D818">
        <v>17</v>
      </c>
      <c r="E818">
        <v>9</v>
      </c>
      <c r="F818">
        <v>0</v>
      </c>
      <c r="G818">
        <v>199</v>
      </c>
      <c r="H818">
        <v>10</v>
      </c>
    </row>
    <row r="819" spans="1:8">
      <c r="A819" s="6"/>
      <c r="B819">
        <v>75</v>
      </c>
      <c r="C819">
        <v>46</v>
      </c>
      <c r="D819">
        <v>13</v>
      </c>
      <c r="E819">
        <v>8</v>
      </c>
      <c r="F819">
        <v>139</v>
      </c>
      <c r="G819">
        <v>169</v>
      </c>
      <c r="H819">
        <v>10</v>
      </c>
    </row>
    <row r="820" spans="1:8">
      <c r="A820" s="6"/>
      <c r="B820">
        <v>76</v>
      </c>
      <c r="C820">
        <v>49</v>
      </c>
      <c r="D820">
        <v>11</v>
      </c>
      <c r="E820">
        <v>18</v>
      </c>
      <c r="F820">
        <v>0</v>
      </c>
      <c r="G820">
        <v>192</v>
      </c>
      <c r="H820">
        <v>10</v>
      </c>
    </row>
    <row r="821" spans="1:8">
      <c r="A821" s="6"/>
      <c r="B821">
        <v>77</v>
      </c>
      <c r="C821">
        <v>49</v>
      </c>
      <c r="D821">
        <v>42</v>
      </c>
      <c r="E821">
        <v>13</v>
      </c>
      <c r="F821">
        <v>63</v>
      </c>
      <c r="G821">
        <v>93</v>
      </c>
      <c r="H821">
        <v>10</v>
      </c>
    </row>
    <row r="822" spans="1:8">
      <c r="A822" s="6"/>
      <c r="B822">
        <v>78</v>
      </c>
      <c r="C822">
        <v>53</v>
      </c>
      <c r="D822">
        <v>43</v>
      </c>
      <c r="E822">
        <v>14</v>
      </c>
      <c r="F822">
        <v>169</v>
      </c>
      <c r="G822">
        <v>199</v>
      </c>
      <c r="H822">
        <v>10</v>
      </c>
    </row>
    <row r="823" spans="1:8">
      <c r="A823" s="6"/>
      <c r="B823">
        <v>79</v>
      </c>
      <c r="C823">
        <v>61</v>
      </c>
      <c r="D823">
        <v>52</v>
      </c>
      <c r="E823">
        <v>3</v>
      </c>
      <c r="F823">
        <v>0</v>
      </c>
      <c r="G823">
        <v>188</v>
      </c>
      <c r="H823">
        <v>10</v>
      </c>
    </row>
    <row r="824" spans="1:8">
      <c r="A824" s="6"/>
      <c r="B824">
        <v>80</v>
      </c>
      <c r="C824">
        <v>57</v>
      </c>
      <c r="D824">
        <v>48</v>
      </c>
      <c r="E824">
        <v>23</v>
      </c>
      <c r="F824">
        <v>82</v>
      </c>
      <c r="G824">
        <v>112</v>
      </c>
      <c r="H824">
        <v>10</v>
      </c>
    </row>
    <row r="825" spans="1:8">
      <c r="A825" s="6"/>
      <c r="B825">
        <v>81</v>
      </c>
      <c r="C825">
        <v>56</v>
      </c>
      <c r="D825">
        <v>37</v>
      </c>
      <c r="E825">
        <v>6</v>
      </c>
      <c r="F825">
        <v>0</v>
      </c>
      <c r="G825">
        <v>198</v>
      </c>
      <c r="H825">
        <v>10</v>
      </c>
    </row>
    <row r="826" spans="1:8">
      <c r="A826" s="6"/>
      <c r="B826">
        <v>82</v>
      </c>
      <c r="C826">
        <v>55</v>
      </c>
      <c r="D826">
        <v>54</v>
      </c>
      <c r="E826">
        <v>26</v>
      </c>
      <c r="F826">
        <v>0</v>
      </c>
      <c r="G826">
        <v>192</v>
      </c>
      <c r="H826">
        <v>10</v>
      </c>
    </row>
    <row r="827" spans="1:8">
      <c r="A827" s="6"/>
      <c r="B827">
        <v>83</v>
      </c>
      <c r="C827">
        <v>15</v>
      </c>
      <c r="D827">
        <v>47</v>
      </c>
      <c r="E827">
        <v>16</v>
      </c>
      <c r="F827">
        <v>0</v>
      </c>
      <c r="G827">
        <v>196</v>
      </c>
      <c r="H827">
        <v>10</v>
      </c>
    </row>
    <row r="828" spans="1:8">
      <c r="A828" s="6"/>
      <c r="B828">
        <v>84</v>
      </c>
      <c r="C828">
        <v>14</v>
      </c>
      <c r="D828">
        <v>37</v>
      </c>
      <c r="E828">
        <v>11</v>
      </c>
      <c r="F828">
        <v>0</v>
      </c>
      <c r="G828">
        <v>198</v>
      </c>
      <c r="H828">
        <v>10</v>
      </c>
    </row>
    <row r="829" spans="1:8">
      <c r="A829" s="6"/>
      <c r="B829">
        <v>85</v>
      </c>
      <c r="C829">
        <v>11</v>
      </c>
      <c r="D829">
        <v>31</v>
      </c>
      <c r="E829">
        <v>7</v>
      </c>
      <c r="F829">
        <v>91</v>
      </c>
      <c r="G829">
        <v>121</v>
      </c>
      <c r="H829">
        <v>10</v>
      </c>
    </row>
    <row r="830" spans="1:8">
      <c r="A830" s="6"/>
      <c r="B830">
        <v>86</v>
      </c>
      <c r="C830">
        <v>16</v>
      </c>
      <c r="D830">
        <v>22</v>
      </c>
      <c r="E830">
        <v>41</v>
      </c>
      <c r="F830">
        <v>0</v>
      </c>
      <c r="G830">
        <v>196</v>
      </c>
      <c r="H830">
        <v>10</v>
      </c>
    </row>
    <row r="831" spans="1:8">
      <c r="A831" s="6"/>
      <c r="B831">
        <v>87</v>
      </c>
      <c r="C831">
        <v>4</v>
      </c>
      <c r="D831">
        <v>18</v>
      </c>
      <c r="E831">
        <v>35</v>
      </c>
      <c r="F831">
        <v>0</v>
      </c>
      <c r="G831">
        <v>184</v>
      </c>
      <c r="H831">
        <v>10</v>
      </c>
    </row>
    <row r="832" spans="1:8">
      <c r="A832" s="6"/>
      <c r="B832">
        <v>88</v>
      </c>
      <c r="C832">
        <v>28</v>
      </c>
      <c r="D832">
        <v>18</v>
      </c>
      <c r="E832">
        <v>26</v>
      </c>
      <c r="F832">
        <v>83</v>
      </c>
      <c r="G832">
        <v>113</v>
      </c>
      <c r="H832">
        <v>10</v>
      </c>
    </row>
    <row r="833" spans="1:8">
      <c r="A833" s="6"/>
      <c r="B833">
        <v>89</v>
      </c>
      <c r="C833">
        <v>26</v>
      </c>
      <c r="D833">
        <v>52</v>
      </c>
      <c r="E833">
        <v>9</v>
      </c>
      <c r="F833">
        <v>0</v>
      </c>
      <c r="G833">
        <v>200</v>
      </c>
      <c r="H833">
        <v>10</v>
      </c>
    </row>
    <row r="834" spans="1:8">
      <c r="A834" s="6"/>
      <c r="B834">
        <v>90</v>
      </c>
      <c r="C834">
        <v>26</v>
      </c>
      <c r="D834">
        <v>35</v>
      </c>
      <c r="E834">
        <v>15</v>
      </c>
      <c r="F834">
        <v>0</v>
      </c>
      <c r="G834">
        <v>211</v>
      </c>
      <c r="H834">
        <v>10</v>
      </c>
    </row>
    <row r="835" spans="1:8">
      <c r="A835" s="6"/>
      <c r="B835">
        <v>91</v>
      </c>
      <c r="C835">
        <v>31</v>
      </c>
      <c r="D835">
        <v>67</v>
      </c>
      <c r="E835">
        <v>3</v>
      </c>
      <c r="F835">
        <v>0</v>
      </c>
      <c r="G835">
        <v>187</v>
      </c>
      <c r="H835">
        <v>10</v>
      </c>
    </row>
    <row r="836" spans="1:8">
      <c r="A836" s="6"/>
      <c r="B836">
        <v>92</v>
      </c>
      <c r="C836">
        <v>15</v>
      </c>
      <c r="D836">
        <v>19</v>
      </c>
      <c r="E836">
        <v>1</v>
      </c>
      <c r="F836">
        <v>0</v>
      </c>
      <c r="G836">
        <v>194</v>
      </c>
      <c r="H836">
        <v>10</v>
      </c>
    </row>
    <row r="837" spans="1:8">
      <c r="A837" s="6"/>
      <c r="B837">
        <v>93</v>
      </c>
      <c r="C837">
        <v>22</v>
      </c>
      <c r="D837">
        <v>22</v>
      </c>
      <c r="E837">
        <v>2</v>
      </c>
      <c r="F837">
        <v>18</v>
      </c>
      <c r="G837">
        <v>48</v>
      </c>
      <c r="H837">
        <v>10</v>
      </c>
    </row>
    <row r="838" spans="1:8">
      <c r="A838" s="6"/>
      <c r="B838">
        <v>94</v>
      </c>
      <c r="C838">
        <v>18</v>
      </c>
      <c r="D838">
        <v>24</v>
      </c>
      <c r="E838">
        <v>22</v>
      </c>
      <c r="F838">
        <v>0</v>
      </c>
      <c r="G838">
        <v>199</v>
      </c>
      <c r="H838">
        <v>10</v>
      </c>
    </row>
    <row r="839" spans="1:8">
      <c r="A839" s="6"/>
      <c r="B839">
        <v>95</v>
      </c>
      <c r="C839">
        <v>26</v>
      </c>
      <c r="D839">
        <v>27</v>
      </c>
      <c r="E839">
        <v>27</v>
      </c>
      <c r="F839">
        <v>0</v>
      </c>
      <c r="G839">
        <v>207</v>
      </c>
      <c r="H839">
        <v>10</v>
      </c>
    </row>
    <row r="840" spans="1:8">
      <c r="A840" s="6"/>
      <c r="B840">
        <v>96</v>
      </c>
      <c r="C840">
        <v>25</v>
      </c>
      <c r="D840">
        <v>24</v>
      </c>
      <c r="E840">
        <v>20</v>
      </c>
      <c r="F840">
        <v>0</v>
      </c>
      <c r="G840">
        <v>205</v>
      </c>
      <c r="H840">
        <v>10</v>
      </c>
    </row>
    <row r="841" spans="1:8">
      <c r="A841" s="6"/>
      <c r="B841">
        <v>97</v>
      </c>
      <c r="C841">
        <v>22</v>
      </c>
      <c r="D841">
        <v>27</v>
      </c>
      <c r="E841">
        <v>11</v>
      </c>
      <c r="F841">
        <v>0</v>
      </c>
      <c r="G841">
        <v>204</v>
      </c>
      <c r="H841">
        <v>10</v>
      </c>
    </row>
    <row r="842" spans="1:8">
      <c r="A842" s="6"/>
      <c r="B842">
        <v>98</v>
      </c>
      <c r="C842">
        <v>25</v>
      </c>
      <c r="D842">
        <v>21</v>
      </c>
      <c r="E842">
        <v>12</v>
      </c>
      <c r="F842">
        <v>0</v>
      </c>
      <c r="G842">
        <v>202</v>
      </c>
      <c r="H842">
        <v>10</v>
      </c>
    </row>
    <row r="843" spans="1:8">
      <c r="A843" s="6"/>
      <c r="B843">
        <v>99</v>
      </c>
      <c r="C843">
        <v>19</v>
      </c>
      <c r="D843">
        <v>21</v>
      </c>
      <c r="E843">
        <v>10</v>
      </c>
      <c r="F843">
        <v>0</v>
      </c>
      <c r="G843">
        <v>198</v>
      </c>
      <c r="H843">
        <v>10</v>
      </c>
    </row>
    <row r="844" spans="1:8">
      <c r="A844" s="6"/>
      <c r="B844">
        <v>100</v>
      </c>
      <c r="C844">
        <v>20</v>
      </c>
      <c r="D844">
        <v>26</v>
      </c>
      <c r="E844">
        <v>9</v>
      </c>
      <c r="F844">
        <v>73</v>
      </c>
      <c r="G844">
        <v>103</v>
      </c>
      <c r="H844">
        <v>10</v>
      </c>
    </row>
    <row r="845" spans="1:8">
      <c r="B845">
        <v>101</v>
      </c>
      <c r="C845">
        <v>18</v>
      </c>
      <c r="D845">
        <v>18</v>
      </c>
      <c r="E845">
        <v>17</v>
      </c>
      <c r="F845">
        <v>165</v>
      </c>
      <c r="G845">
        <v>195</v>
      </c>
      <c r="H845">
        <v>10</v>
      </c>
    </row>
    <row r="847" spans="1:8" ht="22.8">
      <c r="A847" s="8" t="s">
        <v>21</v>
      </c>
    </row>
    <row r="848" spans="1:8">
      <c r="A848" s="4"/>
    </row>
    <row r="849" spans="1:8">
      <c r="A849" s="6"/>
      <c r="B849" t="s">
        <v>32</v>
      </c>
      <c r="C849" t="s">
        <v>26</v>
      </c>
      <c r="D849" t="s">
        <v>27</v>
      </c>
      <c r="E849" t="s">
        <v>28</v>
      </c>
      <c r="F849" t="s">
        <v>29</v>
      </c>
      <c r="G849" t="s">
        <v>30</v>
      </c>
      <c r="H849" t="s">
        <v>31</v>
      </c>
    </row>
    <row r="850" spans="1:8">
      <c r="A850" s="6"/>
      <c r="B850">
        <v>1</v>
      </c>
      <c r="C850">
        <v>35</v>
      </c>
      <c r="D850">
        <v>35</v>
      </c>
      <c r="E850">
        <v>0</v>
      </c>
      <c r="F850">
        <v>0</v>
      </c>
      <c r="G850">
        <v>230</v>
      </c>
      <c r="H850">
        <v>0</v>
      </c>
    </row>
    <row r="851" spans="1:8">
      <c r="A851" s="6"/>
      <c r="B851">
        <v>2</v>
      </c>
      <c r="C851">
        <v>41</v>
      </c>
      <c r="D851">
        <v>49</v>
      </c>
      <c r="E851">
        <v>10</v>
      </c>
      <c r="F851">
        <v>133</v>
      </c>
      <c r="G851">
        <v>198</v>
      </c>
      <c r="H851">
        <v>10</v>
      </c>
    </row>
    <row r="852" spans="1:8">
      <c r="A852" s="6"/>
      <c r="B852">
        <v>3</v>
      </c>
      <c r="C852">
        <v>35</v>
      </c>
      <c r="D852">
        <v>17</v>
      </c>
      <c r="E852">
        <v>7</v>
      </c>
      <c r="F852">
        <v>22</v>
      </c>
      <c r="G852">
        <v>87</v>
      </c>
      <c r="H852">
        <v>10</v>
      </c>
    </row>
    <row r="853" spans="1:8">
      <c r="A853" s="6"/>
      <c r="B853">
        <v>4</v>
      </c>
      <c r="C853">
        <v>55</v>
      </c>
      <c r="D853">
        <v>45</v>
      </c>
      <c r="E853">
        <v>13</v>
      </c>
      <c r="F853">
        <v>98</v>
      </c>
      <c r="G853">
        <v>143</v>
      </c>
      <c r="H853">
        <v>10</v>
      </c>
    </row>
    <row r="854" spans="1:8">
      <c r="A854" s="6"/>
      <c r="B854">
        <v>5</v>
      </c>
      <c r="C854">
        <v>55</v>
      </c>
      <c r="D854">
        <v>20</v>
      </c>
      <c r="E854">
        <v>19</v>
      </c>
      <c r="F854">
        <v>123</v>
      </c>
      <c r="G854">
        <v>184</v>
      </c>
      <c r="H854">
        <v>10</v>
      </c>
    </row>
    <row r="855" spans="1:8">
      <c r="A855" s="6"/>
      <c r="B855">
        <v>6</v>
      </c>
      <c r="C855">
        <v>15</v>
      </c>
      <c r="D855">
        <v>30</v>
      </c>
      <c r="E855">
        <v>26</v>
      </c>
      <c r="F855">
        <v>20</v>
      </c>
      <c r="G855">
        <v>93</v>
      </c>
      <c r="H855">
        <v>10</v>
      </c>
    </row>
    <row r="856" spans="1:8">
      <c r="A856" s="6"/>
      <c r="B856">
        <v>7</v>
      </c>
      <c r="C856">
        <v>25</v>
      </c>
      <c r="D856">
        <v>30</v>
      </c>
      <c r="E856">
        <v>3</v>
      </c>
      <c r="F856">
        <v>76</v>
      </c>
      <c r="G856">
        <v>131</v>
      </c>
      <c r="H856">
        <v>10</v>
      </c>
    </row>
    <row r="857" spans="1:8">
      <c r="A857" s="6"/>
      <c r="B857">
        <v>8</v>
      </c>
      <c r="C857">
        <v>20</v>
      </c>
      <c r="D857">
        <v>50</v>
      </c>
      <c r="E857">
        <v>5</v>
      </c>
      <c r="F857">
        <v>61</v>
      </c>
      <c r="G857">
        <v>110</v>
      </c>
      <c r="H857">
        <v>10</v>
      </c>
    </row>
    <row r="858" spans="1:8">
      <c r="A858" s="6"/>
      <c r="B858">
        <v>9</v>
      </c>
      <c r="C858">
        <v>10</v>
      </c>
      <c r="D858">
        <v>43</v>
      </c>
      <c r="E858">
        <v>9</v>
      </c>
      <c r="F858">
        <v>75</v>
      </c>
      <c r="G858">
        <v>124</v>
      </c>
      <c r="H858">
        <v>10</v>
      </c>
    </row>
    <row r="859" spans="1:8">
      <c r="A859" s="6"/>
      <c r="B859">
        <v>10</v>
      </c>
      <c r="C859">
        <v>55</v>
      </c>
      <c r="D859">
        <v>60</v>
      </c>
      <c r="E859">
        <v>16</v>
      </c>
      <c r="F859">
        <v>74</v>
      </c>
      <c r="G859">
        <v>129</v>
      </c>
      <c r="H859">
        <v>10</v>
      </c>
    </row>
    <row r="860" spans="1:8">
      <c r="A860" s="6"/>
      <c r="B860">
        <v>11</v>
      </c>
      <c r="C860">
        <v>30</v>
      </c>
      <c r="D860">
        <v>60</v>
      </c>
      <c r="E860">
        <v>16</v>
      </c>
      <c r="F860">
        <v>107</v>
      </c>
      <c r="G860">
        <v>150</v>
      </c>
      <c r="H860">
        <v>10</v>
      </c>
    </row>
    <row r="861" spans="1:8">
      <c r="A861" s="6"/>
      <c r="B861">
        <v>12</v>
      </c>
      <c r="C861">
        <v>20</v>
      </c>
      <c r="D861">
        <v>65</v>
      </c>
      <c r="E861">
        <v>12</v>
      </c>
      <c r="F861">
        <v>42</v>
      </c>
      <c r="G861">
        <v>101</v>
      </c>
      <c r="H861">
        <v>10</v>
      </c>
    </row>
    <row r="862" spans="1:8">
      <c r="A862" s="6"/>
      <c r="B862">
        <v>13</v>
      </c>
      <c r="C862">
        <v>50</v>
      </c>
      <c r="D862">
        <v>35</v>
      </c>
      <c r="E862">
        <v>19</v>
      </c>
      <c r="F862">
        <v>38</v>
      </c>
      <c r="G862">
        <v>97</v>
      </c>
      <c r="H862">
        <v>10</v>
      </c>
    </row>
    <row r="863" spans="1:8">
      <c r="A863" s="6"/>
      <c r="B863">
        <v>14</v>
      </c>
      <c r="C863">
        <v>30</v>
      </c>
      <c r="D863">
        <v>25</v>
      </c>
      <c r="E863">
        <v>23</v>
      </c>
      <c r="F863">
        <v>131</v>
      </c>
      <c r="G863">
        <v>196</v>
      </c>
      <c r="H863">
        <v>10</v>
      </c>
    </row>
    <row r="864" spans="1:8">
      <c r="A864" s="6"/>
      <c r="B864">
        <v>15</v>
      </c>
      <c r="C864">
        <v>15</v>
      </c>
      <c r="D864">
        <v>10</v>
      </c>
      <c r="E864">
        <v>20</v>
      </c>
      <c r="F864">
        <v>32</v>
      </c>
      <c r="G864">
        <v>114</v>
      </c>
      <c r="H864">
        <v>10</v>
      </c>
    </row>
    <row r="865" spans="1:8">
      <c r="A865" s="6"/>
      <c r="B865">
        <v>16</v>
      </c>
      <c r="C865">
        <v>30</v>
      </c>
      <c r="D865">
        <v>5</v>
      </c>
      <c r="E865">
        <v>8</v>
      </c>
      <c r="F865">
        <v>35</v>
      </c>
      <c r="G865">
        <v>96</v>
      </c>
      <c r="H865">
        <v>10</v>
      </c>
    </row>
    <row r="866" spans="1:8">
      <c r="A866" s="6"/>
      <c r="B866">
        <v>17</v>
      </c>
      <c r="C866">
        <v>10</v>
      </c>
      <c r="D866">
        <v>20</v>
      </c>
      <c r="E866">
        <v>19</v>
      </c>
      <c r="F866">
        <v>52</v>
      </c>
      <c r="G866">
        <v>107</v>
      </c>
      <c r="H866">
        <v>10</v>
      </c>
    </row>
    <row r="867" spans="1:8">
      <c r="A867" s="6"/>
      <c r="B867">
        <v>18</v>
      </c>
      <c r="C867">
        <v>5</v>
      </c>
      <c r="D867">
        <v>30</v>
      </c>
      <c r="E867">
        <v>2</v>
      </c>
      <c r="F867">
        <v>124</v>
      </c>
      <c r="G867">
        <v>189</v>
      </c>
      <c r="H867">
        <v>10</v>
      </c>
    </row>
    <row r="868" spans="1:8">
      <c r="A868" s="6"/>
      <c r="B868">
        <v>19</v>
      </c>
      <c r="C868">
        <v>20</v>
      </c>
      <c r="D868">
        <v>40</v>
      </c>
      <c r="E868">
        <v>12</v>
      </c>
      <c r="F868">
        <v>69</v>
      </c>
      <c r="G868">
        <v>114</v>
      </c>
      <c r="H868">
        <v>10</v>
      </c>
    </row>
    <row r="869" spans="1:8">
      <c r="A869" s="6"/>
      <c r="B869">
        <v>20</v>
      </c>
      <c r="C869">
        <v>15</v>
      </c>
      <c r="D869">
        <v>60</v>
      </c>
      <c r="E869">
        <v>17</v>
      </c>
      <c r="F869">
        <v>52</v>
      </c>
      <c r="G869">
        <v>109</v>
      </c>
      <c r="H869">
        <v>10</v>
      </c>
    </row>
    <row r="870" spans="1:8">
      <c r="A870" s="6"/>
      <c r="B870">
        <v>21</v>
      </c>
      <c r="C870">
        <v>45</v>
      </c>
      <c r="D870">
        <v>65</v>
      </c>
      <c r="E870">
        <v>9</v>
      </c>
      <c r="F870">
        <v>105</v>
      </c>
      <c r="G870">
        <v>156</v>
      </c>
      <c r="H870">
        <v>10</v>
      </c>
    </row>
    <row r="871" spans="1:8">
      <c r="A871" s="6"/>
      <c r="B871">
        <v>22</v>
      </c>
      <c r="C871">
        <v>45</v>
      </c>
      <c r="D871">
        <v>20</v>
      </c>
      <c r="E871">
        <v>11</v>
      </c>
      <c r="F871">
        <v>37</v>
      </c>
      <c r="G871">
        <v>96</v>
      </c>
      <c r="H871">
        <v>10</v>
      </c>
    </row>
    <row r="872" spans="1:8">
      <c r="A872" s="6"/>
      <c r="B872">
        <v>23</v>
      </c>
      <c r="C872">
        <v>45</v>
      </c>
      <c r="D872">
        <v>10</v>
      </c>
      <c r="E872">
        <v>18</v>
      </c>
      <c r="F872">
        <v>76</v>
      </c>
      <c r="G872">
        <v>127</v>
      </c>
      <c r="H872">
        <v>10</v>
      </c>
    </row>
    <row r="873" spans="1:8">
      <c r="A873" s="6"/>
      <c r="B873">
        <v>24</v>
      </c>
      <c r="C873">
        <v>55</v>
      </c>
      <c r="D873">
        <v>5</v>
      </c>
      <c r="E873">
        <v>29</v>
      </c>
      <c r="F873">
        <v>43</v>
      </c>
      <c r="G873">
        <v>102</v>
      </c>
      <c r="H873">
        <v>10</v>
      </c>
    </row>
    <row r="874" spans="1:8">
      <c r="A874" s="6"/>
      <c r="B874">
        <v>25</v>
      </c>
      <c r="C874">
        <v>65</v>
      </c>
      <c r="D874">
        <v>35</v>
      </c>
      <c r="E874">
        <v>3</v>
      </c>
      <c r="F874">
        <v>124</v>
      </c>
      <c r="G874">
        <v>190</v>
      </c>
      <c r="H874">
        <v>10</v>
      </c>
    </row>
    <row r="875" spans="1:8">
      <c r="A875" s="6"/>
      <c r="B875">
        <v>26</v>
      </c>
      <c r="C875">
        <v>65</v>
      </c>
      <c r="D875">
        <v>20</v>
      </c>
      <c r="E875">
        <v>6</v>
      </c>
      <c r="F875">
        <v>121</v>
      </c>
      <c r="G875">
        <v>186</v>
      </c>
      <c r="H875">
        <v>10</v>
      </c>
    </row>
    <row r="876" spans="1:8">
      <c r="A876" s="6"/>
      <c r="B876">
        <v>27</v>
      </c>
      <c r="C876">
        <v>45</v>
      </c>
      <c r="D876">
        <v>30</v>
      </c>
      <c r="E876">
        <v>17</v>
      </c>
      <c r="F876">
        <v>112</v>
      </c>
      <c r="G876">
        <v>161</v>
      </c>
      <c r="H876">
        <v>10</v>
      </c>
    </row>
    <row r="877" spans="1:8">
      <c r="A877" s="6"/>
      <c r="B877">
        <v>28</v>
      </c>
      <c r="C877">
        <v>35</v>
      </c>
      <c r="D877">
        <v>40</v>
      </c>
      <c r="E877">
        <v>16</v>
      </c>
      <c r="F877">
        <v>8</v>
      </c>
      <c r="G877">
        <v>75</v>
      </c>
      <c r="H877">
        <v>10</v>
      </c>
    </row>
    <row r="878" spans="1:8">
      <c r="A878" s="6"/>
      <c r="B878">
        <v>29</v>
      </c>
      <c r="C878">
        <v>41</v>
      </c>
      <c r="D878">
        <v>37</v>
      </c>
      <c r="E878">
        <v>16</v>
      </c>
      <c r="F878">
        <v>11</v>
      </c>
      <c r="G878">
        <v>76</v>
      </c>
      <c r="H878">
        <v>10</v>
      </c>
    </row>
    <row r="879" spans="1:8">
      <c r="A879" s="6"/>
      <c r="B879">
        <v>30</v>
      </c>
      <c r="C879">
        <v>64</v>
      </c>
      <c r="D879">
        <v>42</v>
      </c>
      <c r="E879">
        <v>9</v>
      </c>
      <c r="F879">
        <v>37</v>
      </c>
      <c r="G879">
        <v>98</v>
      </c>
      <c r="H879">
        <v>10</v>
      </c>
    </row>
    <row r="880" spans="1:8">
      <c r="A880" s="6"/>
      <c r="B880">
        <v>31</v>
      </c>
      <c r="C880">
        <v>40</v>
      </c>
      <c r="D880">
        <v>60</v>
      </c>
      <c r="E880">
        <v>21</v>
      </c>
      <c r="F880">
        <v>49</v>
      </c>
      <c r="G880">
        <v>102</v>
      </c>
      <c r="H880">
        <v>10</v>
      </c>
    </row>
    <row r="881" spans="1:8">
      <c r="A881" s="6"/>
      <c r="B881">
        <v>32</v>
      </c>
      <c r="C881">
        <v>31</v>
      </c>
      <c r="D881">
        <v>52</v>
      </c>
      <c r="E881">
        <v>27</v>
      </c>
      <c r="F881">
        <v>24</v>
      </c>
      <c r="G881">
        <v>85</v>
      </c>
      <c r="H881">
        <v>10</v>
      </c>
    </row>
    <row r="882" spans="1:8">
      <c r="A882" s="6"/>
      <c r="B882">
        <v>33</v>
      </c>
      <c r="C882">
        <v>35</v>
      </c>
      <c r="D882">
        <v>69</v>
      </c>
      <c r="E882">
        <v>23</v>
      </c>
      <c r="F882">
        <v>116</v>
      </c>
      <c r="G882">
        <v>175</v>
      </c>
      <c r="H882">
        <v>10</v>
      </c>
    </row>
    <row r="883" spans="1:8">
      <c r="A883" s="6"/>
      <c r="B883">
        <v>34</v>
      </c>
      <c r="C883">
        <v>53</v>
      </c>
      <c r="D883">
        <v>52</v>
      </c>
      <c r="E883">
        <v>11</v>
      </c>
      <c r="F883">
        <v>24</v>
      </c>
      <c r="G883">
        <v>92</v>
      </c>
      <c r="H883">
        <v>10</v>
      </c>
    </row>
    <row r="884" spans="1:8">
      <c r="A884" s="6"/>
      <c r="B884">
        <v>35</v>
      </c>
      <c r="C884">
        <v>65</v>
      </c>
      <c r="D884">
        <v>55</v>
      </c>
      <c r="E884">
        <v>14</v>
      </c>
      <c r="F884">
        <v>96</v>
      </c>
      <c r="G884">
        <v>147</v>
      </c>
      <c r="H884">
        <v>10</v>
      </c>
    </row>
    <row r="885" spans="1:8">
      <c r="A885" s="6"/>
      <c r="B885">
        <v>36</v>
      </c>
      <c r="C885">
        <v>63</v>
      </c>
      <c r="D885">
        <v>65</v>
      </c>
      <c r="E885">
        <v>8</v>
      </c>
      <c r="F885">
        <v>116</v>
      </c>
      <c r="G885">
        <v>178</v>
      </c>
      <c r="H885">
        <v>10</v>
      </c>
    </row>
    <row r="886" spans="1:8">
      <c r="A886" s="6"/>
      <c r="B886">
        <v>37</v>
      </c>
      <c r="C886">
        <v>2</v>
      </c>
      <c r="D886">
        <v>60</v>
      </c>
      <c r="E886">
        <v>5</v>
      </c>
      <c r="F886">
        <v>41</v>
      </c>
      <c r="G886">
        <v>112</v>
      </c>
      <c r="H886">
        <v>10</v>
      </c>
    </row>
    <row r="887" spans="1:8">
      <c r="A887" s="6"/>
      <c r="B887">
        <v>38</v>
      </c>
      <c r="C887">
        <v>20</v>
      </c>
      <c r="D887">
        <v>20</v>
      </c>
      <c r="E887">
        <v>8</v>
      </c>
      <c r="F887">
        <v>113</v>
      </c>
      <c r="G887">
        <v>164</v>
      </c>
      <c r="H887">
        <v>10</v>
      </c>
    </row>
    <row r="888" spans="1:8">
      <c r="A888" s="6"/>
      <c r="B888">
        <v>39</v>
      </c>
      <c r="C888">
        <v>5</v>
      </c>
      <c r="D888">
        <v>5</v>
      </c>
      <c r="E888">
        <v>16</v>
      </c>
      <c r="F888">
        <v>60</v>
      </c>
      <c r="G888">
        <v>115</v>
      </c>
      <c r="H888">
        <v>10</v>
      </c>
    </row>
    <row r="889" spans="1:8">
      <c r="A889" s="6"/>
      <c r="B889">
        <v>40</v>
      </c>
      <c r="C889">
        <v>60</v>
      </c>
      <c r="D889">
        <v>12</v>
      </c>
      <c r="E889">
        <v>31</v>
      </c>
      <c r="F889">
        <v>33</v>
      </c>
      <c r="G889">
        <v>110</v>
      </c>
      <c r="H889">
        <v>10</v>
      </c>
    </row>
    <row r="890" spans="1:8">
      <c r="A890" s="6"/>
      <c r="B890">
        <v>41</v>
      </c>
      <c r="C890">
        <v>40</v>
      </c>
      <c r="D890">
        <v>25</v>
      </c>
      <c r="E890">
        <v>9</v>
      </c>
      <c r="F890">
        <v>65</v>
      </c>
      <c r="G890">
        <v>114</v>
      </c>
      <c r="H890">
        <v>10</v>
      </c>
    </row>
    <row r="891" spans="1:8">
      <c r="A891" s="6"/>
      <c r="B891">
        <v>42</v>
      </c>
      <c r="C891">
        <v>42</v>
      </c>
      <c r="D891">
        <v>7</v>
      </c>
      <c r="E891">
        <v>5</v>
      </c>
      <c r="F891">
        <v>72</v>
      </c>
      <c r="G891">
        <v>131</v>
      </c>
      <c r="H891">
        <v>10</v>
      </c>
    </row>
    <row r="892" spans="1:8">
      <c r="A892" s="6"/>
      <c r="B892">
        <v>43</v>
      </c>
      <c r="C892">
        <v>24</v>
      </c>
      <c r="D892">
        <v>12</v>
      </c>
      <c r="E892">
        <v>5</v>
      </c>
      <c r="F892">
        <v>25</v>
      </c>
      <c r="G892">
        <v>91</v>
      </c>
      <c r="H892">
        <v>10</v>
      </c>
    </row>
    <row r="893" spans="1:8">
      <c r="A893" s="6"/>
      <c r="B893">
        <v>44</v>
      </c>
      <c r="C893">
        <v>23</v>
      </c>
      <c r="D893">
        <v>3</v>
      </c>
      <c r="E893">
        <v>7</v>
      </c>
      <c r="F893">
        <v>111</v>
      </c>
      <c r="G893">
        <v>162</v>
      </c>
      <c r="H893">
        <v>10</v>
      </c>
    </row>
    <row r="894" spans="1:8">
      <c r="A894" s="6"/>
      <c r="B894">
        <v>45</v>
      </c>
      <c r="C894">
        <v>11</v>
      </c>
      <c r="D894">
        <v>14</v>
      </c>
      <c r="E894">
        <v>18</v>
      </c>
      <c r="F894">
        <v>45</v>
      </c>
      <c r="G894">
        <v>102</v>
      </c>
      <c r="H894">
        <v>10</v>
      </c>
    </row>
    <row r="895" spans="1:8">
      <c r="A895" s="6"/>
      <c r="B895">
        <v>46</v>
      </c>
      <c r="C895">
        <v>6</v>
      </c>
      <c r="D895">
        <v>38</v>
      </c>
      <c r="E895">
        <v>16</v>
      </c>
      <c r="F895">
        <v>29</v>
      </c>
      <c r="G895">
        <v>99</v>
      </c>
      <c r="H895">
        <v>10</v>
      </c>
    </row>
    <row r="896" spans="1:8">
      <c r="A896" s="6"/>
      <c r="B896">
        <v>47</v>
      </c>
      <c r="C896">
        <v>2</v>
      </c>
      <c r="D896">
        <v>48</v>
      </c>
      <c r="E896">
        <v>1</v>
      </c>
      <c r="F896">
        <v>92</v>
      </c>
      <c r="G896">
        <v>151</v>
      </c>
      <c r="H896">
        <v>10</v>
      </c>
    </row>
    <row r="897" spans="1:8">
      <c r="A897" s="6"/>
      <c r="B897">
        <v>48</v>
      </c>
      <c r="C897">
        <v>8</v>
      </c>
      <c r="D897">
        <v>56</v>
      </c>
      <c r="E897">
        <v>27</v>
      </c>
      <c r="F897">
        <v>34</v>
      </c>
      <c r="G897">
        <v>105</v>
      </c>
      <c r="H897">
        <v>10</v>
      </c>
    </row>
    <row r="898" spans="1:8">
      <c r="A898" s="6"/>
      <c r="B898">
        <v>49</v>
      </c>
      <c r="C898">
        <v>13</v>
      </c>
      <c r="D898">
        <v>52</v>
      </c>
      <c r="E898">
        <v>36</v>
      </c>
      <c r="F898">
        <v>128</v>
      </c>
      <c r="G898">
        <v>192</v>
      </c>
      <c r="H898">
        <v>10</v>
      </c>
    </row>
    <row r="899" spans="1:8">
      <c r="A899" s="6"/>
      <c r="B899">
        <v>50</v>
      </c>
      <c r="C899">
        <v>6</v>
      </c>
      <c r="D899">
        <v>68</v>
      </c>
      <c r="E899">
        <v>30</v>
      </c>
      <c r="F899">
        <v>93</v>
      </c>
      <c r="G899">
        <v>132</v>
      </c>
      <c r="H899">
        <v>10</v>
      </c>
    </row>
    <row r="900" spans="1:8">
      <c r="A900" s="6"/>
      <c r="B900">
        <v>51</v>
      </c>
      <c r="C900">
        <v>47</v>
      </c>
      <c r="D900">
        <v>47</v>
      </c>
      <c r="E900">
        <v>13</v>
      </c>
      <c r="F900">
        <v>102</v>
      </c>
      <c r="G900">
        <v>155</v>
      </c>
      <c r="H900">
        <v>10</v>
      </c>
    </row>
    <row r="901" spans="1:8">
      <c r="A901" s="6"/>
      <c r="B901">
        <v>52</v>
      </c>
      <c r="C901">
        <v>49</v>
      </c>
      <c r="D901">
        <v>58</v>
      </c>
      <c r="E901">
        <v>10</v>
      </c>
      <c r="F901">
        <v>64</v>
      </c>
      <c r="G901">
        <v>121</v>
      </c>
      <c r="H901">
        <v>10</v>
      </c>
    </row>
    <row r="902" spans="1:8">
      <c r="A902" s="6"/>
      <c r="B902">
        <v>53</v>
      </c>
      <c r="C902">
        <v>27</v>
      </c>
      <c r="D902">
        <v>43</v>
      </c>
      <c r="E902">
        <v>9</v>
      </c>
      <c r="F902">
        <v>26</v>
      </c>
      <c r="G902">
        <v>87</v>
      </c>
      <c r="H902">
        <v>10</v>
      </c>
    </row>
    <row r="903" spans="1:8">
      <c r="A903" s="6"/>
      <c r="B903">
        <v>54</v>
      </c>
      <c r="C903">
        <v>37</v>
      </c>
      <c r="D903">
        <v>31</v>
      </c>
      <c r="E903">
        <v>14</v>
      </c>
      <c r="F903">
        <v>75</v>
      </c>
      <c r="G903">
        <v>124</v>
      </c>
      <c r="H903">
        <v>10</v>
      </c>
    </row>
    <row r="904" spans="1:8">
      <c r="A904" s="6"/>
      <c r="B904">
        <v>55</v>
      </c>
      <c r="C904">
        <v>57</v>
      </c>
      <c r="D904">
        <v>29</v>
      </c>
      <c r="E904">
        <v>18</v>
      </c>
      <c r="F904">
        <v>118</v>
      </c>
      <c r="G904">
        <v>171</v>
      </c>
      <c r="H904">
        <v>10</v>
      </c>
    </row>
    <row r="905" spans="1:8">
      <c r="A905" s="6"/>
      <c r="B905">
        <v>56</v>
      </c>
      <c r="C905">
        <v>63</v>
      </c>
      <c r="D905">
        <v>23</v>
      </c>
      <c r="E905">
        <v>2</v>
      </c>
      <c r="F905">
        <v>111</v>
      </c>
      <c r="G905">
        <v>170</v>
      </c>
      <c r="H905">
        <v>10</v>
      </c>
    </row>
    <row r="906" spans="1:8">
      <c r="A906" s="6"/>
      <c r="B906">
        <v>57</v>
      </c>
      <c r="C906">
        <v>53</v>
      </c>
      <c r="D906">
        <v>12</v>
      </c>
      <c r="E906">
        <v>6</v>
      </c>
      <c r="F906">
        <v>106</v>
      </c>
      <c r="G906">
        <v>163</v>
      </c>
      <c r="H906">
        <v>10</v>
      </c>
    </row>
    <row r="907" spans="1:8">
      <c r="A907" s="6"/>
      <c r="B907">
        <v>58</v>
      </c>
      <c r="C907">
        <v>32</v>
      </c>
      <c r="D907">
        <v>12</v>
      </c>
      <c r="E907">
        <v>7</v>
      </c>
      <c r="F907">
        <v>77</v>
      </c>
      <c r="G907">
        <v>134</v>
      </c>
      <c r="H907">
        <v>10</v>
      </c>
    </row>
    <row r="908" spans="1:8">
      <c r="A908" s="6"/>
      <c r="B908">
        <v>59</v>
      </c>
      <c r="C908">
        <v>36</v>
      </c>
      <c r="D908">
        <v>26</v>
      </c>
      <c r="E908">
        <v>18</v>
      </c>
      <c r="F908">
        <v>147</v>
      </c>
      <c r="G908">
        <v>210</v>
      </c>
      <c r="H908">
        <v>10</v>
      </c>
    </row>
    <row r="909" spans="1:8">
      <c r="A909" s="6"/>
      <c r="B909">
        <v>60</v>
      </c>
      <c r="C909">
        <v>21</v>
      </c>
      <c r="D909">
        <v>24</v>
      </c>
      <c r="E909">
        <v>28</v>
      </c>
      <c r="F909">
        <v>17</v>
      </c>
      <c r="G909">
        <v>100</v>
      </c>
      <c r="H909">
        <v>10</v>
      </c>
    </row>
    <row r="910" spans="1:8">
      <c r="A910" s="6"/>
      <c r="B910">
        <v>61</v>
      </c>
      <c r="C910">
        <v>17</v>
      </c>
      <c r="D910">
        <v>34</v>
      </c>
      <c r="E910">
        <v>3</v>
      </c>
      <c r="F910">
        <v>134</v>
      </c>
      <c r="G910">
        <v>199</v>
      </c>
      <c r="H910">
        <v>10</v>
      </c>
    </row>
    <row r="911" spans="1:8">
      <c r="A911" s="6"/>
      <c r="B911">
        <v>62</v>
      </c>
      <c r="C911">
        <v>12</v>
      </c>
      <c r="D911">
        <v>24</v>
      </c>
      <c r="E911">
        <v>13</v>
      </c>
      <c r="F911">
        <v>55</v>
      </c>
      <c r="G911">
        <v>106</v>
      </c>
      <c r="H911">
        <v>10</v>
      </c>
    </row>
    <row r="912" spans="1:8">
      <c r="A912" s="6"/>
      <c r="B912">
        <v>63</v>
      </c>
      <c r="C912">
        <v>24</v>
      </c>
      <c r="D912">
        <v>58</v>
      </c>
      <c r="E912">
        <v>19</v>
      </c>
      <c r="F912">
        <v>30</v>
      </c>
      <c r="G912">
        <v>95</v>
      </c>
      <c r="H912">
        <v>10</v>
      </c>
    </row>
    <row r="913" spans="1:8">
      <c r="A913" s="6"/>
      <c r="B913">
        <v>64</v>
      </c>
      <c r="C913">
        <v>27</v>
      </c>
      <c r="D913">
        <v>69</v>
      </c>
      <c r="E913">
        <v>10</v>
      </c>
      <c r="F913">
        <v>34</v>
      </c>
      <c r="G913">
        <v>103</v>
      </c>
      <c r="H913">
        <v>10</v>
      </c>
    </row>
    <row r="914" spans="1:8">
      <c r="A914" s="6"/>
      <c r="B914">
        <v>65</v>
      </c>
      <c r="C914">
        <v>15</v>
      </c>
      <c r="D914">
        <v>77</v>
      </c>
      <c r="E914">
        <v>9</v>
      </c>
      <c r="F914">
        <v>48</v>
      </c>
      <c r="G914">
        <v>107</v>
      </c>
      <c r="H914">
        <v>10</v>
      </c>
    </row>
    <row r="915" spans="1:8">
      <c r="A915" s="6"/>
      <c r="B915">
        <v>66</v>
      </c>
      <c r="C915">
        <v>62</v>
      </c>
      <c r="D915">
        <v>77</v>
      </c>
      <c r="E915">
        <v>20</v>
      </c>
      <c r="F915">
        <v>49</v>
      </c>
      <c r="G915">
        <v>113</v>
      </c>
      <c r="H915">
        <v>10</v>
      </c>
    </row>
    <row r="916" spans="1:8">
      <c r="A916" s="6"/>
      <c r="B916">
        <v>67</v>
      </c>
      <c r="C916">
        <v>49</v>
      </c>
      <c r="D916">
        <v>73</v>
      </c>
      <c r="E916">
        <v>25</v>
      </c>
      <c r="F916">
        <v>104</v>
      </c>
      <c r="G916">
        <v>159</v>
      </c>
      <c r="H916">
        <v>10</v>
      </c>
    </row>
    <row r="917" spans="1:8">
      <c r="A917" s="6"/>
      <c r="B917">
        <v>68</v>
      </c>
      <c r="C917">
        <v>67</v>
      </c>
      <c r="D917">
        <v>5</v>
      </c>
      <c r="E917">
        <v>25</v>
      </c>
      <c r="F917">
        <v>59</v>
      </c>
      <c r="G917">
        <v>116</v>
      </c>
      <c r="H917">
        <v>10</v>
      </c>
    </row>
    <row r="918" spans="1:8">
      <c r="A918" s="6"/>
      <c r="B918">
        <v>69</v>
      </c>
      <c r="C918">
        <v>56</v>
      </c>
      <c r="D918">
        <v>39</v>
      </c>
      <c r="E918">
        <v>36</v>
      </c>
      <c r="F918">
        <v>117</v>
      </c>
      <c r="G918">
        <v>176</v>
      </c>
      <c r="H918">
        <v>10</v>
      </c>
    </row>
    <row r="919" spans="1:8">
      <c r="A919" s="6"/>
      <c r="B919">
        <v>70</v>
      </c>
      <c r="C919">
        <v>37</v>
      </c>
      <c r="D919">
        <v>47</v>
      </c>
      <c r="E919">
        <v>6</v>
      </c>
      <c r="F919">
        <v>23</v>
      </c>
      <c r="G919">
        <v>86</v>
      </c>
      <c r="H919">
        <v>10</v>
      </c>
    </row>
    <row r="920" spans="1:8">
      <c r="A920" s="6"/>
      <c r="B920">
        <v>71</v>
      </c>
      <c r="C920">
        <v>37</v>
      </c>
      <c r="D920">
        <v>56</v>
      </c>
      <c r="E920">
        <v>5</v>
      </c>
      <c r="F920">
        <v>123</v>
      </c>
      <c r="G920">
        <v>198</v>
      </c>
      <c r="H920">
        <v>10</v>
      </c>
    </row>
    <row r="921" spans="1:8">
      <c r="A921" s="6"/>
      <c r="B921">
        <v>72</v>
      </c>
      <c r="C921">
        <v>57</v>
      </c>
      <c r="D921">
        <v>68</v>
      </c>
      <c r="E921">
        <v>15</v>
      </c>
      <c r="F921">
        <v>54</v>
      </c>
      <c r="G921">
        <v>109</v>
      </c>
      <c r="H921">
        <v>10</v>
      </c>
    </row>
    <row r="922" spans="1:8">
      <c r="A922" s="6"/>
      <c r="B922">
        <v>73</v>
      </c>
      <c r="C922">
        <v>47</v>
      </c>
      <c r="D922">
        <v>16</v>
      </c>
      <c r="E922">
        <v>25</v>
      </c>
      <c r="F922">
        <v>22</v>
      </c>
      <c r="G922">
        <v>96</v>
      </c>
      <c r="H922">
        <v>10</v>
      </c>
    </row>
    <row r="923" spans="1:8">
      <c r="A923" s="6"/>
      <c r="B923">
        <v>74</v>
      </c>
      <c r="C923">
        <v>44</v>
      </c>
      <c r="D923">
        <v>17</v>
      </c>
      <c r="E923">
        <v>9</v>
      </c>
      <c r="F923">
        <v>56</v>
      </c>
      <c r="G923">
        <v>109</v>
      </c>
      <c r="H923">
        <v>10</v>
      </c>
    </row>
    <row r="924" spans="1:8">
      <c r="A924" s="6"/>
      <c r="B924">
        <v>75</v>
      </c>
      <c r="C924">
        <v>46</v>
      </c>
      <c r="D924">
        <v>13</v>
      </c>
      <c r="E924">
        <v>8</v>
      </c>
      <c r="F924">
        <v>123</v>
      </c>
      <c r="G924">
        <v>184</v>
      </c>
      <c r="H924">
        <v>10</v>
      </c>
    </row>
    <row r="925" spans="1:8">
      <c r="A925" s="6"/>
      <c r="B925">
        <v>76</v>
      </c>
      <c r="C925">
        <v>49</v>
      </c>
      <c r="D925">
        <v>11</v>
      </c>
      <c r="E925">
        <v>18</v>
      </c>
      <c r="F925">
        <v>45</v>
      </c>
      <c r="G925">
        <v>102</v>
      </c>
      <c r="H925">
        <v>10</v>
      </c>
    </row>
    <row r="926" spans="1:8">
      <c r="A926" s="6"/>
      <c r="B926">
        <v>77</v>
      </c>
      <c r="C926">
        <v>49</v>
      </c>
      <c r="D926">
        <v>42</v>
      </c>
      <c r="E926">
        <v>13</v>
      </c>
      <c r="F926">
        <v>52</v>
      </c>
      <c r="G926">
        <v>103</v>
      </c>
      <c r="H926">
        <v>10</v>
      </c>
    </row>
    <row r="927" spans="1:8">
      <c r="A927" s="6"/>
      <c r="B927">
        <v>78</v>
      </c>
      <c r="C927">
        <v>53</v>
      </c>
      <c r="D927">
        <v>43</v>
      </c>
      <c r="E927">
        <v>14</v>
      </c>
      <c r="F927">
        <v>136</v>
      </c>
      <c r="G927">
        <v>200</v>
      </c>
      <c r="H927">
        <v>10</v>
      </c>
    </row>
    <row r="928" spans="1:8">
      <c r="A928" s="6"/>
      <c r="B928">
        <v>79</v>
      </c>
      <c r="C928">
        <v>61</v>
      </c>
      <c r="D928">
        <v>52</v>
      </c>
      <c r="E928">
        <v>3</v>
      </c>
      <c r="F928">
        <v>71</v>
      </c>
      <c r="G928">
        <v>130</v>
      </c>
      <c r="H928">
        <v>10</v>
      </c>
    </row>
    <row r="929" spans="1:8">
      <c r="A929" s="6"/>
      <c r="B929">
        <v>80</v>
      </c>
      <c r="C929">
        <v>57</v>
      </c>
      <c r="D929">
        <v>48</v>
      </c>
      <c r="E929">
        <v>23</v>
      </c>
      <c r="F929">
        <v>72</v>
      </c>
      <c r="G929">
        <v>121</v>
      </c>
      <c r="H929">
        <v>10</v>
      </c>
    </row>
    <row r="930" spans="1:8">
      <c r="A930" s="6"/>
      <c r="B930">
        <v>81</v>
      </c>
      <c r="C930">
        <v>56</v>
      </c>
      <c r="D930">
        <v>37</v>
      </c>
      <c r="E930">
        <v>6</v>
      </c>
      <c r="F930">
        <v>135</v>
      </c>
      <c r="G930">
        <v>198</v>
      </c>
      <c r="H930">
        <v>10</v>
      </c>
    </row>
    <row r="931" spans="1:8">
      <c r="A931" s="6"/>
      <c r="B931">
        <v>82</v>
      </c>
      <c r="C931">
        <v>55</v>
      </c>
      <c r="D931">
        <v>54</v>
      </c>
      <c r="E931">
        <v>26</v>
      </c>
      <c r="F931">
        <v>78</v>
      </c>
      <c r="G931">
        <v>119</v>
      </c>
      <c r="H931">
        <v>10</v>
      </c>
    </row>
    <row r="932" spans="1:8">
      <c r="A932" s="6"/>
      <c r="B932">
        <v>83</v>
      </c>
      <c r="C932">
        <v>15</v>
      </c>
      <c r="D932">
        <v>47</v>
      </c>
      <c r="E932">
        <v>16</v>
      </c>
      <c r="F932">
        <v>29</v>
      </c>
      <c r="G932">
        <v>90</v>
      </c>
      <c r="H932">
        <v>10</v>
      </c>
    </row>
    <row r="933" spans="1:8">
      <c r="A933" s="6"/>
      <c r="B933">
        <v>84</v>
      </c>
      <c r="C933">
        <v>14</v>
      </c>
      <c r="D933">
        <v>37</v>
      </c>
      <c r="E933">
        <v>11</v>
      </c>
      <c r="F933">
        <v>21</v>
      </c>
      <c r="G933">
        <v>89</v>
      </c>
      <c r="H933">
        <v>10</v>
      </c>
    </row>
    <row r="934" spans="1:8">
      <c r="A934" s="6"/>
      <c r="B934">
        <v>85</v>
      </c>
      <c r="C934">
        <v>11</v>
      </c>
      <c r="D934">
        <v>31</v>
      </c>
      <c r="E934">
        <v>7</v>
      </c>
      <c r="F934">
        <v>81</v>
      </c>
      <c r="G934">
        <v>130</v>
      </c>
      <c r="H934">
        <v>10</v>
      </c>
    </row>
    <row r="935" spans="1:8">
      <c r="A935" s="6"/>
      <c r="B935">
        <v>86</v>
      </c>
      <c r="C935">
        <v>16</v>
      </c>
      <c r="D935">
        <v>22</v>
      </c>
      <c r="E935">
        <v>41</v>
      </c>
      <c r="F935">
        <v>70</v>
      </c>
      <c r="G935">
        <v>121</v>
      </c>
      <c r="H935">
        <v>10</v>
      </c>
    </row>
    <row r="936" spans="1:8">
      <c r="A936" s="6"/>
      <c r="B936">
        <v>87</v>
      </c>
      <c r="C936">
        <v>4</v>
      </c>
      <c r="D936">
        <v>18</v>
      </c>
      <c r="E936">
        <v>35</v>
      </c>
      <c r="F936">
        <v>74</v>
      </c>
      <c r="G936">
        <v>123</v>
      </c>
      <c r="H936">
        <v>10</v>
      </c>
    </row>
    <row r="937" spans="1:8">
      <c r="A937" s="6"/>
      <c r="B937">
        <v>88</v>
      </c>
      <c r="C937">
        <v>28</v>
      </c>
      <c r="D937">
        <v>18</v>
      </c>
      <c r="E937">
        <v>26</v>
      </c>
      <c r="F937">
        <v>79</v>
      </c>
      <c r="G937">
        <v>116</v>
      </c>
      <c r="H937">
        <v>10</v>
      </c>
    </row>
    <row r="938" spans="1:8">
      <c r="A938" s="6"/>
      <c r="B938">
        <v>89</v>
      </c>
      <c r="C938">
        <v>26</v>
      </c>
      <c r="D938">
        <v>52</v>
      </c>
      <c r="E938">
        <v>9</v>
      </c>
      <c r="F938">
        <v>50</v>
      </c>
      <c r="G938">
        <v>107</v>
      </c>
      <c r="H938">
        <v>10</v>
      </c>
    </row>
    <row r="939" spans="1:8">
      <c r="A939" s="6"/>
      <c r="B939">
        <v>90</v>
      </c>
      <c r="C939">
        <v>26</v>
      </c>
      <c r="D939">
        <v>35</v>
      </c>
      <c r="E939">
        <v>15</v>
      </c>
      <c r="F939">
        <v>139</v>
      </c>
      <c r="G939">
        <v>211</v>
      </c>
      <c r="H939">
        <v>10</v>
      </c>
    </row>
    <row r="940" spans="1:8">
      <c r="A940" s="6"/>
      <c r="B940">
        <v>91</v>
      </c>
      <c r="C940">
        <v>31</v>
      </c>
      <c r="D940">
        <v>67</v>
      </c>
      <c r="E940">
        <v>3</v>
      </c>
      <c r="F940">
        <v>73</v>
      </c>
      <c r="G940">
        <v>126</v>
      </c>
      <c r="H940">
        <v>10</v>
      </c>
    </row>
    <row r="941" spans="1:8">
      <c r="A941" s="6"/>
      <c r="B941">
        <v>92</v>
      </c>
      <c r="C941">
        <v>15</v>
      </c>
      <c r="D941">
        <v>19</v>
      </c>
      <c r="E941">
        <v>1</v>
      </c>
      <c r="F941">
        <v>132</v>
      </c>
      <c r="G941">
        <v>194</v>
      </c>
      <c r="H941">
        <v>10</v>
      </c>
    </row>
    <row r="942" spans="1:8">
      <c r="A942" s="6"/>
      <c r="B942">
        <v>93</v>
      </c>
      <c r="C942">
        <v>22</v>
      </c>
      <c r="D942">
        <v>22</v>
      </c>
      <c r="E942">
        <v>2</v>
      </c>
      <c r="F942">
        <v>18</v>
      </c>
      <c r="G942">
        <v>88</v>
      </c>
      <c r="H942">
        <v>10</v>
      </c>
    </row>
    <row r="943" spans="1:8">
      <c r="A943" s="6"/>
      <c r="B943">
        <v>94</v>
      </c>
      <c r="C943">
        <v>18</v>
      </c>
      <c r="D943">
        <v>24</v>
      </c>
      <c r="E943">
        <v>22</v>
      </c>
      <c r="F943">
        <v>129</v>
      </c>
      <c r="G943">
        <v>199</v>
      </c>
      <c r="H943">
        <v>10</v>
      </c>
    </row>
    <row r="944" spans="1:8">
      <c r="A944" s="6"/>
      <c r="B944">
        <v>95</v>
      </c>
      <c r="C944">
        <v>26</v>
      </c>
      <c r="D944">
        <v>27</v>
      </c>
      <c r="E944">
        <v>27</v>
      </c>
      <c r="F944">
        <v>81</v>
      </c>
      <c r="G944">
        <v>128</v>
      </c>
      <c r="H944">
        <v>10</v>
      </c>
    </row>
    <row r="945" spans="1:8">
      <c r="A945" s="6"/>
      <c r="B945">
        <v>96</v>
      </c>
      <c r="C945">
        <v>25</v>
      </c>
      <c r="D945">
        <v>24</v>
      </c>
      <c r="E945">
        <v>20</v>
      </c>
      <c r="F945">
        <v>14</v>
      </c>
      <c r="G945">
        <v>78</v>
      </c>
      <c r="H945">
        <v>10</v>
      </c>
    </row>
    <row r="946" spans="1:8">
      <c r="A946" s="6"/>
      <c r="B946">
        <v>97</v>
      </c>
      <c r="C946">
        <v>22</v>
      </c>
      <c r="D946">
        <v>27</v>
      </c>
      <c r="E946">
        <v>11</v>
      </c>
      <c r="F946">
        <v>114</v>
      </c>
      <c r="G946">
        <v>165</v>
      </c>
      <c r="H946">
        <v>10</v>
      </c>
    </row>
    <row r="947" spans="1:8">
      <c r="A947" s="6"/>
      <c r="B947">
        <v>98</v>
      </c>
      <c r="C947">
        <v>25</v>
      </c>
      <c r="D947">
        <v>21</v>
      </c>
      <c r="E947">
        <v>12</v>
      </c>
      <c r="F947">
        <v>115</v>
      </c>
      <c r="G947">
        <v>160</v>
      </c>
      <c r="H947">
        <v>10</v>
      </c>
    </row>
    <row r="948" spans="1:8">
      <c r="A948" s="6"/>
      <c r="B948">
        <v>99</v>
      </c>
      <c r="C948">
        <v>19</v>
      </c>
      <c r="D948">
        <v>21</v>
      </c>
      <c r="E948">
        <v>10</v>
      </c>
      <c r="F948">
        <v>32</v>
      </c>
      <c r="G948">
        <v>93</v>
      </c>
      <c r="H948">
        <v>10</v>
      </c>
    </row>
    <row r="949" spans="1:8">
      <c r="A949" s="6"/>
      <c r="B949">
        <v>100</v>
      </c>
      <c r="C949">
        <v>20</v>
      </c>
      <c r="D949">
        <v>26</v>
      </c>
      <c r="E949">
        <v>9</v>
      </c>
      <c r="F949">
        <v>60</v>
      </c>
      <c r="G949">
        <v>115</v>
      </c>
      <c r="H949">
        <v>10</v>
      </c>
    </row>
    <row r="950" spans="1:8">
      <c r="B950">
        <v>101</v>
      </c>
      <c r="C950">
        <v>18</v>
      </c>
      <c r="D950">
        <v>18</v>
      </c>
      <c r="E950">
        <v>17</v>
      </c>
      <c r="F950">
        <v>123</v>
      </c>
      <c r="G950">
        <v>195</v>
      </c>
      <c r="H950">
        <v>10</v>
      </c>
    </row>
    <row r="952" spans="1:8" ht="22.8">
      <c r="A952" s="8" t="s">
        <v>22</v>
      </c>
    </row>
    <row r="953" spans="1:8">
      <c r="A953" s="4"/>
    </row>
    <row r="954" spans="1:8">
      <c r="A954" s="6"/>
      <c r="B954" t="s">
        <v>32</v>
      </c>
      <c r="C954" t="s">
        <v>26</v>
      </c>
      <c r="D954" t="s">
        <v>27</v>
      </c>
      <c r="E954" t="s">
        <v>28</v>
      </c>
      <c r="F954" t="s">
        <v>29</v>
      </c>
      <c r="G954" t="s">
        <v>30</v>
      </c>
      <c r="H954" t="s">
        <v>31</v>
      </c>
    </row>
    <row r="955" spans="1:8">
      <c r="A955" s="6"/>
      <c r="B955">
        <v>1</v>
      </c>
      <c r="C955">
        <v>35</v>
      </c>
      <c r="D955">
        <v>35</v>
      </c>
      <c r="E955">
        <v>0</v>
      </c>
      <c r="F955">
        <v>0</v>
      </c>
      <c r="G955">
        <v>230</v>
      </c>
      <c r="H955">
        <v>0</v>
      </c>
    </row>
    <row r="956" spans="1:8">
      <c r="A956" s="6"/>
      <c r="B956">
        <v>2</v>
      </c>
      <c r="C956">
        <v>41</v>
      </c>
      <c r="D956">
        <v>49</v>
      </c>
      <c r="E956">
        <v>10</v>
      </c>
      <c r="F956">
        <v>130</v>
      </c>
      <c r="G956">
        <v>201</v>
      </c>
      <c r="H956">
        <v>10</v>
      </c>
    </row>
    <row r="957" spans="1:8">
      <c r="A957" s="6"/>
      <c r="B957">
        <v>3</v>
      </c>
      <c r="C957">
        <v>35</v>
      </c>
      <c r="D957">
        <v>17</v>
      </c>
      <c r="E957">
        <v>7</v>
      </c>
      <c r="F957">
        <v>20</v>
      </c>
      <c r="G957">
        <v>89</v>
      </c>
      <c r="H957">
        <v>10</v>
      </c>
    </row>
    <row r="958" spans="1:8">
      <c r="A958" s="6"/>
      <c r="B958">
        <v>4</v>
      </c>
      <c r="C958">
        <v>55</v>
      </c>
      <c r="D958">
        <v>45</v>
      </c>
      <c r="E958">
        <v>13</v>
      </c>
      <c r="F958">
        <v>106</v>
      </c>
      <c r="G958">
        <v>135</v>
      </c>
      <c r="H958">
        <v>10</v>
      </c>
    </row>
    <row r="959" spans="1:8">
      <c r="A959" s="6"/>
      <c r="B959">
        <v>5</v>
      </c>
      <c r="C959">
        <v>55</v>
      </c>
      <c r="D959">
        <v>20</v>
      </c>
      <c r="E959">
        <v>19</v>
      </c>
      <c r="F959">
        <v>71</v>
      </c>
      <c r="G959">
        <v>195</v>
      </c>
      <c r="H959">
        <v>10</v>
      </c>
    </row>
    <row r="960" spans="1:8">
      <c r="A960" s="6"/>
      <c r="B960">
        <v>6</v>
      </c>
      <c r="C960">
        <v>15</v>
      </c>
      <c r="D960">
        <v>30</v>
      </c>
      <c r="E960">
        <v>26</v>
      </c>
      <c r="F960">
        <v>20</v>
      </c>
      <c r="G960">
        <v>107</v>
      </c>
      <c r="H960">
        <v>10</v>
      </c>
    </row>
    <row r="961" spans="1:8">
      <c r="A961" s="6"/>
      <c r="B961">
        <v>7</v>
      </c>
      <c r="C961">
        <v>25</v>
      </c>
      <c r="D961">
        <v>30</v>
      </c>
      <c r="E961">
        <v>3</v>
      </c>
      <c r="F961">
        <v>54</v>
      </c>
      <c r="G961">
        <v>153</v>
      </c>
      <c r="H961">
        <v>10</v>
      </c>
    </row>
    <row r="962" spans="1:8">
      <c r="A962" s="6"/>
      <c r="B962">
        <v>8</v>
      </c>
      <c r="C962">
        <v>20</v>
      </c>
      <c r="D962">
        <v>50</v>
      </c>
      <c r="E962">
        <v>5</v>
      </c>
      <c r="F962">
        <v>66</v>
      </c>
      <c r="G962">
        <v>105</v>
      </c>
      <c r="H962">
        <v>10</v>
      </c>
    </row>
    <row r="963" spans="1:8">
      <c r="A963" s="6"/>
      <c r="B963">
        <v>9</v>
      </c>
      <c r="C963">
        <v>10</v>
      </c>
      <c r="D963">
        <v>43</v>
      </c>
      <c r="E963">
        <v>9</v>
      </c>
      <c r="F963">
        <v>61</v>
      </c>
      <c r="G963">
        <v>138</v>
      </c>
      <c r="H963">
        <v>10</v>
      </c>
    </row>
    <row r="964" spans="1:8">
      <c r="A964" s="6"/>
      <c r="B964">
        <v>10</v>
      </c>
      <c r="C964">
        <v>55</v>
      </c>
      <c r="D964">
        <v>60</v>
      </c>
      <c r="E964">
        <v>16</v>
      </c>
      <c r="F964">
        <v>53</v>
      </c>
      <c r="G964">
        <v>150</v>
      </c>
      <c r="H964">
        <v>10</v>
      </c>
    </row>
    <row r="965" spans="1:8">
      <c r="A965" s="6"/>
      <c r="B965">
        <v>11</v>
      </c>
      <c r="C965">
        <v>30</v>
      </c>
      <c r="D965">
        <v>60</v>
      </c>
      <c r="E965">
        <v>16</v>
      </c>
      <c r="F965">
        <v>101</v>
      </c>
      <c r="G965">
        <v>156</v>
      </c>
      <c r="H965">
        <v>10</v>
      </c>
    </row>
    <row r="966" spans="1:8">
      <c r="A966" s="6"/>
      <c r="B966">
        <v>12</v>
      </c>
      <c r="C966">
        <v>20</v>
      </c>
      <c r="D966">
        <v>65</v>
      </c>
      <c r="E966">
        <v>12</v>
      </c>
      <c r="F966">
        <v>33</v>
      </c>
      <c r="G966">
        <v>152</v>
      </c>
      <c r="H966">
        <v>10</v>
      </c>
    </row>
    <row r="967" spans="1:8">
      <c r="A967" s="6"/>
      <c r="B967">
        <v>13</v>
      </c>
      <c r="C967">
        <v>50</v>
      </c>
      <c r="D967">
        <v>35</v>
      </c>
      <c r="E967">
        <v>19</v>
      </c>
      <c r="F967">
        <v>38</v>
      </c>
      <c r="G967">
        <v>97</v>
      </c>
      <c r="H967">
        <v>10</v>
      </c>
    </row>
    <row r="968" spans="1:8">
      <c r="A968" s="6"/>
      <c r="B968">
        <v>14</v>
      </c>
      <c r="C968">
        <v>30</v>
      </c>
      <c r="D968">
        <v>25</v>
      </c>
      <c r="E968">
        <v>23</v>
      </c>
      <c r="F968">
        <v>70</v>
      </c>
      <c r="G968">
        <v>208</v>
      </c>
      <c r="H968">
        <v>10</v>
      </c>
    </row>
    <row r="969" spans="1:8">
      <c r="A969" s="6"/>
      <c r="B969">
        <v>15</v>
      </c>
      <c r="C969">
        <v>15</v>
      </c>
      <c r="D969">
        <v>10</v>
      </c>
      <c r="E969">
        <v>20</v>
      </c>
      <c r="F969">
        <v>32</v>
      </c>
      <c r="G969">
        <v>137</v>
      </c>
      <c r="H969">
        <v>10</v>
      </c>
    </row>
    <row r="970" spans="1:8">
      <c r="A970" s="6"/>
      <c r="B970">
        <v>16</v>
      </c>
      <c r="C970">
        <v>30</v>
      </c>
      <c r="D970">
        <v>5</v>
      </c>
      <c r="E970">
        <v>8</v>
      </c>
      <c r="F970">
        <v>30</v>
      </c>
      <c r="G970">
        <v>154</v>
      </c>
      <c r="H970">
        <v>10</v>
      </c>
    </row>
    <row r="971" spans="1:8">
      <c r="A971" s="6"/>
      <c r="B971">
        <v>17</v>
      </c>
      <c r="C971">
        <v>10</v>
      </c>
      <c r="D971">
        <v>20</v>
      </c>
      <c r="E971">
        <v>19</v>
      </c>
      <c r="F971">
        <v>54</v>
      </c>
      <c r="G971">
        <v>105</v>
      </c>
      <c r="H971">
        <v>10</v>
      </c>
    </row>
    <row r="972" spans="1:8">
      <c r="A972" s="6"/>
      <c r="B972">
        <v>18</v>
      </c>
      <c r="C972">
        <v>5</v>
      </c>
      <c r="D972">
        <v>30</v>
      </c>
      <c r="E972">
        <v>2</v>
      </c>
      <c r="F972">
        <v>51</v>
      </c>
      <c r="G972">
        <v>189</v>
      </c>
      <c r="H972">
        <v>10</v>
      </c>
    </row>
    <row r="973" spans="1:8">
      <c r="A973" s="6"/>
      <c r="B973">
        <v>19</v>
      </c>
      <c r="C973">
        <v>20</v>
      </c>
      <c r="D973">
        <v>40</v>
      </c>
      <c r="E973">
        <v>12</v>
      </c>
      <c r="F973">
        <v>77</v>
      </c>
      <c r="G973">
        <v>106</v>
      </c>
      <c r="H973">
        <v>10</v>
      </c>
    </row>
    <row r="974" spans="1:8">
      <c r="A974" s="6"/>
      <c r="B974">
        <v>20</v>
      </c>
      <c r="C974">
        <v>15</v>
      </c>
      <c r="D974">
        <v>60</v>
      </c>
      <c r="E974">
        <v>17</v>
      </c>
      <c r="F974">
        <v>53</v>
      </c>
      <c r="G974">
        <v>108</v>
      </c>
      <c r="H974">
        <v>10</v>
      </c>
    </row>
    <row r="975" spans="1:8">
      <c r="A975" s="6"/>
      <c r="B975">
        <v>21</v>
      </c>
      <c r="C975">
        <v>45</v>
      </c>
      <c r="D975">
        <v>65</v>
      </c>
      <c r="E975">
        <v>9</v>
      </c>
      <c r="F975">
        <v>109</v>
      </c>
      <c r="G975">
        <v>152</v>
      </c>
      <c r="H975">
        <v>10</v>
      </c>
    </row>
    <row r="976" spans="1:8">
      <c r="A976" s="6"/>
      <c r="B976">
        <v>22</v>
      </c>
      <c r="C976">
        <v>45</v>
      </c>
      <c r="D976">
        <v>20</v>
      </c>
      <c r="E976">
        <v>11</v>
      </c>
      <c r="F976">
        <v>37</v>
      </c>
      <c r="G976">
        <v>96</v>
      </c>
      <c r="H976">
        <v>10</v>
      </c>
    </row>
    <row r="977" spans="1:8">
      <c r="A977" s="6"/>
      <c r="B977">
        <v>23</v>
      </c>
      <c r="C977">
        <v>45</v>
      </c>
      <c r="D977">
        <v>10</v>
      </c>
      <c r="E977">
        <v>18</v>
      </c>
      <c r="F977">
        <v>59</v>
      </c>
      <c r="G977">
        <v>144</v>
      </c>
      <c r="H977">
        <v>10</v>
      </c>
    </row>
    <row r="978" spans="1:8">
      <c r="A978" s="6"/>
      <c r="B978">
        <v>24</v>
      </c>
      <c r="C978">
        <v>55</v>
      </c>
      <c r="D978">
        <v>5</v>
      </c>
      <c r="E978">
        <v>29</v>
      </c>
      <c r="F978">
        <v>36</v>
      </c>
      <c r="G978">
        <v>155</v>
      </c>
      <c r="H978">
        <v>10</v>
      </c>
    </row>
    <row r="979" spans="1:8">
      <c r="A979" s="6"/>
      <c r="B979">
        <v>25</v>
      </c>
      <c r="C979">
        <v>65</v>
      </c>
      <c r="D979">
        <v>35</v>
      </c>
      <c r="E979">
        <v>3</v>
      </c>
      <c r="F979">
        <v>118</v>
      </c>
      <c r="G979">
        <v>190</v>
      </c>
      <c r="H979">
        <v>10</v>
      </c>
    </row>
    <row r="980" spans="1:8">
      <c r="A980" s="6"/>
      <c r="B980">
        <v>26</v>
      </c>
      <c r="C980">
        <v>65</v>
      </c>
      <c r="D980">
        <v>20</v>
      </c>
      <c r="E980">
        <v>6</v>
      </c>
      <c r="F980">
        <v>47</v>
      </c>
      <c r="G980">
        <v>186</v>
      </c>
      <c r="H980">
        <v>10</v>
      </c>
    </row>
    <row r="981" spans="1:8">
      <c r="A981" s="6"/>
      <c r="B981">
        <v>27</v>
      </c>
      <c r="C981">
        <v>45</v>
      </c>
      <c r="D981">
        <v>30</v>
      </c>
      <c r="E981">
        <v>17</v>
      </c>
      <c r="F981">
        <v>117</v>
      </c>
      <c r="G981">
        <v>156</v>
      </c>
      <c r="H981">
        <v>10</v>
      </c>
    </row>
    <row r="982" spans="1:8">
      <c r="A982" s="6"/>
      <c r="B982">
        <v>28</v>
      </c>
      <c r="C982">
        <v>35</v>
      </c>
      <c r="D982">
        <v>40</v>
      </c>
      <c r="E982">
        <v>16</v>
      </c>
      <c r="F982">
        <v>5</v>
      </c>
      <c r="G982">
        <v>156</v>
      </c>
      <c r="H982">
        <v>10</v>
      </c>
    </row>
    <row r="983" spans="1:8">
      <c r="A983" s="6"/>
      <c r="B983">
        <v>29</v>
      </c>
      <c r="C983">
        <v>41</v>
      </c>
      <c r="D983">
        <v>37</v>
      </c>
      <c r="E983">
        <v>16</v>
      </c>
      <c r="F983">
        <v>8</v>
      </c>
      <c r="G983">
        <v>79</v>
      </c>
      <c r="H983">
        <v>10</v>
      </c>
    </row>
    <row r="984" spans="1:8">
      <c r="A984" s="6"/>
      <c r="B984">
        <v>30</v>
      </c>
      <c r="C984">
        <v>64</v>
      </c>
      <c r="D984">
        <v>42</v>
      </c>
      <c r="E984">
        <v>9</v>
      </c>
      <c r="F984">
        <v>37</v>
      </c>
      <c r="G984">
        <v>98</v>
      </c>
      <c r="H984">
        <v>10</v>
      </c>
    </row>
    <row r="985" spans="1:8">
      <c r="A985" s="6"/>
      <c r="B985">
        <v>31</v>
      </c>
      <c r="C985">
        <v>40</v>
      </c>
      <c r="D985">
        <v>60</v>
      </c>
      <c r="E985">
        <v>21</v>
      </c>
      <c r="F985">
        <v>28</v>
      </c>
      <c r="G985">
        <v>123</v>
      </c>
      <c r="H985">
        <v>10</v>
      </c>
    </row>
    <row r="986" spans="1:8">
      <c r="A986" s="6"/>
      <c r="B986">
        <v>32</v>
      </c>
      <c r="C986">
        <v>31</v>
      </c>
      <c r="D986">
        <v>52</v>
      </c>
      <c r="E986">
        <v>27</v>
      </c>
      <c r="F986">
        <v>24</v>
      </c>
      <c r="G986">
        <v>85</v>
      </c>
      <c r="H986">
        <v>10</v>
      </c>
    </row>
    <row r="987" spans="1:8">
      <c r="A987" s="6"/>
      <c r="B987">
        <v>33</v>
      </c>
      <c r="C987">
        <v>35</v>
      </c>
      <c r="D987">
        <v>69</v>
      </c>
      <c r="E987">
        <v>23</v>
      </c>
      <c r="F987">
        <v>116</v>
      </c>
      <c r="G987">
        <v>175</v>
      </c>
      <c r="H987">
        <v>10</v>
      </c>
    </row>
    <row r="988" spans="1:8">
      <c r="A988" s="6"/>
      <c r="B988">
        <v>34</v>
      </c>
      <c r="C988">
        <v>53</v>
      </c>
      <c r="D988">
        <v>52</v>
      </c>
      <c r="E988">
        <v>11</v>
      </c>
      <c r="F988">
        <v>24</v>
      </c>
      <c r="G988">
        <v>179</v>
      </c>
      <c r="H988">
        <v>10</v>
      </c>
    </row>
    <row r="989" spans="1:8">
      <c r="A989" s="6"/>
      <c r="B989">
        <v>35</v>
      </c>
      <c r="C989">
        <v>65</v>
      </c>
      <c r="D989">
        <v>55</v>
      </c>
      <c r="E989">
        <v>14</v>
      </c>
      <c r="F989">
        <v>100</v>
      </c>
      <c r="G989">
        <v>143</v>
      </c>
      <c r="H989">
        <v>10</v>
      </c>
    </row>
    <row r="990" spans="1:8">
      <c r="A990" s="6"/>
      <c r="B990">
        <v>36</v>
      </c>
      <c r="C990">
        <v>63</v>
      </c>
      <c r="D990">
        <v>65</v>
      </c>
      <c r="E990">
        <v>8</v>
      </c>
      <c r="F990">
        <v>50</v>
      </c>
      <c r="G990">
        <v>178</v>
      </c>
      <c r="H990">
        <v>10</v>
      </c>
    </row>
    <row r="991" spans="1:8">
      <c r="A991" s="6"/>
      <c r="B991">
        <v>37</v>
      </c>
      <c r="C991">
        <v>2</v>
      </c>
      <c r="D991">
        <v>60</v>
      </c>
      <c r="E991">
        <v>5</v>
      </c>
      <c r="F991">
        <v>41</v>
      </c>
      <c r="G991">
        <v>178</v>
      </c>
      <c r="H991">
        <v>10</v>
      </c>
    </row>
    <row r="992" spans="1:8">
      <c r="A992" s="6"/>
      <c r="B992">
        <v>38</v>
      </c>
      <c r="C992">
        <v>20</v>
      </c>
      <c r="D992">
        <v>20</v>
      </c>
      <c r="E992">
        <v>8</v>
      </c>
      <c r="F992">
        <v>117</v>
      </c>
      <c r="G992">
        <v>160</v>
      </c>
      <c r="H992">
        <v>10</v>
      </c>
    </row>
    <row r="993" spans="1:8">
      <c r="A993" s="6"/>
      <c r="B993">
        <v>39</v>
      </c>
      <c r="C993">
        <v>5</v>
      </c>
      <c r="D993">
        <v>5</v>
      </c>
      <c r="E993">
        <v>16</v>
      </c>
      <c r="F993">
        <v>42</v>
      </c>
      <c r="G993">
        <v>145</v>
      </c>
      <c r="H993">
        <v>10</v>
      </c>
    </row>
    <row r="994" spans="1:8">
      <c r="A994" s="6"/>
      <c r="B994">
        <v>40</v>
      </c>
      <c r="C994">
        <v>60</v>
      </c>
      <c r="D994">
        <v>12</v>
      </c>
      <c r="E994">
        <v>31</v>
      </c>
      <c r="F994">
        <v>33</v>
      </c>
      <c r="G994">
        <v>186</v>
      </c>
      <c r="H994">
        <v>10</v>
      </c>
    </row>
    <row r="995" spans="1:8">
      <c r="A995" s="6"/>
      <c r="B995">
        <v>41</v>
      </c>
      <c r="C995">
        <v>40</v>
      </c>
      <c r="D995">
        <v>25</v>
      </c>
      <c r="E995">
        <v>9</v>
      </c>
      <c r="F995">
        <v>51</v>
      </c>
      <c r="G995">
        <v>128</v>
      </c>
      <c r="H995">
        <v>10</v>
      </c>
    </row>
    <row r="996" spans="1:8">
      <c r="A996" s="6"/>
      <c r="B996">
        <v>42</v>
      </c>
      <c r="C996">
        <v>42</v>
      </c>
      <c r="D996">
        <v>7</v>
      </c>
      <c r="E996">
        <v>5</v>
      </c>
      <c r="F996">
        <v>44</v>
      </c>
      <c r="G996">
        <v>159</v>
      </c>
      <c r="H996">
        <v>10</v>
      </c>
    </row>
    <row r="997" spans="1:8">
      <c r="A997" s="6"/>
      <c r="B997">
        <v>43</v>
      </c>
      <c r="C997">
        <v>24</v>
      </c>
      <c r="D997">
        <v>12</v>
      </c>
      <c r="E997">
        <v>5</v>
      </c>
      <c r="F997">
        <v>25</v>
      </c>
      <c r="G997">
        <v>172</v>
      </c>
      <c r="H997">
        <v>10</v>
      </c>
    </row>
    <row r="998" spans="1:8">
      <c r="A998" s="6"/>
      <c r="B998">
        <v>44</v>
      </c>
      <c r="C998">
        <v>23</v>
      </c>
      <c r="D998">
        <v>3</v>
      </c>
      <c r="E998">
        <v>7</v>
      </c>
      <c r="F998">
        <v>115</v>
      </c>
      <c r="G998">
        <v>158</v>
      </c>
      <c r="H998">
        <v>10</v>
      </c>
    </row>
    <row r="999" spans="1:8">
      <c r="A999" s="6"/>
      <c r="B999">
        <v>45</v>
      </c>
      <c r="C999">
        <v>11</v>
      </c>
      <c r="D999">
        <v>14</v>
      </c>
      <c r="E999">
        <v>18</v>
      </c>
      <c r="F999">
        <v>31</v>
      </c>
      <c r="G999">
        <v>138</v>
      </c>
      <c r="H999">
        <v>10</v>
      </c>
    </row>
    <row r="1000" spans="1:8">
      <c r="A1000" s="6"/>
      <c r="B1000">
        <v>46</v>
      </c>
      <c r="C1000">
        <v>6</v>
      </c>
      <c r="D1000">
        <v>38</v>
      </c>
      <c r="E1000">
        <v>16</v>
      </c>
      <c r="F1000">
        <v>29</v>
      </c>
      <c r="G1000">
        <v>189</v>
      </c>
      <c r="H1000">
        <v>10</v>
      </c>
    </row>
    <row r="1001" spans="1:8">
      <c r="A1001" s="6"/>
      <c r="B1001">
        <v>47</v>
      </c>
      <c r="C1001">
        <v>2</v>
      </c>
      <c r="D1001">
        <v>48</v>
      </c>
      <c r="E1001">
        <v>1</v>
      </c>
      <c r="F1001">
        <v>93</v>
      </c>
      <c r="G1001">
        <v>150</v>
      </c>
      <c r="H1001">
        <v>10</v>
      </c>
    </row>
    <row r="1002" spans="1:8">
      <c r="A1002" s="6"/>
      <c r="B1002">
        <v>48</v>
      </c>
      <c r="C1002">
        <v>8</v>
      </c>
      <c r="D1002">
        <v>56</v>
      </c>
      <c r="E1002">
        <v>27</v>
      </c>
      <c r="F1002">
        <v>34</v>
      </c>
      <c r="G1002">
        <v>116</v>
      </c>
      <c r="H1002">
        <v>10</v>
      </c>
    </row>
    <row r="1003" spans="1:8">
      <c r="A1003" s="6"/>
      <c r="B1003">
        <v>49</v>
      </c>
      <c r="C1003">
        <v>13</v>
      </c>
      <c r="D1003">
        <v>52</v>
      </c>
      <c r="E1003">
        <v>36</v>
      </c>
      <c r="F1003">
        <v>125</v>
      </c>
      <c r="G1003">
        <v>192</v>
      </c>
      <c r="H1003">
        <v>10</v>
      </c>
    </row>
    <row r="1004" spans="1:8">
      <c r="A1004" s="6"/>
      <c r="B1004">
        <v>50</v>
      </c>
      <c r="C1004">
        <v>6</v>
      </c>
      <c r="D1004">
        <v>68</v>
      </c>
      <c r="E1004">
        <v>30</v>
      </c>
      <c r="F1004">
        <v>93</v>
      </c>
      <c r="G1004">
        <v>132</v>
      </c>
      <c r="H1004">
        <v>10</v>
      </c>
    </row>
    <row r="1005" spans="1:8">
      <c r="A1005" s="6"/>
      <c r="B1005">
        <v>51</v>
      </c>
      <c r="C1005">
        <v>47</v>
      </c>
      <c r="D1005">
        <v>47</v>
      </c>
      <c r="E1005">
        <v>13</v>
      </c>
      <c r="F1005">
        <v>105</v>
      </c>
      <c r="G1005">
        <v>152</v>
      </c>
      <c r="H1005">
        <v>10</v>
      </c>
    </row>
    <row r="1006" spans="1:8">
      <c r="A1006" s="6"/>
      <c r="B1006">
        <v>52</v>
      </c>
      <c r="C1006">
        <v>49</v>
      </c>
      <c r="D1006">
        <v>58</v>
      </c>
      <c r="E1006">
        <v>10</v>
      </c>
      <c r="F1006">
        <v>66</v>
      </c>
      <c r="G1006">
        <v>119</v>
      </c>
      <c r="H1006">
        <v>10</v>
      </c>
    </row>
    <row r="1007" spans="1:8">
      <c r="A1007" s="6"/>
      <c r="B1007">
        <v>53</v>
      </c>
      <c r="C1007">
        <v>27</v>
      </c>
      <c r="D1007">
        <v>43</v>
      </c>
      <c r="E1007">
        <v>9</v>
      </c>
      <c r="F1007">
        <v>25</v>
      </c>
      <c r="G1007">
        <v>88</v>
      </c>
      <c r="H1007">
        <v>10</v>
      </c>
    </row>
    <row r="1008" spans="1:8">
      <c r="A1008" s="6"/>
      <c r="B1008">
        <v>54</v>
      </c>
      <c r="C1008">
        <v>37</v>
      </c>
      <c r="D1008">
        <v>31</v>
      </c>
      <c r="E1008">
        <v>14</v>
      </c>
      <c r="F1008">
        <v>62</v>
      </c>
      <c r="G1008">
        <v>137</v>
      </c>
      <c r="H1008">
        <v>10</v>
      </c>
    </row>
    <row r="1009" spans="1:8">
      <c r="A1009" s="6"/>
      <c r="B1009">
        <v>55</v>
      </c>
      <c r="C1009">
        <v>57</v>
      </c>
      <c r="D1009">
        <v>29</v>
      </c>
      <c r="E1009">
        <v>18</v>
      </c>
      <c r="F1009">
        <v>121</v>
      </c>
      <c r="G1009">
        <v>168</v>
      </c>
      <c r="H1009">
        <v>10</v>
      </c>
    </row>
    <row r="1010" spans="1:8">
      <c r="A1010" s="6"/>
      <c r="B1010">
        <v>56</v>
      </c>
      <c r="C1010">
        <v>63</v>
      </c>
      <c r="D1010">
        <v>23</v>
      </c>
      <c r="E1010">
        <v>2</v>
      </c>
      <c r="F1010">
        <v>70</v>
      </c>
      <c r="G1010">
        <v>189</v>
      </c>
      <c r="H1010">
        <v>10</v>
      </c>
    </row>
    <row r="1011" spans="1:8">
      <c r="A1011" s="6"/>
      <c r="B1011">
        <v>57</v>
      </c>
      <c r="C1011">
        <v>53</v>
      </c>
      <c r="D1011">
        <v>12</v>
      </c>
      <c r="E1011">
        <v>6</v>
      </c>
      <c r="F1011">
        <v>81</v>
      </c>
      <c r="G1011">
        <v>188</v>
      </c>
      <c r="H1011">
        <v>10</v>
      </c>
    </row>
    <row r="1012" spans="1:8">
      <c r="A1012" s="6"/>
      <c r="B1012">
        <v>58</v>
      </c>
      <c r="C1012">
        <v>32</v>
      </c>
      <c r="D1012">
        <v>12</v>
      </c>
      <c r="E1012">
        <v>7</v>
      </c>
      <c r="F1012">
        <v>78</v>
      </c>
      <c r="G1012">
        <v>133</v>
      </c>
      <c r="H1012">
        <v>10</v>
      </c>
    </row>
    <row r="1013" spans="1:8">
      <c r="A1013" s="6"/>
      <c r="B1013">
        <v>59</v>
      </c>
      <c r="C1013">
        <v>36</v>
      </c>
      <c r="D1013">
        <v>26</v>
      </c>
      <c r="E1013">
        <v>18</v>
      </c>
      <c r="F1013">
        <v>79</v>
      </c>
      <c r="G1013">
        <v>210</v>
      </c>
      <c r="H1013">
        <v>10</v>
      </c>
    </row>
    <row r="1014" spans="1:8">
      <c r="A1014" s="6"/>
      <c r="B1014">
        <v>60</v>
      </c>
      <c r="C1014">
        <v>21</v>
      </c>
      <c r="D1014">
        <v>24</v>
      </c>
      <c r="E1014">
        <v>28</v>
      </c>
      <c r="F1014">
        <v>17</v>
      </c>
      <c r="G1014">
        <v>123</v>
      </c>
      <c r="H1014">
        <v>10</v>
      </c>
    </row>
    <row r="1015" spans="1:8">
      <c r="A1015" s="6"/>
      <c r="B1015">
        <v>61</v>
      </c>
      <c r="C1015">
        <v>17</v>
      </c>
      <c r="D1015">
        <v>34</v>
      </c>
      <c r="E1015">
        <v>3</v>
      </c>
      <c r="F1015">
        <v>130</v>
      </c>
      <c r="G1015">
        <v>201</v>
      </c>
      <c r="H1015">
        <v>10</v>
      </c>
    </row>
    <row r="1016" spans="1:8">
      <c r="A1016" s="6"/>
      <c r="B1016">
        <v>62</v>
      </c>
      <c r="C1016">
        <v>12</v>
      </c>
      <c r="D1016">
        <v>24</v>
      </c>
      <c r="E1016">
        <v>13</v>
      </c>
      <c r="F1016">
        <v>59</v>
      </c>
      <c r="G1016">
        <v>102</v>
      </c>
      <c r="H1016">
        <v>10</v>
      </c>
    </row>
    <row r="1017" spans="1:8">
      <c r="A1017" s="6"/>
      <c r="B1017">
        <v>63</v>
      </c>
      <c r="C1017">
        <v>24</v>
      </c>
      <c r="D1017">
        <v>58</v>
      </c>
      <c r="E1017">
        <v>19</v>
      </c>
      <c r="F1017">
        <v>25</v>
      </c>
      <c r="G1017">
        <v>164</v>
      </c>
      <c r="H1017">
        <v>10</v>
      </c>
    </row>
    <row r="1018" spans="1:8">
      <c r="A1018" s="6"/>
      <c r="B1018">
        <v>64</v>
      </c>
      <c r="C1018">
        <v>27</v>
      </c>
      <c r="D1018">
        <v>69</v>
      </c>
      <c r="E1018">
        <v>10</v>
      </c>
      <c r="F1018">
        <v>34</v>
      </c>
      <c r="G1018">
        <v>112</v>
      </c>
      <c r="H1018">
        <v>10</v>
      </c>
    </row>
    <row r="1019" spans="1:8">
      <c r="A1019" s="6"/>
      <c r="B1019">
        <v>65</v>
      </c>
      <c r="C1019">
        <v>15</v>
      </c>
      <c r="D1019">
        <v>77</v>
      </c>
      <c r="E1019">
        <v>9</v>
      </c>
      <c r="F1019">
        <v>46</v>
      </c>
      <c r="G1019">
        <v>165</v>
      </c>
      <c r="H1019">
        <v>10</v>
      </c>
    </row>
    <row r="1020" spans="1:8">
      <c r="A1020" s="6"/>
      <c r="B1020">
        <v>66</v>
      </c>
      <c r="C1020">
        <v>62</v>
      </c>
      <c r="D1020">
        <v>77</v>
      </c>
      <c r="E1020">
        <v>20</v>
      </c>
      <c r="F1020">
        <v>49</v>
      </c>
      <c r="G1020">
        <v>170</v>
      </c>
      <c r="H1020">
        <v>10</v>
      </c>
    </row>
    <row r="1021" spans="1:8">
      <c r="A1021" s="6"/>
      <c r="B1021">
        <v>67</v>
      </c>
      <c r="C1021">
        <v>49</v>
      </c>
      <c r="D1021">
        <v>73</v>
      </c>
      <c r="E1021">
        <v>25</v>
      </c>
      <c r="F1021">
        <v>77</v>
      </c>
      <c r="G1021">
        <v>179</v>
      </c>
      <c r="H1021">
        <v>10</v>
      </c>
    </row>
    <row r="1022" spans="1:8">
      <c r="A1022" s="6"/>
      <c r="B1022">
        <v>68</v>
      </c>
      <c r="C1022">
        <v>67</v>
      </c>
      <c r="D1022">
        <v>5</v>
      </c>
      <c r="E1022">
        <v>25</v>
      </c>
      <c r="F1022">
        <v>43</v>
      </c>
      <c r="G1022">
        <v>150</v>
      </c>
      <c r="H1022">
        <v>10</v>
      </c>
    </row>
    <row r="1023" spans="1:8">
      <c r="A1023" s="6"/>
      <c r="B1023">
        <v>69</v>
      </c>
      <c r="C1023">
        <v>56</v>
      </c>
      <c r="D1023">
        <v>39</v>
      </c>
      <c r="E1023">
        <v>36</v>
      </c>
      <c r="F1023">
        <v>82</v>
      </c>
      <c r="G1023">
        <v>198</v>
      </c>
      <c r="H1023">
        <v>10</v>
      </c>
    </row>
    <row r="1024" spans="1:8">
      <c r="A1024" s="6"/>
      <c r="B1024">
        <v>70</v>
      </c>
      <c r="C1024">
        <v>37</v>
      </c>
      <c r="D1024">
        <v>47</v>
      </c>
      <c r="E1024">
        <v>6</v>
      </c>
      <c r="F1024">
        <v>12</v>
      </c>
      <c r="G1024">
        <v>142</v>
      </c>
      <c r="H1024">
        <v>10</v>
      </c>
    </row>
    <row r="1025" spans="1:8">
      <c r="A1025" s="6"/>
      <c r="B1025">
        <v>71</v>
      </c>
      <c r="C1025">
        <v>37</v>
      </c>
      <c r="D1025">
        <v>56</v>
      </c>
      <c r="E1025">
        <v>5</v>
      </c>
      <c r="F1025">
        <v>21</v>
      </c>
      <c r="G1025">
        <v>198</v>
      </c>
      <c r="H1025">
        <v>10</v>
      </c>
    </row>
    <row r="1026" spans="1:8">
      <c r="A1026" s="6"/>
      <c r="B1026">
        <v>72</v>
      </c>
      <c r="C1026">
        <v>57</v>
      </c>
      <c r="D1026">
        <v>68</v>
      </c>
      <c r="E1026">
        <v>15</v>
      </c>
      <c r="F1026">
        <v>57</v>
      </c>
      <c r="G1026">
        <v>106</v>
      </c>
      <c r="H1026">
        <v>10</v>
      </c>
    </row>
    <row r="1027" spans="1:8">
      <c r="A1027" s="6"/>
      <c r="B1027">
        <v>73</v>
      </c>
      <c r="C1027">
        <v>47</v>
      </c>
      <c r="D1027">
        <v>16</v>
      </c>
      <c r="E1027">
        <v>25</v>
      </c>
      <c r="F1027">
        <v>22</v>
      </c>
      <c r="G1027">
        <v>110</v>
      </c>
      <c r="H1027">
        <v>10</v>
      </c>
    </row>
    <row r="1028" spans="1:8">
      <c r="A1028" s="6"/>
      <c r="B1028">
        <v>74</v>
      </c>
      <c r="C1028">
        <v>44</v>
      </c>
      <c r="D1028">
        <v>17</v>
      </c>
      <c r="E1028">
        <v>9</v>
      </c>
      <c r="F1028">
        <v>60</v>
      </c>
      <c r="G1028">
        <v>105</v>
      </c>
      <c r="H1028">
        <v>10</v>
      </c>
    </row>
    <row r="1029" spans="1:8">
      <c r="A1029" s="6"/>
      <c r="B1029">
        <v>75</v>
      </c>
      <c r="C1029">
        <v>46</v>
      </c>
      <c r="D1029">
        <v>13</v>
      </c>
      <c r="E1029">
        <v>8</v>
      </c>
      <c r="F1029">
        <v>73</v>
      </c>
      <c r="G1029">
        <v>195</v>
      </c>
      <c r="H1029">
        <v>10</v>
      </c>
    </row>
    <row r="1030" spans="1:8">
      <c r="A1030" s="6"/>
      <c r="B1030">
        <v>76</v>
      </c>
      <c r="C1030">
        <v>49</v>
      </c>
      <c r="D1030">
        <v>11</v>
      </c>
      <c r="E1030">
        <v>18</v>
      </c>
      <c r="F1030">
        <v>46</v>
      </c>
      <c r="G1030">
        <v>101</v>
      </c>
      <c r="H1030">
        <v>10</v>
      </c>
    </row>
    <row r="1031" spans="1:8">
      <c r="A1031" s="6"/>
      <c r="B1031">
        <v>77</v>
      </c>
      <c r="C1031">
        <v>49</v>
      </c>
      <c r="D1031">
        <v>42</v>
      </c>
      <c r="E1031">
        <v>13</v>
      </c>
      <c r="F1031">
        <v>36</v>
      </c>
      <c r="G1031">
        <v>119</v>
      </c>
      <c r="H1031">
        <v>10</v>
      </c>
    </row>
    <row r="1032" spans="1:8">
      <c r="A1032" s="6"/>
      <c r="B1032">
        <v>78</v>
      </c>
      <c r="C1032">
        <v>53</v>
      </c>
      <c r="D1032">
        <v>43</v>
      </c>
      <c r="E1032">
        <v>14</v>
      </c>
      <c r="F1032">
        <v>65</v>
      </c>
      <c r="G1032">
        <v>200</v>
      </c>
      <c r="H1032">
        <v>10</v>
      </c>
    </row>
    <row r="1033" spans="1:8">
      <c r="A1033" s="6"/>
      <c r="B1033">
        <v>79</v>
      </c>
      <c r="C1033">
        <v>61</v>
      </c>
      <c r="D1033">
        <v>52</v>
      </c>
      <c r="E1033">
        <v>3</v>
      </c>
      <c r="F1033">
        <v>43</v>
      </c>
      <c r="G1033">
        <v>158</v>
      </c>
      <c r="H1033">
        <v>10</v>
      </c>
    </row>
    <row r="1034" spans="1:8">
      <c r="A1034" s="6"/>
      <c r="B1034">
        <v>80</v>
      </c>
      <c r="C1034">
        <v>57</v>
      </c>
      <c r="D1034">
        <v>48</v>
      </c>
      <c r="E1034">
        <v>23</v>
      </c>
      <c r="F1034">
        <v>58</v>
      </c>
      <c r="G1034">
        <v>135</v>
      </c>
      <c r="H1034">
        <v>10</v>
      </c>
    </row>
    <row r="1035" spans="1:8">
      <c r="A1035" s="6"/>
      <c r="B1035">
        <v>81</v>
      </c>
      <c r="C1035">
        <v>56</v>
      </c>
      <c r="D1035">
        <v>37</v>
      </c>
      <c r="E1035">
        <v>6</v>
      </c>
      <c r="F1035">
        <v>69</v>
      </c>
      <c r="G1035">
        <v>198</v>
      </c>
      <c r="H1035">
        <v>10</v>
      </c>
    </row>
    <row r="1036" spans="1:8">
      <c r="A1036" s="6"/>
      <c r="B1036">
        <v>82</v>
      </c>
      <c r="C1036">
        <v>55</v>
      </c>
      <c r="D1036">
        <v>54</v>
      </c>
      <c r="E1036">
        <v>26</v>
      </c>
      <c r="F1036">
        <v>87</v>
      </c>
      <c r="G1036">
        <v>110</v>
      </c>
      <c r="H1036">
        <v>10</v>
      </c>
    </row>
    <row r="1037" spans="1:8">
      <c r="A1037" s="6"/>
      <c r="B1037">
        <v>83</v>
      </c>
      <c r="C1037">
        <v>15</v>
      </c>
      <c r="D1037">
        <v>47</v>
      </c>
      <c r="E1037">
        <v>16</v>
      </c>
      <c r="F1037">
        <v>28</v>
      </c>
      <c r="G1037">
        <v>91</v>
      </c>
      <c r="H1037">
        <v>10</v>
      </c>
    </row>
    <row r="1038" spans="1:8">
      <c r="A1038" s="6"/>
      <c r="B1038">
        <v>84</v>
      </c>
      <c r="C1038">
        <v>14</v>
      </c>
      <c r="D1038">
        <v>37</v>
      </c>
      <c r="E1038">
        <v>11</v>
      </c>
      <c r="F1038">
        <v>21</v>
      </c>
      <c r="G1038">
        <v>97</v>
      </c>
      <c r="H1038">
        <v>10</v>
      </c>
    </row>
    <row r="1039" spans="1:8">
      <c r="A1039" s="6"/>
      <c r="B1039">
        <v>85</v>
      </c>
      <c r="C1039">
        <v>11</v>
      </c>
      <c r="D1039">
        <v>31</v>
      </c>
      <c r="E1039">
        <v>7</v>
      </c>
      <c r="F1039">
        <v>68</v>
      </c>
      <c r="G1039">
        <v>143</v>
      </c>
      <c r="H1039">
        <v>10</v>
      </c>
    </row>
    <row r="1040" spans="1:8">
      <c r="A1040" s="6"/>
      <c r="B1040">
        <v>86</v>
      </c>
      <c r="C1040">
        <v>16</v>
      </c>
      <c r="D1040">
        <v>22</v>
      </c>
      <c r="E1040">
        <v>41</v>
      </c>
      <c r="F1040">
        <v>74</v>
      </c>
      <c r="G1040">
        <v>117</v>
      </c>
      <c r="H1040">
        <v>10</v>
      </c>
    </row>
    <row r="1041" spans="1:8">
      <c r="A1041" s="6"/>
      <c r="B1041">
        <v>87</v>
      </c>
      <c r="C1041">
        <v>4</v>
      </c>
      <c r="D1041">
        <v>18</v>
      </c>
      <c r="E1041">
        <v>35</v>
      </c>
      <c r="F1041">
        <v>79</v>
      </c>
      <c r="G1041">
        <v>118</v>
      </c>
      <c r="H1041">
        <v>10</v>
      </c>
    </row>
    <row r="1042" spans="1:8">
      <c r="A1042" s="6"/>
      <c r="B1042">
        <v>88</v>
      </c>
      <c r="C1042">
        <v>28</v>
      </c>
      <c r="D1042">
        <v>18</v>
      </c>
      <c r="E1042">
        <v>26</v>
      </c>
      <c r="F1042">
        <v>84</v>
      </c>
      <c r="G1042">
        <v>111</v>
      </c>
      <c r="H1042">
        <v>10</v>
      </c>
    </row>
    <row r="1043" spans="1:8">
      <c r="A1043" s="6"/>
      <c r="B1043">
        <v>89</v>
      </c>
      <c r="C1043">
        <v>26</v>
      </c>
      <c r="D1043">
        <v>52</v>
      </c>
      <c r="E1043">
        <v>9</v>
      </c>
      <c r="F1043">
        <v>24</v>
      </c>
      <c r="G1043">
        <v>133</v>
      </c>
      <c r="H1043">
        <v>10</v>
      </c>
    </row>
    <row r="1044" spans="1:8">
      <c r="A1044" s="6"/>
      <c r="B1044">
        <v>90</v>
      </c>
      <c r="C1044">
        <v>26</v>
      </c>
      <c r="D1044">
        <v>35</v>
      </c>
      <c r="E1044">
        <v>15</v>
      </c>
      <c r="F1044">
        <v>128</v>
      </c>
      <c r="G1044">
        <v>211</v>
      </c>
      <c r="H1044">
        <v>10</v>
      </c>
    </row>
    <row r="1045" spans="1:8">
      <c r="A1045" s="6"/>
      <c r="B1045">
        <v>91</v>
      </c>
      <c r="C1045">
        <v>31</v>
      </c>
      <c r="D1045">
        <v>67</v>
      </c>
      <c r="E1045">
        <v>3</v>
      </c>
      <c r="F1045">
        <v>76</v>
      </c>
      <c r="G1045">
        <v>123</v>
      </c>
      <c r="H1045">
        <v>10</v>
      </c>
    </row>
    <row r="1046" spans="1:8">
      <c r="A1046" s="6"/>
      <c r="B1046">
        <v>92</v>
      </c>
      <c r="C1046">
        <v>15</v>
      </c>
      <c r="D1046">
        <v>19</v>
      </c>
      <c r="E1046">
        <v>1</v>
      </c>
      <c r="F1046">
        <v>130</v>
      </c>
      <c r="G1046">
        <v>194</v>
      </c>
      <c r="H1046">
        <v>10</v>
      </c>
    </row>
    <row r="1047" spans="1:8">
      <c r="A1047" s="6"/>
      <c r="B1047">
        <v>93</v>
      </c>
      <c r="C1047">
        <v>22</v>
      </c>
      <c r="D1047">
        <v>22</v>
      </c>
      <c r="E1047">
        <v>2</v>
      </c>
      <c r="F1047">
        <v>18</v>
      </c>
      <c r="G1047">
        <v>181</v>
      </c>
      <c r="H1047">
        <v>10</v>
      </c>
    </row>
    <row r="1048" spans="1:8">
      <c r="A1048" s="6"/>
      <c r="B1048">
        <v>94</v>
      </c>
      <c r="C1048">
        <v>18</v>
      </c>
      <c r="D1048">
        <v>24</v>
      </c>
      <c r="E1048">
        <v>22</v>
      </c>
      <c r="F1048">
        <v>41</v>
      </c>
      <c r="G1048">
        <v>199</v>
      </c>
      <c r="H1048">
        <v>10</v>
      </c>
    </row>
    <row r="1049" spans="1:8">
      <c r="A1049" s="6"/>
      <c r="B1049">
        <v>95</v>
      </c>
      <c r="C1049">
        <v>26</v>
      </c>
      <c r="D1049">
        <v>27</v>
      </c>
      <c r="E1049">
        <v>27</v>
      </c>
      <c r="F1049">
        <v>88</v>
      </c>
      <c r="G1049">
        <v>121</v>
      </c>
      <c r="H1049">
        <v>10</v>
      </c>
    </row>
    <row r="1050" spans="1:8">
      <c r="A1050" s="6"/>
      <c r="B1050">
        <v>96</v>
      </c>
      <c r="C1050">
        <v>25</v>
      </c>
      <c r="D1050">
        <v>24</v>
      </c>
      <c r="E1050">
        <v>20</v>
      </c>
      <c r="F1050">
        <v>14</v>
      </c>
      <c r="G1050">
        <v>83</v>
      </c>
      <c r="H1050">
        <v>10</v>
      </c>
    </row>
    <row r="1051" spans="1:8">
      <c r="A1051" s="6"/>
      <c r="B1051">
        <v>97</v>
      </c>
      <c r="C1051">
        <v>22</v>
      </c>
      <c r="D1051">
        <v>27</v>
      </c>
      <c r="E1051">
        <v>11</v>
      </c>
      <c r="F1051">
        <v>119</v>
      </c>
      <c r="G1051">
        <v>160</v>
      </c>
      <c r="H1051">
        <v>10</v>
      </c>
    </row>
    <row r="1052" spans="1:8">
      <c r="A1052" s="6"/>
      <c r="B1052">
        <v>98</v>
      </c>
      <c r="C1052">
        <v>25</v>
      </c>
      <c r="D1052">
        <v>21</v>
      </c>
      <c r="E1052">
        <v>12</v>
      </c>
      <c r="F1052">
        <v>122</v>
      </c>
      <c r="G1052">
        <v>153</v>
      </c>
      <c r="H1052">
        <v>10</v>
      </c>
    </row>
    <row r="1053" spans="1:8">
      <c r="A1053" s="6"/>
      <c r="B1053">
        <v>99</v>
      </c>
      <c r="C1053">
        <v>19</v>
      </c>
      <c r="D1053">
        <v>21</v>
      </c>
      <c r="E1053">
        <v>10</v>
      </c>
      <c r="F1053">
        <v>32</v>
      </c>
      <c r="G1053">
        <v>93</v>
      </c>
      <c r="H1053">
        <v>10</v>
      </c>
    </row>
    <row r="1054" spans="1:8">
      <c r="A1054" s="6"/>
      <c r="B1054">
        <v>100</v>
      </c>
      <c r="C1054">
        <v>20</v>
      </c>
      <c r="D1054">
        <v>26</v>
      </c>
      <c r="E1054">
        <v>9</v>
      </c>
      <c r="F1054">
        <v>38</v>
      </c>
      <c r="G1054">
        <v>137</v>
      </c>
      <c r="H1054">
        <v>10</v>
      </c>
    </row>
    <row r="1055" spans="1:8">
      <c r="B1055">
        <v>101</v>
      </c>
      <c r="C1055">
        <v>18</v>
      </c>
      <c r="D1055">
        <v>18</v>
      </c>
      <c r="E1055">
        <v>17</v>
      </c>
      <c r="F1055">
        <v>28</v>
      </c>
      <c r="G1055">
        <v>195</v>
      </c>
      <c r="H1055">
        <v>10</v>
      </c>
    </row>
    <row r="1057" spans="1:8" ht="22.8">
      <c r="A1057" s="8" t="s">
        <v>23</v>
      </c>
    </row>
    <row r="1058" spans="1:8">
      <c r="A1058" s="4"/>
    </row>
    <row r="1059" spans="1:8">
      <c r="A1059" s="6"/>
      <c r="B1059" t="s">
        <v>32</v>
      </c>
      <c r="C1059" t="s">
        <v>26</v>
      </c>
      <c r="D1059" t="s">
        <v>27</v>
      </c>
      <c r="E1059" t="s">
        <v>28</v>
      </c>
      <c r="F1059" t="s">
        <v>29</v>
      </c>
      <c r="G1059" t="s">
        <v>30</v>
      </c>
      <c r="H1059" t="s">
        <v>31</v>
      </c>
    </row>
    <row r="1060" spans="1:8">
      <c r="A1060" s="6"/>
      <c r="B1060">
        <v>1</v>
      </c>
      <c r="C1060">
        <v>35</v>
      </c>
      <c r="D1060">
        <v>35</v>
      </c>
      <c r="E1060">
        <v>0</v>
      </c>
      <c r="F1060">
        <v>0</v>
      </c>
      <c r="G1060">
        <v>230</v>
      </c>
      <c r="H1060">
        <v>0</v>
      </c>
    </row>
    <row r="1061" spans="1:8">
      <c r="A1061" s="6"/>
      <c r="B1061">
        <v>2</v>
      </c>
      <c r="C1061">
        <v>41</v>
      </c>
      <c r="D1061">
        <v>49</v>
      </c>
      <c r="E1061">
        <v>10</v>
      </c>
      <c r="F1061">
        <v>15</v>
      </c>
      <c r="G1061">
        <v>204</v>
      </c>
      <c r="H1061">
        <v>10</v>
      </c>
    </row>
    <row r="1062" spans="1:8">
      <c r="A1062" s="6"/>
      <c r="B1062">
        <v>3</v>
      </c>
      <c r="C1062">
        <v>35</v>
      </c>
      <c r="D1062">
        <v>17</v>
      </c>
      <c r="E1062">
        <v>7</v>
      </c>
      <c r="F1062">
        <v>18</v>
      </c>
      <c r="G1062">
        <v>202</v>
      </c>
      <c r="H1062">
        <v>10</v>
      </c>
    </row>
    <row r="1063" spans="1:8">
      <c r="A1063" s="6"/>
      <c r="B1063">
        <v>4</v>
      </c>
      <c r="C1063">
        <v>55</v>
      </c>
      <c r="D1063">
        <v>45</v>
      </c>
      <c r="E1063">
        <v>13</v>
      </c>
      <c r="F1063">
        <v>54</v>
      </c>
      <c r="G1063">
        <v>187</v>
      </c>
      <c r="H1063">
        <v>10</v>
      </c>
    </row>
    <row r="1064" spans="1:8">
      <c r="A1064" s="6"/>
      <c r="B1064">
        <v>5</v>
      </c>
      <c r="C1064">
        <v>55</v>
      </c>
      <c r="D1064">
        <v>20</v>
      </c>
      <c r="E1064">
        <v>19</v>
      </c>
      <c r="F1064">
        <v>138</v>
      </c>
      <c r="G1064">
        <v>169</v>
      </c>
      <c r="H1064">
        <v>10</v>
      </c>
    </row>
    <row r="1065" spans="1:8">
      <c r="A1065" s="6"/>
      <c r="B1065">
        <v>6</v>
      </c>
      <c r="C1065">
        <v>15</v>
      </c>
      <c r="D1065">
        <v>30</v>
      </c>
      <c r="E1065">
        <v>26</v>
      </c>
      <c r="F1065">
        <v>20</v>
      </c>
      <c r="G1065">
        <v>199</v>
      </c>
      <c r="H1065">
        <v>10</v>
      </c>
    </row>
    <row r="1066" spans="1:8">
      <c r="A1066" s="6"/>
      <c r="B1066">
        <v>7</v>
      </c>
      <c r="C1066">
        <v>25</v>
      </c>
      <c r="D1066">
        <v>30</v>
      </c>
      <c r="E1066">
        <v>3</v>
      </c>
      <c r="F1066">
        <v>76</v>
      </c>
      <c r="G1066">
        <v>131</v>
      </c>
      <c r="H1066">
        <v>10</v>
      </c>
    </row>
    <row r="1067" spans="1:8">
      <c r="A1067" s="6"/>
      <c r="B1067">
        <v>8</v>
      </c>
      <c r="C1067">
        <v>20</v>
      </c>
      <c r="D1067">
        <v>50</v>
      </c>
      <c r="E1067">
        <v>5</v>
      </c>
      <c r="F1067">
        <v>21</v>
      </c>
      <c r="G1067">
        <v>170</v>
      </c>
      <c r="H1067">
        <v>10</v>
      </c>
    </row>
    <row r="1068" spans="1:8">
      <c r="A1068" s="6"/>
      <c r="B1068">
        <v>9</v>
      </c>
      <c r="C1068">
        <v>10</v>
      </c>
      <c r="D1068">
        <v>43</v>
      </c>
      <c r="E1068">
        <v>9</v>
      </c>
      <c r="F1068">
        <v>87</v>
      </c>
      <c r="G1068">
        <v>112</v>
      </c>
      <c r="H1068">
        <v>10</v>
      </c>
    </row>
    <row r="1069" spans="1:8">
      <c r="A1069" s="6"/>
      <c r="B1069">
        <v>10</v>
      </c>
      <c r="C1069">
        <v>55</v>
      </c>
      <c r="D1069">
        <v>60</v>
      </c>
      <c r="E1069">
        <v>16</v>
      </c>
      <c r="F1069">
        <v>88</v>
      </c>
      <c r="G1069">
        <v>115</v>
      </c>
      <c r="H1069">
        <v>10</v>
      </c>
    </row>
    <row r="1070" spans="1:8">
      <c r="A1070" s="6"/>
      <c r="B1070">
        <v>11</v>
      </c>
      <c r="C1070">
        <v>30</v>
      </c>
      <c r="D1070">
        <v>60</v>
      </c>
      <c r="E1070">
        <v>16</v>
      </c>
      <c r="F1070">
        <v>107</v>
      </c>
      <c r="G1070">
        <v>150</v>
      </c>
      <c r="H1070">
        <v>10</v>
      </c>
    </row>
    <row r="1071" spans="1:8">
      <c r="A1071" s="6"/>
      <c r="B1071">
        <v>12</v>
      </c>
      <c r="C1071">
        <v>20</v>
      </c>
      <c r="D1071">
        <v>65</v>
      </c>
      <c r="E1071">
        <v>12</v>
      </c>
      <c r="F1071">
        <v>57</v>
      </c>
      <c r="G1071">
        <v>86</v>
      </c>
      <c r="H1071">
        <v>10</v>
      </c>
    </row>
    <row r="1072" spans="1:8">
      <c r="A1072" s="6"/>
      <c r="B1072">
        <v>13</v>
      </c>
      <c r="C1072">
        <v>50</v>
      </c>
      <c r="D1072">
        <v>35</v>
      </c>
      <c r="E1072">
        <v>19</v>
      </c>
      <c r="F1072">
        <v>15</v>
      </c>
      <c r="G1072">
        <v>192</v>
      </c>
      <c r="H1072">
        <v>10</v>
      </c>
    </row>
    <row r="1073" spans="1:8">
      <c r="A1073" s="6"/>
      <c r="B1073">
        <v>14</v>
      </c>
      <c r="C1073">
        <v>30</v>
      </c>
      <c r="D1073">
        <v>25</v>
      </c>
      <c r="E1073">
        <v>23</v>
      </c>
      <c r="F1073">
        <v>147</v>
      </c>
      <c r="G1073">
        <v>180</v>
      </c>
      <c r="H1073">
        <v>10</v>
      </c>
    </row>
    <row r="1074" spans="1:8">
      <c r="A1074" s="6"/>
      <c r="B1074">
        <v>15</v>
      </c>
      <c r="C1074">
        <v>15</v>
      </c>
      <c r="D1074">
        <v>10</v>
      </c>
      <c r="E1074">
        <v>20</v>
      </c>
      <c r="F1074">
        <v>32</v>
      </c>
      <c r="G1074">
        <v>187</v>
      </c>
      <c r="H1074">
        <v>10</v>
      </c>
    </row>
    <row r="1075" spans="1:8">
      <c r="A1075" s="6"/>
      <c r="B1075">
        <v>16</v>
      </c>
      <c r="C1075">
        <v>30</v>
      </c>
      <c r="D1075">
        <v>5</v>
      </c>
      <c r="E1075">
        <v>8</v>
      </c>
      <c r="F1075">
        <v>50</v>
      </c>
      <c r="G1075">
        <v>81</v>
      </c>
      <c r="H1075">
        <v>10</v>
      </c>
    </row>
    <row r="1076" spans="1:8">
      <c r="A1076" s="6"/>
      <c r="B1076">
        <v>17</v>
      </c>
      <c r="C1076">
        <v>10</v>
      </c>
      <c r="D1076">
        <v>20</v>
      </c>
      <c r="E1076">
        <v>19</v>
      </c>
      <c r="F1076">
        <v>29</v>
      </c>
      <c r="G1076">
        <v>139</v>
      </c>
      <c r="H1076">
        <v>10</v>
      </c>
    </row>
    <row r="1077" spans="1:8">
      <c r="A1077" s="6"/>
      <c r="B1077">
        <v>18</v>
      </c>
      <c r="C1077">
        <v>5</v>
      </c>
      <c r="D1077">
        <v>30</v>
      </c>
      <c r="E1077">
        <v>2</v>
      </c>
      <c r="F1077">
        <v>124</v>
      </c>
      <c r="G1077">
        <v>189</v>
      </c>
      <c r="H1077">
        <v>10</v>
      </c>
    </row>
    <row r="1078" spans="1:8">
      <c r="A1078" s="6"/>
      <c r="B1078">
        <v>19</v>
      </c>
      <c r="C1078">
        <v>20</v>
      </c>
      <c r="D1078">
        <v>40</v>
      </c>
      <c r="E1078">
        <v>12</v>
      </c>
      <c r="F1078">
        <v>47</v>
      </c>
      <c r="G1078">
        <v>136</v>
      </c>
      <c r="H1078">
        <v>10</v>
      </c>
    </row>
    <row r="1079" spans="1:8">
      <c r="A1079" s="6"/>
      <c r="B1079">
        <v>20</v>
      </c>
      <c r="C1079">
        <v>15</v>
      </c>
      <c r="D1079">
        <v>60</v>
      </c>
      <c r="E1079">
        <v>17</v>
      </c>
      <c r="F1079">
        <v>32</v>
      </c>
      <c r="G1079">
        <v>146</v>
      </c>
      <c r="H1079">
        <v>10</v>
      </c>
    </row>
    <row r="1080" spans="1:8">
      <c r="A1080" s="6"/>
      <c r="B1080">
        <v>21</v>
      </c>
      <c r="C1080">
        <v>45</v>
      </c>
      <c r="D1080">
        <v>65</v>
      </c>
      <c r="E1080">
        <v>9</v>
      </c>
      <c r="F1080">
        <v>79</v>
      </c>
      <c r="G1080">
        <v>182</v>
      </c>
      <c r="H1080">
        <v>10</v>
      </c>
    </row>
    <row r="1081" spans="1:8">
      <c r="A1081" s="6"/>
      <c r="B1081">
        <v>22</v>
      </c>
      <c r="C1081">
        <v>45</v>
      </c>
      <c r="D1081">
        <v>20</v>
      </c>
      <c r="E1081">
        <v>11</v>
      </c>
      <c r="F1081">
        <v>18</v>
      </c>
      <c r="G1081">
        <v>195</v>
      </c>
      <c r="H1081">
        <v>10</v>
      </c>
    </row>
    <row r="1082" spans="1:8">
      <c r="A1082" s="6"/>
      <c r="B1082">
        <v>23</v>
      </c>
      <c r="C1082">
        <v>45</v>
      </c>
      <c r="D1082">
        <v>10</v>
      </c>
      <c r="E1082">
        <v>18</v>
      </c>
      <c r="F1082">
        <v>76</v>
      </c>
      <c r="G1082">
        <v>127</v>
      </c>
      <c r="H1082">
        <v>10</v>
      </c>
    </row>
    <row r="1083" spans="1:8">
      <c r="A1083" s="6"/>
      <c r="B1083">
        <v>24</v>
      </c>
      <c r="C1083">
        <v>55</v>
      </c>
      <c r="D1083">
        <v>5</v>
      </c>
      <c r="E1083">
        <v>29</v>
      </c>
      <c r="F1083">
        <v>58</v>
      </c>
      <c r="G1083">
        <v>87</v>
      </c>
      <c r="H1083">
        <v>10</v>
      </c>
    </row>
    <row r="1084" spans="1:8">
      <c r="A1084" s="6"/>
      <c r="B1084">
        <v>25</v>
      </c>
      <c r="C1084">
        <v>65</v>
      </c>
      <c r="D1084">
        <v>35</v>
      </c>
      <c r="E1084">
        <v>3</v>
      </c>
      <c r="F1084">
        <v>58</v>
      </c>
      <c r="G1084">
        <v>190</v>
      </c>
      <c r="H1084">
        <v>10</v>
      </c>
    </row>
    <row r="1085" spans="1:8">
      <c r="A1085" s="6"/>
      <c r="B1085">
        <v>26</v>
      </c>
      <c r="C1085">
        <v>65</v>
      </c>
      <c r="D1085">
        <v>20</v>
      </c>
      <c r="E1085">
        <v>6</v>
      </c>
      <c r="F1085">
        <v>153</v>
      </c>
      <c r="G1085">
        <v>186</v>
      </c>
      <c r="H1085">
        <v>10</v>
      </c>
    </row>
    <row r="1086" spans="1:8">
      <c r="A1086" s="6"/>
      <c r="B1086">
        <v>27</v>
      </c>
      <c r="C1086">
        <v>45</v>
      </c>
      <c r="D1086">
        <v>30</v>
      </c>
      <c r="E1086">
        <v>17</v>
      </c>
      <c r="F1086">
        <v>58</v>
      </c>
      <c r="G1086">
        <v>208</v>
      </c>
      <c r="H1086">
        <v>10</v>
      </c>
    </row>
    <row r="1087" spans="1:8">
      <c r="A1087" s="6"/>
      <c r="B1087">
        <v>28</v>
      </c>
      <c r="C1087">
        <v>35</v>
      </c>
      <c r="D1087">
        <v>40</v>
      </c>
      <c r="E1087">
        <v>16</v>
      </c>
      <c r="F1087">
        <v>8</v>
      </c>
      <c r="G1087">
        <v>75</v>
      </c>
      <c r="H1087">
        <v>10</v>
      </c>
    </row>
    <row r="1088" spans="1:8">
      <c r="A1088" s="6"/>
      <c r="B1088">
        <v>29</v>
      </c>
      <c r="C1088">
        <v>41</v>
      </c>
      <c r="D1088">
        <v>37</v>
      </c>
      <c r="E1088">
        <v>16</v>
      </c>
      <c r="F1088">
        <v>6</v>
      </c>
      <c r="G1088">
        <v>136</v>
      </c>
      <c r="H1088">
        <v>10</v>
      </c>
    </row>
    <row r="1089" spans="1:8">
      <c r="A1089" s="6"/>
      <c r="B1089">
        <v>30</v>
      </c>
      <c r="C1089">
        <v>64</v>
      </c>
      <c r="D1089">
        <v>42</v>
      </c>
      <c r="E1089">
        <v>9</v>
      </c>
      <c r="F1089">
        <v>29</v>
      </c>
      <c r="G1089">
        <v>150</v>
      </c>
      <c r="H1089">
        <v>10</v>
      </c>
    </row>
    <row r="1090" spans="1:8">
      <c r="A1090" s="6"/>
      <c r="B1090">
        <v>31</v>
      </c>
      <c r="C1090">
        <v>40</v>
      </c>
      <c r="D1090">
        <v>60</v>
      </c>
      <c r="E1090">
        <v>21</v>
      </c>
      <c r="F1090">
        <v>49</v>
      </c>
      <c r="G1090">
        <v>102</v>
      </c>
      <c r="H1090">
        <v>10</v>
      </c>
    </row>
    <row r="1091" spans="1:8">
      <c r="A1091" s="6"/>
      <c r="B1091">
        <v>32</v>
      </c>
      <c r="C1091">
        <v>31</v>
      </c>
      <c r="D1091">
        <v>52</v>
      </c>
      <c r="E1091">
        <v>27</v>
      </c>
      <c r="F1091">
        <v>17</v>
      </c>
      <c r="G1091">
        <v>198</v>
      </c>
      <c r="H1091">
        <v>10</v>
      </c>
    </row>
    <row r="1092" spans="1:8">
      <c r="A1092" s="6"/>
      <c r="B1092">
        <v>33</v>
      </c>
      <c r="C1092">
        <v>35</v>
      </c>
      <c r="D1092">
        <v>69</v>
      </c>
      <c r="E1092">
        <v>23</v>
      </c>
      <c r="F1092">
        <v>67</v>
      </c>
      <c r="G1092">
        <v>186</v>
      </c>
      <c r="H1092">
        <v>10</v>
      </c>
    </row>
    <row r="1093" spans="1:8">
      <c r="A1093" s="6"/>
      <c r="B1093">
        <v>34</v>
      </c>
      <c r="C1093">
        <v>53</v>
      </c>
      <c r="D1093">
        <v>52</v>
      </c>
      <c r="E1093">
        <v>11</v>
      </c>
      <c r="F1093">
        <v>24</v>
      </c>
      <c r="G1093">
        <v>92</v>
      </c>
      <c r="H1093">
        <v>10</v>
      </c>
    </row>
    <row r="1094" spans="1:8">
      <c r="A1094" s="6"/>
      <c r="B1094">
        <v>35</v>
      </c>
      <c r="C1094">
        <v>65</v>
      </c>
      <c r="D1094">
        <v>55</v>
      </c>
      <c r="E1094">
        <v>14</v>
      </c>
      <c r="F1094">
        <v>36</v>
      </c>
      <c r="G1094">
        <v>183</v>
      </c>
      <c r="H1094">
        <v>10</v>
      </c>
    </row>
    <row r="1095" spans="1:8">
      <c r="A1095" s="6"/>
      <c r="B1095">
        <v>36</v>
      </c>
      <c r="C1095">
        <v>63</v>
      </c>
      <c r="D1095">
        <v>65</v>
      </c>
      <c r="E1095">
        <v>8</v>
      </c>
      <c r="F1095">
        <v>116</v>
      </c>
      <c r="G1095">
        <v>178</v>
      </c>
      <c r="H1095">
        <v>10</v>
      </c>
    </row>
    <row r="1096" spans="1:8">
      <c r="A1096" s="6"/>
      <c r="B1096">
        <v>37</v>
      </c>
      <c r="C1096">
        <v>2</v>
      </c>
      <c r="D1096">
        <v>60</v>
      </c>
      <c r="E1096">
        <v>5</v>
      </c>
      <c r="F1096">
        <v>41</v>
      </c>
      <c r="G1096">
        <v>112</v>
      </c>
      <c r="H1096">
        <v>10</v>
      </c>
    </row>
    <row r="1097" spans="1:8">
      <c r="A1097" s="6"/>
      <c r="B1097">
        <v>38</v>
      </c>
      <c r="C1097">
        <v>20</v>
      </c>
      <c r="D1097">
        <v>20</v>
      </c>
      <c r="E1097">
        <v>8</v>
      </c>
      <c r="F1097">
        <v>42</v>
      </c>
      <c r="G1097">
        <v>198</v>
      </c>
      <c r="H1097">
        <v>10</v>
      </c>
    </row>
    <row r="1098" spans="1:8">
      <c r="A1098" s="6"/>
      <c r="B1098">
        <v>39</v>
      </c>
      <c r="C1098">
        <v>5</v>
      </c>
      <c r="D1098">
        <v>5</v>
      </c>
      <c r="E1098">
        <v>16</v>
      </c>
      <c r="F1098">
        <v>74</v>
      </c>
      <c r="G1098">
        <v>101</v>
      </c>
      <c r="H1098">
        <v>10</v>
      </c>
    </row>
    <row r="1099" spans="1:8">
      <c r="A1099" s="6"/>
      <c r="B1099">
        <v>40</v>
      </c>
      <c r="C1099">
        <v>60</v>
      </c>
      <c r="D1099">
        <v>12</v>
      </c>
      <c r="E1099">
        <v>31</v>
      </c>
      <c r="F1099">
        <v>33</v>
      </c>
      <c r="G1099">
        <v>110</v>
      </c>
      <c r="H1099">
        <v>10</v>
      </c>
    </row>
    <row r="1100" spans="1:8">
      <c r="A1100" s="6"/>
      <c r="B1100">
        <v>41</v>
      </c>
      <c r="C1100">
        <v>40</v>
      </c>
      <c r="D1100">
        <v>25</v>
      </c>
      <c r="E1100">
        <v>9</v>
      </c>
      <c r="F1100">
        <v>65</v>
      </c>
      <c r="G1100">
        <v>114</v>
      </c>
      <c r="H1100">
        <v>10</v>
      </c>
    </row>
    <row r="1101" spans="1:8">
      <c r="A1101" s="6"/>
      <c r="B1101">
        <v>42</v>
      </c>
      <c r="C1101">
        <v>42</v>
      </c>
      <c r="D1101">
        <v>7</v>
      </c>
      <c r="E1101">
        <v>5</v>
      </c>
      <c r="F1101">
        <v>72</v>
      </c>
      <c r="G1101">
        <v>131</v>
      </c>
      <c r="H1101">
        <v>10</v>
      </c>
    </row>
    <row r="1102" spans="1:8">
      <c r="A1102" s="6"/>
      <c r="B1102">
        <v>43</v>
      </c>
      <c r="C1102">
        <v>24</v>
      </c>
      <c r="D1102">
        <v>12</v>
      </c>
      <c r="E1102">
        <v>5</v>
      </c>
      <c r="F1102">
        <v>25</v>
      </c>
      <c r="G1102">
        <v>91</v>
      </c>
      <c r="H1102">
        <v>10</v>
      </c>
    </row>
    <row r="1103" spans="1:8">
      <c r="A1103" s="6"/>
      <c r="B1103">
        <v>44</v>
      </c>
      <c r="C1103">
        <v>23</v>
      </c>
      <c r="D1103">
        <v>3</v>
      </c>
      <c r="E1103">
        <v>7</v>
      </c>
      <c r="F1103">
        <v>82</v>
      </c>
      <c r="G1103">
        <v>185</v>
      </c>
      <c r="H1103">
        <v>10</v>
      </c>
    </row>
    <row r="1104" spans="1:8">
      <c r="A1104" s="6"/>
      <c r="B1104">
        <v>45</v>
      </c>
      <c r="C1104">
        <v>11</v>
      </c>
      <c r="D1104">
        <v>14</v>
      </c>
      <c r="E1104">
        <v>18</v>
      </c>
      <c r="F1104">
        <v>59</v>
      </c>
      <c r="G1104">
        <v>88</v>
      </c>
      <c r="H1104">
        <v>10</v>
      </c>
    </row>
    <row r="1105" spans="1:8">
      <c r="A1105" s="6"/>
      <c r="B1105">
        <v>46</v>
      </c>
      <c r="C1105">
        <v>6</v>
      </c>
      <c r="D1105">
        <v>38</v>
      </c>
      <c r="E1105">
        <v>16</v>
      </c>
      <c r="F1105">
        <v>29</v>
      </c>
      <c r="G1105">
        <v>99</v>
      </c>
      <c r="H1105">
        <v>10</v>
      </c>
    </row>
    <row r="1106" spans="1:8">
      <c r="A1106" s="6"/>
      <c r="B1106">
        <v>47</v>
      </c>
      <c r="C1106">
        <v>2</v>
      </c>
      <c r="D1106">
        <v>48</v>
      </c>
      <c r="E1106">
        <v>1</v>
      </c>
      <c r="F1106">
        <v>63</v>
      </c>
      <c r="G1106">
        <v>180</v>
      </c>
      <c r="H1106">
        <v>10</v>
      </c>
    </row>
    <row r="1107" spans="1:8">
      <c r="A1107" s="6"/>
      <c r="B1107">
        <v>48</v>
      </c>
      <c r="C1107">
        <v>8</v>
      </c>
      <c r="D1107">
        <v>56</v>
      </c>
      <c r="E1107">
        <v>27</v>
      </c>
      <c r="F1107">
        <v>34</v>
      </c>
      <c r="G1107">
        <v>176</v>
      </c>
      <c r="H1107">
        <v>10</v>
      </c>
    </row>
    <row r="1108" spans="1:8">
      <c r="A1108" s="6"/>
      <c r="B1108">
        <v>49</v>
      </c>
      <c r="C1108">
        <v>13</v>
      </c>
      <c r="D1108">
        <v>52</v>
      </c>
      <c r="E1108">
        <v>36</v>
      </c>
      <c r="F1108">
        <v>27</v>
      </c>
      <c r="G1108">
        <v>192</v>
      </c>
      <c r="H1108">
        <v>10</v>
      </c>
    </row>
    <row r="1109" spans="1:8">
      <c r="A1109" s="6"/>
      <c r="B1109">
        <v>50</v>
      </c>
      <c r="C1109">
        <v>6</v>
      </c>
      <c r="D1109">
        <v>68</v>
      </c>
      <c r="E1109">
        <v>30</v>
      </c>
      <c r="F1109">
        <v>93</v>
      </c>
      <c r="G1109">
        <v>132</v>
      </c>
      <c r="H1109">
        <v>10</v>
      </c>
    </row>
    <row r="1110" spans="1:8">
      <c r="A1110" s="6"/>
      <c r="B1110">
        <v>51</v>
      </c>
      <c r="C1110">
        <v>47</v>
      </c>
      <c r="D1110">
        <v>47</v>
      </c>
      <c r="E1110">
        <v>13</v>
      </c>
      <c r="F1110">
        <v>41</v>
      </c>
      <c r="G1110">
        <v>203</v>
      </c>
      <c r="H1110">
        <v>10</v>
      </c>
    </row>
    <row r="1111" spans="1:8">
      <c r="A1111" s="6"/>
      <c r="B1111">
        <v>52</v>
      </c>
      <c r="C1111">
        <v>49</v>
      </c>
      <c r="D1111">
        <v>58</v>
      </c>
      <c r="E1111">
        <v>10</v>
      </c>
      <c r="F1111">
        <v>36</v>
      </c>
      <c r="G1111">
        <v>149</v>
      </c>
      <c r="H1111">
        <v>10</v>
      </c>
    </row>
    <row r="1112" spans="1:8">
      <c r="A1112" s="6"/>
      <c r="B1112">
        <v>53</v>
      </c>
      <c r="C1112">
        <v>27</v>
      </c>
      <c r="D1112">
        <v>43</v>
      </c>
      <c r="E1112">
        <v>9</v>
      </c>
      <c r="F1112">
        <v>11</v>
      </c>
      <c r="G1112">
        <v>195</v>
      </c>
      <c r="H1112">
        <v>10</v>
      </c>
    </row>
    <row r="1113" spans="1:8">
      <c r="A1113" s="6"/>
      <c r="B1113">
        <v>54</v>
      </c>
      <c r="C1113">
        <v>37</v>
      </c>
      <c r="D1113">
        <v>31</v>
      </c>
      <c r="E1113">
        <v>14</v>
      </c>
      <c r="F1113">
        <v>87</v>
      </c>
      <c r="G1113">
        <v>112</v>
      </c>
      <c r="H1113">
        <v>10</v>
      </c>
    </row>
    <row r="1114" spans="1:8">
      <c r="A1114" s="6"/>
      <c r="B1114">
        <v>55</v>
      </c>
      <c r="C1114">
        <v>57</v>
      </c>
      <c r="D1114">
        <v>29</v>
      </c>
      <c r="E1114">
        <v>18</v>
      </c>
      <c r="F1114">
        <v>90</v>
      </c>
      <c r="G1114">
        <v>197</v>
      </c>
      <c r="H1114">
        <v>10</v>
      </c>
    </row>
    <row r="1115" spans="1:8">
      <c r="A1115" s="6"/>
      <c r="B1115">
        <v>56</v>
      </c>
      <c r="C1115">
        <v>63</v>
      </c>
      <c r="D1115">
        <v>23</v>
      </c>
      <c r="E1115">
        <v>2</v>
      </c>
      <c r="F1115">
        <v>126</v>
      </c>
      <c r="G1115">
        <v>155</v>
      </c>
      <c r="H1115">
        <v>10</v>
      </c>
    </row>
    <row r="1116" spans="1:8">
      <c r="A1116" s="6"/>
      <c r="B1116">
        <v>57</v>
      </c>
      <c r="C1116">
        <v>53</v>
      </c>
      <c r="D1116">
        <v>12</v>
      </c>
      <c r="E1116">
        <v>6</v>
      </c>
      <c r="F1116">
        <v>106</v>
      </c>
      <c r="G1116">
        <v>163</v>
      </c>
      <c r="H1116">
        <v>10</v>
      </c>
    </row>
    <row r="1117" spans="1:8">
      <c r="A1117" s="6"/>
      <c r="B1117">
        <v>58</v>
      </c>
      <c r="C1117">
        <v>32</v>
      </c>
      <c r="D1117">
        <v>12</v>
      </c>
      <c r="E1117">
        <v>7</v>
      </c>
      <c r="F1117">
        <v>48</v>
      </c>
      <c r="G1117">
        <v>163</v>
      </c>
      <c r="H1117">
        <v>10</v>
      </c>
    </row>
    <row r="1118" spans="1:8">
      <c r="A1118" s="6"/>
      <c r="B1118">
        <v>59</v>
      </c>
      <c r="C1118">
        <v>36</v>
      </c>
      <c r="D1118">
        <v>26</v>
      </c>
      <c r="E1118">
        <v>18</v>
      </c>
      <c r="F1118">
        <v>178</v>
      </c>
      <c r="G1118">
        <v>210</v>
      </c>
      <c r="H1118">
        <v>10</v>
      </c>
    </row>
    <row r="1119" spans="1:8">
      <c r="A1119" s="6"/>
      <c r="B1119">
        <v>60</v>
      </c>
      <c r="C1119">
        <v>21</v>
      </c>
      <c r="D1119">
        <v>24</v>
      </c>
      <c r="E1119">
        <v>28</v>
      </c>
      <c r="F1119">
        <v>17</v>
      </c>
      <c r="G1119">
        <v>202</v>
      </c>
      <c r="H1119">
        <v>10</v>
      </c>
    </row>
    <row r="1120" spans="1:8">
      <c r="A1120" s="6"/>
      <c r="B1120">
        <v>61</v>
      </c>
      <c r="C1120">
        <v>17</v>
      </c>
      <c r="D1120">
        <v>34</v>
      </c>
      <c r="E1120">
        <v>3</v>
      </c>
      <c r="F1120">
        <v>70</v>
      </c>
      <c r="G1120">
        <v>201</v>
      </c>
      <c r="H1120">
        <v>10</v>
      </c>
    </row>
    <row r="1121" spans="1:8">
      <c r="A1121" s="6"/>
      <c r="B1121">
        <v>62</v>
      </c>
      <c r="C1121">
        <v>12</v>
      </c>
      <c r="D1121">
        <v>24</v>
      </c>
      <c r="E1121">
        <v>13</v>
      </c>
      <c r="F1121">
        <v>29</v>
      </c>
      <c r="G1121">
        <v>132</v>
      </c>
      <c r="H1121">
        <v>10</v>
      </c>
    </row>
    <row r="1122" spans="1:8">
      <c r="A1122" s="6"/>
      <c r="B1122">
        <v>63</v>
      </c>
      <c r="C1122">
        <v>24</v>
      </c>
      <c r="D1122">
        <v>58</v>
      </c>
      <c r="E1122">
        <v>19</v>
      </c>
      <c r="F1122">
        <v>46</v>
      </c>
      <c r="G1122">
        <v>79</v>
      </c>
      <c r="H1122">
        <v>10</v>
      </c>
    </row>
    <row r="1123" spans="1:8">
      <c r="A1123" s="6"/>
      <c r="B1123">
        <v>64</v>
      </c>
      <c r="C1123">
        <v>27</v>
      </c>
      <c r="D1123">
        <v>69</v>
      </c>
      <c r="E1123">
        <v>10</v>
      </c>
      <c r="F1123">
        <v>34</v>
      </c>
      <c r="G1123">
        <v>172</v>
      </c>
      <c r="H1123">
        <v>10</v>
      </c>
    </row>
    <row r="1124" spans="1:8">
      <c r="A1124" s="6"/>
      <c r="B1124">
        <v>65</v>
      </c>
      <c r="C1124">
        <v>15</v>
      </c>
      <c r="D1124">
        <v>77</v>
      </c>
      <c r="E1124">
        <v>9</v>
      </c>
      <c r="F1124">
        <v>48</v>
      </c>
      <c r="G1124">
        <v>107</v>
      </c>
      <c r="H1124">
        <v>10</v>
      </c>
    </row>
    <row r="1125" spans="1:8">
      <c r="A1125" s="6"/>
      <c r="B1125">
        <v>66</v>
      </c>
      <c r="C1125">
        <v>62</v>
      </c>
      <c r="D1125">
        <v>77</v>
      </c>
      <c r="E1125">
        <v>20</v>
      </c>
      <c r="F1125">
        <v>49</v>
      </c>
      <c r="G1125">
        <v>113</v>
      </c>
      <c r="H1125">
        <v>10</v>
      </c>
    </row>
    <row r="1126" spans="1:8">
      <c r="A1126" s="6"/>
      <c r="B1126">
        <v>67</v>
      </c>
      <c r="C1126">
        <v>49</v>
      </c>
      <c r="D1126">
        <v>73</v>
      </c>
      <c r="E1126">
        <v>25</v>
      </c>
      <c r="F1126">
        <v>104</v>
      </c>
      <c r="G1126">
        <v>159</v>
      </c>
      <c r="H1126">
        <v>10</v>
      </c>
    </row>
    <row r="1127" spans="1:8">
      <c r="A1127" s="6"/>
      <c r="B1127">
        <v>68</v>
      </c>
      <c r="C1127">
        <v>67</v>
      </c>
      <c r="D1127">
        <v>5</v>
      </c>
      <c r="E1127">
        <v>25</v>
      </c>
      <c r="F1127">
        <v>73</v>
      </c>
      <c r="G1127">
        <v>102</v>
      </c>
      <c r="H1127">
        <v>10</v>
      </c>
    </row>
    <row r="1128" spans="1:8">
      <c r="A1128" s="6"/>
      <c r="B1128">
        <v>69</v>
      </c>
      <c r="C1128">
        <v>56</v>
      </c>
      <c r="D1128">
        <v>39</v>
      </c>
      <c r="E1128">
        <v>36</v>
      </c>
      <c r="F1128">
        <v>117</v>
      </c>
      <c r="G1128">
        <v>176</v>
      </c>
      <c r="H1128">
        <v>10</v>
      </c>
    </row>
    <row r="1129" spans="1:8">
      <c r="A1129" s="6"/>
      <c r="B1129">
        <v>70</v>
      </c>
      <c r="C1129">
        <v>37</v>
      </c>
      <c r="D1129">
        <v>47</v>
      </c>
      <c r="E1129">
        <v>6</v>
      </c>
      <c r="F1129">
        <v>39</v>
      </c>
      <c r="G1129">
        <v>70</v>
      </c>
      <c r="H1129">
        <v>10</v>
      </c>
    </row>
    <row r="1130" spans="1:8">
      <c r="A1130" s="6"/>
      <c r="B1130">
        <v>71</v>
      </c>
      <c r="C1130">
        <v>37</v>
      </c>
      <c r="D1130">
        <v>56</v>
      </c>
      <c r="E1130">
        <v>5</v>
      </c>
      <c r="F1130">
        <v>123</v>
      </c>
      <c r="G1130">
        <v>198</v>
      </c>
      <c r="H1130">
        <v>10</v>
      </c>
    </row>
    <row r="1131" spans="1:8">
      <c r="A1131" s="6"/>
      <c r="B1131">
        <v>72</v>
      </c>
      <c r="C1131">
        <v>57</v>
      </c>
      <c r="D1131">
        <v>68</v>
      </c>
      <c r="E1131">
        <v>15</v>
      </c>
      <c r="F1131">
        <v>39</v>
      </c>
      <c r="G1131">
        <v>148</v>
      </c>
      <c r="H1131">
        <v>10</v>
      </c>
    </row>
    <row r="1132" spans="1:8">
      <c r="A1132" s="6"/>
      <c r="B1132">
        <v>73</v>
      </c>
      <c r="C1132">
        <v>47</v>
      </c>
      <c r="D1132">
        <v>16</v>
      </c>
      <c r="E1132">
        <v>25</v>
      </c>
      <c r="F1132">
        <v>22</v>
      </c>
      <c r="G1132">
        <v>197</v>
      </c>
      <c r="H1132">
        <v>10</v>
      </c>
    </row>
    <row r="1133" spans="1:8">
      <c r="A1133" s="6"/>
      <c r="B1133">
        <v>74</v>
      </c>
      <c r="C1133">
        <v>44</v>
      </c>
      <c r="D1133">
        <v>17</v>
      </c>
      <c r="E1133">
        <v>9</v>
      </c>
      <c r="F1133">
        <v>30</v>
      </c>
      <c r="G1133">
        <v>135</v>
      </c>
      <c r="H1133">
        <v>10</v>
      </c>
    </row>
    <row r="1134" spans="1:8">
      <c r="A1134" s="6"/>
      <c r="B1134">
        <v>75</v>
      </c>
      <c r="C1134">
        <v>46</v>
      </c>
      <c r="D1134">
        <v>13</v>
      </c>
      <c r="E1134">
        <v>8</v>
      </c>
      <c r="F1134">
        <v>138</v>
      </c>
      <c r="G1134">
        <v>169</v>
      </c>
      <c r="H1134">
        <v>10</v>
      </c>
    </row>
    <row r="1135" spans="1:8">
      <c r="A1135" s="6"/>
      <c r="B1135">
        <v>76</v>
      </c>
      <c r="C1135">
        <v>49</v>
      </c>
      <c r="D1135">
        <v>11</v>
      </c>
      <c r="E1135">
        <v>18</v>
      </c>
      <c r="F1135">
        <v>27</v>
      </c>
      <c r="G1135">
        <v>192</v>
      </c>
      <c r="H1135">
        <v>10</v>
      </c>
    </row>
    <row r="1136" spans="1:8">
      <c r="A1136" s="6"/>
      <c r="B1136">
        <v>77</v>
      </c>
      <c r="C1136">
        <v>49</v>
      </c>
      <c r="D1136">
        <v>42</v>
      </c>
      <c r="E1136">
        <v>13</v>
      </c>
      <c r="F1136">
        <v>65</v>
      </c>
      <c r="G1136">
        <v>90</v>
      </c>
      <c r="H1136">
        <v>10</v>
      </c>
    </row>
    <row r="1137" spans="1:8">
      <c r="A1137" s="6"/>
      <c r="B1137">
        <v>78</v>
      </c>
      <c r="C1137">
        <v>53</v>
      </c>
      <c r="D1137">
        <v>43</v>
      </c>
      <c r="E1137">
        <v>14</v>
      </c>
      <c r="F1137">
        <v>168</v>
      </c>
      <c r="G1137">
        <v>199</v>
      </c>
      <c r="H1137">
        <v>10</v>
      </c>
    </row>
    <row r="1138" spans="1:8">
      <c r="A1138" s="6"/>
      <c r="B1138">
        <v>79</v>
      </c>
      <c r="C1138">
        <v>61</v>
      </c>
      <c r="D1138">
        <v>52</v>
      </c>
      <c r="E1138">
        <v>3</v>
      </c>
      <c r="F1138">
        <v>71</v>
      </c>
      <c r="G1138">
        <v>130</v>
      </c>
      <c r="H1138">
        <v>10</v>
      </c>
    </row>
    <row r="1139" spans="1:8">
      <c r="A1139" s="6"/>
      <c r="B1139">
        <v>80</v>
      </c>
      <c r="C1139">
        <v>57</v>
      </c>
      <c r="D1139">
        <v>48</v>
      </c>
      <c r="E1139">
        <v>23</v>
      </c>
      <c r="F1139">
        <v>84</v>
      </c>
      <c r="G1139">
        <v>109</v>
      </c>
      <c r="H1139">
        <v>10</v>
      </c>
    </row>
    <row r="1140" spans="1:8">
      <c r="A1140" s="6"/>
      <c r="B1140">
        <v>81</v>
      </c>
      <c r="C1140">
        <v>56</v>
      </c>
      <c r="D1140">
        <v>37</v>
      </c>
      <c r="E1140">
        <v>6</v>
      </c>
      <c r="F1140">
        <v>135</v>
      </c>
      <c r="G1140">
        <v>198</v>
      </c>
      <c r="H1140">
        <v>10</v>
      </c>
    </row>
    <row r="1141" spans="1:8">
      <c r="A1141" s="6"/>
      <c r="B1141">
        <v>82</v>
      </c>
      <c r="C1141">
        <v>55</v>
      </c>
      <c r="D1141">
        <v>54</v>
      </c>
      <c r="E1141">
        <v>26</v>
      </c>
      <c r="F1141">
        <v>57</v>
      </c>
      <c r="G1141">
        <v>140</v>
      </c>
      <c r="H1141">
        <v>10</v>
      </c>
    </row>
    <row r="1142" spans="1:8">
      <c r="A1142" s="6"/>
      <c r="B1142">
        <v>83</v>
      </c>
      <c r="C1142">
        <v>15</v>
      </c>
      <c r="D1142">
        <v>47</v>
      </c>
      <c r="E1142">
        <v>16</v>
      </c>
      <c r="F1142">
        <v>23</v>
      </c>
      <c r="G1142">
        <v>196</v>
      </c>
      <c r="H1142">
        <v>10</v>
      </c>
    </row>
    <row r="1143" spans="1:8">
      <c r="A1143" s="6"/>
      <c r="B1143">
        <v>84</v>
      </c>
      <c r="C1143">
        <v>14</v>
      </c>
      <c r="D1143">
        <v>37</v>
      </c>
      <c r="E1143">
        <v>11</v>
      </c>
      <c r="F1143">
        <v>21</v>
      </c>
      <c r="G1143">
        <v>198</v>
      </c>
      <c r="H1143">
        <v>10</v>
      </c>
    </row>
    <row r="1144" spans="1:8">
      <c r="A1144" s="6"/>
      <c r="B1144">
        <v>85</v>
      </c>
      <c r="C1144">
        <v>11</v>
      </c>
      <c r="D1144">
        <v>31</v>
      </c>
      <c r="E1144">
        <v>7</v>
      </c>
      <c r="F1144">
        <v>93</v>
      </c>
      <c r="G1144">
        <v>118</v>
      </c>
      <c r="H1144">
        <v>10</v>
      </c>
    </row>
    <row r="1145" spans="1:8">
      <c r="A1145" s="6"/>
      <c r="B1145">
        <v>86</v>
      </c>
      <c r="C1145">
        <v>16</v>
      </c>
      <c r="D1145">
        <v>22</v>
      </c>
      <c r="E1145">
        <v>41</v>
      </c>
      <c r="F1145">
        <v>23</v>
      </c>
      <c r="G1145">
        <v>177</v>
      </c>
      <c r="H1145">
        <v>10</v>
      </c>
    </row>
    <row r="1146" spans="1:8">
      <c r="A1146" s="6"/>
      <c r="B1146">
        <v>87</v>
      </c>
      <c r="C1146">
        <v>4</v>
      </c>
      <c r="D1146">
        <v>18</v>
      </c>
      <c r="E1146">
        <v>35</v>
      </c>
      <c r="F1146">
        <v>49</v>
      </c>
      <c r="G1146">
        <v>148</v>
      </c>
      <c r="H1146">
        <v>10</v>
      </c>
    </row>
    <row r="1147" spans="1:8">
      <c r="A1147" s="6"/>
      <c r="B1147">
        <v>88</v>
      </c>
      <c r="C1147">
        <v>28</v>
      </c>
      <c r="D1147">
        <v>18</v>
      </c>
      <c r="E1147">
        <v>26</v>
      </c>
      <c r="F1147">
        <v>88</v>
      </c>
      <c r="G1147">
        <v>107</v>
      </c>
      <c r="H1147">
        <v>10</v>
      </c>
    </row>
    <row r="1148" spans="1:8">
      <c r="A1148" s="6"/>
      <c r="B1148">
        <v>89</v>
      </c>
      <c r="C1148">
        <v>26</v>
      </c>
      <c r="D1148">
        <v>52</v>
      </c>
      <c r="E1148">
        <v>9</v>
      </c>
      <c r="F1148">
        <v>50</v>
      </c>
      <c r="G1148">
        <v>107</v>
      </c>
      <c r="H1148">
        <v>10</v>
      </c>
    </row>
    <row r="1149" spans="1:8">
      <c r="A1149" s="6"/>
      <c r="B1149">
        <v>90</v>
      </c>
      <c r="C1149">
        <v>26</v>
      </c>
      <c r="D1149">
        <v>35</v>
      </c>
      <c r="E1149">
        <v>15</v>
      </c>
      <c r="F1149">
        <v>68</v>
      </c>
      <c r="G1149">
        <v>211</v>
      </c>
      <c r="H1149">
        <v>10</v>
      </c>
    </row>
    <row r="1150" spans="1:8">
      <c r="A1150" s="6"/>
      <c r="B1150">
        <v>91</v>
      </c>
      <c r="C1150">
        <v>31</v>
      </c>
      <c r="D1150">
        <v>67</v>
      </c>
      <c r="E1150">
        <v>3</v>
      </c>
      <c r="F1150">
        <v>46</v>
      </c>
      <c r="G1150">
        <v>153</v>
      </c>
      <c r="H1150">
        <v>10</v>
      </c>
    </row>
    <row r="1151" spans="1:8">
      <c r="A1151" s="6"/>
      <c r="B1151">
        <v>92</v>
      </c>
      <c r="C1151">
        <v>15</v>
      </c>
      <c r="D1151">
        <v>19</v>
      </c>
      <c r="E1151">
        <v>1</v>
      </c>
      <c r="F1151">
        <v>25</v>
      </c>
      <c r="G1151">
        <v>194</v>
      </c>
      <c r="H1151">
        <v>10</v>
      </c>
    </row>
    <row r="1152" spans="1:8">
      <c r="A1152" s="6"/>
      <c r="B1152">
        <v>93</v>
      </c>
      <c r="C1152">
        <v>22</v>
      </c>
      <c r="D1152">
        <v>22</v>
      </c>
      <c r="E1152">
        <v>2</v>
      </c>
      <c r="F1152">
        <v>18</v>
      </c>
      <c r="G1152">
        <v>53</v>
      </c>
      <c r="H1152">
        <v>10</v>
      </c>
    </row>
    <row r="1153" spans="1:8">
      <c r="A1153" s="6"/>
      <c r="B1153">
        <v>94</v>
      </c>
      <c r="C1153">
        <v>18</v>
      </c>
      <c r="D1153">
        <v>24</v>
      </c>
      <c r="E1153">
        <v>22</v>
      </c>
      <c r="F1153">
        <v>129</v>
      </c>
      <c r="G1153">
        <v>199</v>
      </c>
      <c r="H1153">
        <v>10</v>
      </c>
    </row>
    <row r="1154" spans="1:8">
      <c r="A1154" s="6"/>
      <c r="B1154">
        <v>95</v>
      </c>
      <c r="C1154">
        <v>26</v>
      </c>
      <c r="D1154">
        <v>27</v>
      </c>
      <c r="E1154">
        <v>27</v>
      </c>
      <c r="F1154">
        <v>35</v>
      </c>
      <c r="G1154">
        <v>174</v>
      </c>
      <c r="H1154">
        <v>10</v>
      </c>
    </row>
    <row r="1155" spans="1:8">
      <c r="A1155" s="6"/>
      <c r="B1155">
        <v>96</v>
      </c>
      <c r="C1155">
        <v>25</v>
      </c>
      <c r="D1155">
        <v>24</v>
      </c>
      <c r="E1155">
        <v>20</v>
      </c>
      <c r="F1155">
        <v>14</v>
      </c>
      <c r="G1155">
        <v>205</v>
      </c>
      <c r="H1155">
        <v>10</v>
      </c>
    </row>
    <row r="1156" spans="1:8">
      <c r="A1156" s="6"/>
      <c r="B1156">
        <v>97</v>
      </c>
      <c r="C1156">
        <v>22</v>
      </c>
      <c r="D1156">
        <v>27</v>
      </c>
      <c r="E1156">
        <v>11</v>
      </c>
      <c r="F1156">
        <v>51</v>
      </c>
      <c r="G1156">
        <v>204</v>
      </c>
      <c r="H1156">
        <v>10</v>
      </c>
    </row>
    <row r="1157" spans="1:8">
      <c r="A1157" s="6"/>
      <c r="B1157">
        <v>98</v>
      </c>
      <c r="C1157">
        <v>25</v>
      </c>
      <c r="D1157">
        <v>21</v>
      </c>
      <c r="E1157">
        <v>12</v>
      </c>
      <c r="F1157">
        <v>92</v>
      </c>
      <c r="G1157">
        <v>183</v>
      </c>
      <c r="H1157">
        <v>10</v>
      </c>
    </row>
    <row r="1158" spans="1:8">
      <c r="A1158" s="6"/>
      <c r="B1158">
        <v>99</v>
      </c>
      <c r="C1158">
        <v>19</v>
      </c>
      <c r="D1158">
        <v>21</v>
      </c>
      <c r="E1158">
        <v>10</v>
      </c>
      <c r="F1158">
        <v>21</v>
      </c>
      <c r="G1158">
        <v>198</v>
      </c>
      <c r="H1158">
        <v>10</v>
      </c>
    </row>
    <row r="1159" spans="1:8">
      <c r="A1159" s="6"/>
      <c r="B1159">
        <v>100</v>
      </c>
      <c r="C1159">
        <v>20</v>
      </c>
      <c r="D1159">
        <v>26</v>
      </c>
      <c r="E1159">
        <v>9</v>
      </c>
      <c r="F1159">
        <v>74</v>
      </c>
      <c r="G1159">
        <v>101</v>
      </c>
      <c r="H1159">
        <v>10</v>
      </c>
    </row>
    <row r="1160" spans="1:8">
      <c r="B1160">
        <v>101</v>
      </c>
      <c r="C1160">
        <v>18</v>
      </c>
      <c r="D1160">
        <v>18</v>
      </c>
      <c r="E1160">
        <v>17</v>
      </c>
      <c r="F1160">
        <v>159</v>
      </c>
      <c r="G1160">
        <v>195</v>
      </c>
      <c r="H1160">
        <v>10</v>
      </c>
    </row>
    <row r="1162" spans="1:8" ht="22.8">
      <c r="A1162" s="8" t="s">
        <v>24</v>
      </c>
    </row>
    <row r="1163" spans="1:8">
      <c r="A1163" s="4"/>
    </row>
    <row r="1164" spans="1:8">
      <c r="A1164" s="6"/>
      <c r="B1164" t="s">
        <v>32</v>
      </c>
      <c r="C1164" t="s">
        <v>26</v>
      </c>
      <c r="D1164" t="s">
        <v>27</v>
      </c>
      <c r="E1164" t="s">
        <v>28</v>
      </c>
      <c r="F1164" t="s">
        <v>29</v>
      </c>
      <c r="G1164" t="s">
        <v>30</v>
      </c>
      <c r="H1164" t="s">
        <v>31</v>
      </c>
    </row>
    <row r="1165" spans="1:8">
      <c r="A1165" s="6"/>
      <c r="B1165">
        <v>1</v>
      </c>
      <c r="C1165">
        <v>35</v>
      </c>
      <c r="D1165">
        <v>35</v>
      </c>
      <c r="E1165">
        <v>0</v>
      </c>
      <c r="F1165">
        <v>0</v>
      </c>
      <c r="G1165">
        <v>230</v>
      </c>
      <c r="H1165">
        <v>0</v>
      </c>
    </row>
    <row r="1166" spans="1:8">
      <c r="A1166" s="6"/>
      <c r="B1166">
        <v>2</v>
      </c>
      <c r="C1166">
        <v>41</v>
      </c>
      <c r="D1166">
        <v>49</v>
      </c>
      <c r="E1166">
        <v>10</v>
      </c>
      <c r="F1166">
        <v>73</v>
      </c>
      <c r="G1166">
        <v>204</v>
      </c>
      <c r="H1166">
        <v>10</v>
      </c>
    </row>
    <row r="1167" spans="1:8">
      <c r="A1167" s="6"/>
      <c r="B1167">
        <v>3</v>
      </c>
      <c r="C1167">
        <v>35</v>
      </c>
      <c r="D1167">
        <v>17</v>
      </c>
      <c r="E1167">
        <v>7</v>
      </c>
      <c r="F1167">
        <v>18</v>
      </c>
      <c r="G1167">
        <v>147</v>
      </c>
      <c r="H1167">
        <v>10</v>
      </c>
    </row>
    <row r="1168" spans="1:8">
      <c r="A1168" s="6"/>
      <c r="B1168">
        <v>4</v>
      </c>
      <c r="C1168">
        <v>55</v>
      </c>
      <c r="D1168">
        <v>45</v>
      </c>
      <c r="E1168">
        <v>13</v>
      </c>
      <c r="F1168">
        <v>76</v>
      </c>
      <c r="G1168">
        <v>165</v>
      </c>
      <c r="H1168">
        <v>10</v>
      </c>
    </row>
    <row r="1169" spans="1:8">
      <c r="A1169" s="6"/>
      <c r="B1169">
        <v>5</v>
      </c>
      <c r="C1169">
        <v>55</v>
      </c>
      <c r="D1169">
        <v>20</v>
      </c>
      <c r="E1169">
        <v>19</v>
      </c>
      <c r="F1169">
        <v>73</v>
      </c>
      <c r="G1169">
        <v>195</v>
      </c>
      <c r="H1169">
        <v>10</v>
      </c>
    </row>
    <row r="1170" spans="1:8">
      <c r="A1170" s="6"/>
      <c r="B1170">
        <v>6</v>
      </c>
      <c r="C1170">
        <v>15</v>
      </c>
      <c r="D1170">
        <v>30</v>
      </c>
      <c r="E1170">
        <v>26</v>
      </c>
      <c r="F1170">
        <v>20</v>
      </c>
      <c r="G1170">
        <v>167</v>
      </c>
      <c r="H1170">
        <v>10</v>
      </c>
    </row>
    <row r="1171" spans="1:8">
      <c r="A1171" s="6"/>
      <c r="B1171">
        <v>7</v>
      </c>
      <c r="C1171">
        <v>25</v>
      </c>
      <c r="D1171">
        <v>30</v>
      </c>
      <c r="E1171">
        <v>3</v>
      </c>
      <c r="F1171">
        <v>49</v>
      </c>
      <c r="G1171">
        <v>158</v>
      </c>
      <c r="H1171">
        <v>10</v>
      </c>
    </row>
    <row r="1172" spans="1:8">
      <c r="A1172" s="6"/>
      <c r="B1172">
        <v>8</v>
      </c>
      <c r="C1172">
        <v>20</v>
      </c>
      <c r="D1172">
        <v>50</v>
      </c>
      <c r="E1172">
        <v>5</v>
      </c>
      <c r="F1172">
        <v>36</v>
      </c>
      <c r="G1172">
        <v>135</v>
      </c>
      <c r="H1172">
        <v>10</v>
      </c>
    </row>
    <row r="1173" spans="1:8">
      <c r="A1173" s="6"/>
      <c r="B1173">
        <v>9</v>
      </c>
      <c r="C1173">
        <v>10</v>
      </c>
      <c r="D1173">
        <v>43</v>
      </c>
      <c r="E1173">
        <v>9</v>
      </c>
      <c r="F1173">
        <v>50</v>
      </c>
      <c r="G1173">
        <v>149</v>
      </c>
      <c r="H1173">
        <v>10</v>
      </c>
    </row>
    <row r="1174" spans="1:8">
      <c r="A1174" s="6"/>
      <c r="B1174">
        <v>10</v>
      </c>
      <c r="C1174">
        <v>55</v>
      </c>
      <c r="D1174">
        <v>60</v>
      </c>
      <c r="E1174">
        <v>16</v>
      </c>
      <c r="F1174">
        <v>47</v>
      </c>
      <c r="G1174">
        <v>156</v>
      </c>
      <c r="H1174">
        <v>10</v>
      </c>
    </row>
    <row r="1175" spans="1:8">
      <c r="A1175" s="6"/>
      <c r="B1175">
        <v>11</v>
      </c>
      <c r="C1175">
        <v>30</v>
      </c>
      <c r="D1175">
        <v>60</v>
      </c>
      <c r="E1175">
        <v>16</v>
      </c>
      <c r="F1175">
        <v>85</v>
      </c>
      <c r="G1175">
        <v>172</v>
      </c>
      <c r="H1175">
        <v>10</v>
      </c>
    </row>
    <row r="1176" spans="1:8">
      <c r="A1176" s="6"/>
      <c r="B1176">
        <v>12</v>
      </c>
      <c r="C1176">
        <v>20</v>
      </c>
      <c r="D1176">
        <v>65</v>
      </c>
      <c r="E1176">
        <v>12</v>
      </c>
      <c r="F1176">
        <v>33</v>
      </c>
      <c r="G1176">
        <v>152</v>
      </c>
      <c r="H1176">
        <v>10</v>
      </c>
    </row>
    <row r="1177" spans="1:8">
      <c r="A1177" s="6"/>
      <c r="B1177">
        <v>13</v>
      </c>
      <c r="C1177">
        <v>50</v>
      </c>
      <c r="D1177">
        <v>35</v>
      </c>
      <c r="E1177">
        <v>19</v>
      </c>
      <c r="F1177">
        <v>15</v>
      </c>
      <c r="G1177">
        <v>133</v>
      </c>
      <c r="H1177">
        <v>10</v>
      </c>
    </row>
    <row r="1178" spans="1:8">
      <c r="A1178" s="6"/>
      <c r="B1178">
        <v>14</v>
      </c>
      <c r="C1178">
        <v>30</v>
      </c>
      <c r="D1178">
        <v>25</v>
      </c>
      <c r="E1178">
        <v>23</v>
      </c>
      <c r="F1178">
        <v>79</v>
      </c>
      <c r="G1178">
        <v>208</v>
      </c>
      <c r="H1178">
        <v>10</v>
      </c>
    </row>
    <row r="1179" spans="1:8">
      <c r="A1179" s="6"/>
      <c r="B1179">
        <v>15</v>
      </c>
      <c r="C1179">
        <v>15</v>
      </c>
      <c r="D1179">
        <v>10</v>
      </c>
      <c r="E1179">
        <v>20</v>
      </c>
      <c r="F1179">
        <v>32</v>
      </c>
      <c r="G1179">
        <v>187</v>
      </c>
      <c r="H1179">
        <v>10</v>
      </c>
    </row>
    <row r="1180" spans="1:8">
      <c r="A1180" s="6"/>
      <c r="B1180">
        <v>16</v>
      </c>
      <c r="C1180">
        <v>30</v>
      </c>
      <c r="D1180">
        <v>5</v>
      </c>
      <c r="E1180">
        <v>8</v>
      </c>
      <c r="F1180">
        <v>30</v>
      </c>
      <c r="G1180">
        <v>152</v>
      </c>
      <c r="H1180">
        <v>10</v>
      </c>
    </row>
    <row r="1181" spans="1:8">
      <c r="A1181" s="6"/>
      <c r="B1181">
        <v>17</v>
      </c>
      <c r="C1181">
        <v>10</v>
      </c>
      <c r="D1181">
        <v>20</v>
      </c>
      <c r="E1181">
        <v>19</v>
      </c>
      <c r="F1181">
        <v>29</v>
      </c>
      <c r="G1181">
        <v>139</v>
      </c>
      <c r="H1181">
        <v>10</v>
      </c>
    </row>
    <row r="1182" spans="1:8">
      <c r="A1182" s="6"/>
      <c r="B1182">
        <v>18</v>
      </c>
      <c r="C1182">
        <v>5</v>
      </c>
      <c r="D1182">
        <v>30</v>
      </c>
      <c r="E1182">
        <v>2</v>
      </c>
      <c r="F1182">
        <v>60</v>
      </c>
      <c r="G1182">
        <v>189</v>
      </c>
      <c r="H1182">
        <v>10</v>
      </c>
    </row>
    <row r="1183" spans="1:8">
      <c r="A1183" s="6"/>
      <c r="B1183">
        <v>19</v>
      </c>
      <c r="C1183">
        <v>20</v>
      </c>
      <c r="D1183">
        <v>40</v>
      </c>
      <c r="E1183">
        <v>12</v>
      </c>
      <c r="F1183">
        <v>47</v>
      </c>
      <c r="G1183">
        <v>136</v>
      </c>
      <c r="H1183">
        <v>10</v>
      </c>
    </row>
    <row r="1184" spans="1:8">
      <c r="A1184" s="6"/>
      <c r="B1184">
        <v>20</v>
      </c>
      <c r="C1184">
        <v>15</v>
      </c>
      <c r="D1184">
        <v>60</v>
      </c>
      <c r="E1184">
        <v>17</v>
      </c>
      <c r="F1184">
        <v>32</v>
      </c>
      <c r="G1184">
        <v>146</v>
      </c>
      <c r="H1184">
        <v>10</v>
      </c>
    </row>
    <row r="1185" spans="1:8">
      <c r="A1185" s="6"/>
      <c r="B1185">
        <v>21</v>
      </c>
      <c r="C1185">
        <v>45</v>
      </c>
      <c r="D1185">
        <v>65</v>
      </c>
      <c r="E1185">
        <v>9</v>
      </c>
      <c r="F1185">
        <v>79</v>
      </c>
      <c r="G1185">
        <v>182</v>
      </c>
      <c r="H1185">
        <v>10</v>
      </c>
    </row>
    <row r="1186" spans="1:8">
      <c r="A1186" s="6"/>
      <c r="B1186">
        <v>22</v>
      </c>
      <c r="C1186">
        <v>45</v>
      </c>
      <c r="D1186">
        <v>20</v>
      </c>
      <c r="E1186">
        <v>11</v>
      </c>
      <c r="F1186">
        <v>18</v>
      </c>
      <c r="G1186">
        <v>136</v>
      </c>
      <c r="H1186">
        <v>10</v>
      </c>
    </row>
    <row r="1187" spans="1:8">
      <c r="A1187" s="6"/>
      <c r="B1187">
        <v>23</v>
      </c>
      <c r="C1187">
        <v>45</v>
      </c>
      <c r="D1187">
        <v>10</v>
      </c>
      <c r="E1187">
        <v>18</v>
      </c>
      <c r="F1187">
        <v>50</v>
      </c>
      <c r="G1187">
        <v>153</v>
      </c>
      <c r="H1187">
        <v>10</v>
      </c>
    </row>
    <row r="1188" spans="1:8">
      <c r="A1188" s="6"/>
      <c r="B1188">
        <v>24</v>
      </c>
      <c r="C1188">
        <v>55</v>
      </c>
      <c r="D1188">
        <v>5</v>
      </c>
      <c r="E1188">
        <v>29</v>
      </c>
      <c r="F1188">
        <v>36</v>
      </c>
      <c r="G1188">
        <v>155</v>
      </c>
      <c r="H1188">
        <v>10</v>
      </c>
    </row>
    <row r="1189" spans="1:8">
      <c r="A1189" s="6"/>
      <c r="B1189">
        <v>25</v>
      </c>
      <c r="C1189">
        <v>65</v>
      </c>
      <c r="D1189">
        <v>35</v>
      </c>
      <c r="E1189">
        <v>3</v>
      </c>
      <c r="F1189">
        <v>58</v>
      </c>
      <c r="G1189">
        <v>190</v>
      </c>
      <c r="H1189">
        <v>10</v>
      </c>
    </row>
    <row r="1190" spans="1:8">
      <c r="A1190" s="6"/>
      <c r="B1190">
        <v>26</v>
      </c>
      <c r="C1190">
        <v>65</v>
      </c>
      <c r="D1190">
        <v>20</v>
      </c>
      <c r="E1190">
        <v>6</v>
      </c>
      <c r="F1190">
        <v>56</v>
      </c>
      <c r="G1190">
        <v>186</v>
      </c>
      <c r="H1190">
        <v>10</v>
      </c>
    </row>
    <row r="1191" spans="1:8">
      <c r="A1191" s="6"/>
      <c r="B1191">
        <v>27</v>
      </c>
      <c r="C1191">
        <v>45</v>
      </c>
      <c r="D1191">
        <v>30</v>
      </c>
      <c r="E1191">
        <v>17</v>
      </c>
      <c r="F1191">
        <v>87</v>
      </c>
      <c r="G1191">
        <v>186</v>
      </c>
      <c r="H1191">
        <v>10</v>
      </c>
    </row>
    <row r="1192" spans="1:8">
      <c r="A1192" s="6"/>
      <c r="B1192">
        <v>28</v>
      </c>
      <c r="C1192">
        <v>35</v>
      </c>
      <c r="D1192">
        <v>40</v>
      </c>
      <c r="E1192">
        <v>16</v>
      </c>
      <c r="F1192">
        <v>5</v>
      </c>
      <c r="G1192">
        <v>140</v>
      </c>
      <c r="H1192">
        <v>10</v>
      </c>
    </row>
    <row r="1193" spans="1:8">
      <c r="A1193" s="6"/>
      <c r="B1193">
        <v>29</v>
      </c>
      <c r="C1193">
        <v>41</v>
      </c>
      <c r="D1193">
        <v>37</v>
      </c>
      <c r="E1193">
        <v>16</v>
      </c>
      <c r="F1193">
        <v>6</v>
      </c>
      <c r="G1193">
        <v>136</v>
      </c>
      <c r="H1193">
        <v>10</v>
      </c>
    </row>
    <row r="1194" spans="1:8">
      <c r="A1194" s="6"/>
      <c r="B1194">
        <v>30</v>
      </c>
      <c r="C1194">
        <v>64</v>
      </c>
      <c r="D1194">
        <v>42</v>
      </c>
      <c r="E1194">
        <v>9</v>
      </c>
      <c r="F1194">
        <v>29</v>
      </c>
      <c r="G1194">
        <v>150</v>
      </c>
      <c r="H1194">
        <v>10</v>
      </c>
    </row>
    <row r="1195" spans="1:8">
      <c r="A1195" s="6"/>
      <c r="B1195">
        <v>31</v>
      </c>
      <c r="C1195">
        <v>40</v>
      </c>
      <c r="D1195">
        <v>60</v>
      </c>
      <c r="E1195">
        <v>21</v>
      </c>
      <c r="F1195">
        <v>25</v>
      </c>
      <c r="G1195">
        <v>132</v>
      </c>
      <c r="H1195">
        <v>10</v>
      </c>
    </row>
    <row r="1196" spans="1:8">
      <c r="A1196" s="6"/>
      <c r="B1196">
        <v>32</v>
      </c>
      <c r="C1196">
        <v>31</v>
      </c>
      <c r="D1196">
        <v>52</v>
      </c>
      <c r="E1196">
        <v>27</v>
      </c>
      <c r="F1196">
        <v>17</v>
      </c>
      <c r="G1196">
        <v>138</v>
      </c>
      <c r="H1196">
        <v>10</v>
      </c>
    </row>
    <row r="1197" spans="1:8">
      <c r="A1197" s="6"/>
      <c r="B1197">
        <v>33</v>
      </c>
      <c r="C1197">
        <v>35</v>
      </c>
      <c r="D1197">
        <v>69</v>
      </c>
      <c r="E1197">
        <v>23</v>
      </c>
      <c r="F1197">
        <v>67</v>
      </c>
      <c r="G1197">
        <v>186</v>
      </c>
      <c r="H1197">
        <v>10</v>
      </c>
    </row>
    <row r="1198" spans="1:8">
      <c r="A1198" s="6"/>
      <c r="B1198">
        <v>34</v>
      </c>
      <c r="C1198">
        <v>53</v>
      </c>
      <c r="D1198">
        <v>52</v>
      </c>
      <c r="E1198">
        <v>11</v>
      </c>
      <c r="F1198">
        <v>24</v>
      </c>
      <c r="G1198">
        <v>161</v>
      </c>
      <c r="H1198">
        <v>10</v>
      </c>
    </row>
    <row r="1199" spans="1:8">
      <c r="A1199" s="6"/>
      <c r="B1199">
        <v>35</v>
      </c>
      <c r="C1199">
        <v>65</v>
      </c>
      <c r="D1199">
        <v>55</v>
      </c>
      <c r="E1199">
        <v>14</v>
      </c>
      <c r="F1199">
        <v>70</v>
      </c>
      <c r="G1199">
        <v>173</v>
      </c>
      <c r="H1199">
        <v>10</v>
      </c>
    </row>
    <row r="1200" spans="1:8">
      <c r="A1200" s="6"/>
      <c r="B1200">
        <v>36</v>
      </c>
      <c r="C1200">
        <v>63</v>
      </c>
      <c r="D1200">
        <v>65</v>
      </c>
      <c r="E1200">
        <v>8</v>
      </c>
      <c r="F1200">
        <v>54</v>
      </c>
      <c r="G1200">
        <v>178</v>
      </c>
      <c r="H1200">
        <v>10</v>
      </c>
    </row>
    <row r="1201" spans="1:8">
      <c r="A1201" s="6"/>
      <c r="B1201">
        <v>37</v>
      </c>
      <c r="C1201">
        <v>2</v>
      </c>
      <c r="D1201">
        <v>60</v>
      </c>
      <c r="E1201">
        <v>5</v>
      </c>
      <c r="F1201">
        <v>41</v>
      </c>
      <c r="G1201">
        <v>178</v>
      </c>
      <c r="H1201">
        <v>10</v>
      </c>
    </row>
    <row r="1202" spans="1:8">
      <c r="A1202" s="6"/>
      <c r="B1202">
        <v>38</v>
      </c>
      <c r="C1202">
        <v>20</v>
      </c>
      <c r="D1202">
        <v>20</v>
      </c>
      <c r="E1202">
        <v>8</v>
      </c>
      <c r="F1202">
        <v>87</v>
      </c>
      <c r="G1202">
        <v>190</v>
      </c>
      <c r="H1202">
        <v>10</v>
      </c>
    </row>
    <row r="1203" spans="1:8">
      <c r="A1203" s="6"/>
      <c r="B1203">
        <v>39</v>
      </c>
      <c r="C1203">
        <v>5</v>
      </c>
      <c r="D1203">
        <v>5</v>
      </c>
      <c r="E1203">
        <v>16</v>
      </c>
      <c r="F1203">
        <v>42</v>
      </c>
      <c r="G1203">
        <v>153</v>
      </c>
      <c r="H1203">
        <v>10</v>
      </c>
    </row>
    <row r="1204" spans="1:8">
      <c r="A1204" s="6"/>
      <c r="B1204">
        <v>40</v>
      </c>
      <c r="C1204">
        <v>60</v>
      </c>
      <c r="D1204">
        <v>12</v>
      </c>
      <c r="E1204">
        <v>31</v>
      </c>
      <c r="F1204">
        <v>33</v>
      </c>
      <c r="G1204">
        <v>186</v>
      </c>
      <c r="H1204">
        <v>10</v>
      </c>
    </row>
    <row r="1205" spans="1:8">
      <c r="A1205" s="6"/>
      <c r="B1205">
        <v>41</v>
      </c>
      <c r="C1205">
        <v>40</v>
      </c>
      <c r="D1205">
        <v>25</v>
      </c>
      <c r="E1205">
        <v>9</v>
      </c>
      <c r="F1205">
        <v>40</v>
      </c>
      <c r="G1205">
        <v>139</v>
      </c>
      <c r="H1205">
        <v>10</v>
      </c>
    </row>
    <row r="1206" spans="1:8">
      <c r="A1206" s="6"/>
      <c r="B1206">
        <v>42</v>
      </c>
      <c r="C1206">
        <v>42</v>
      </c>
      <c r="D1206">
        <v>7</v>
      </c>
      <c r="E1206">
        <v>5</v>
      </c>
      <c r="F1206">
        <v>43</v>
      </c>
      <c r="G1206">
        <v>160</v>
      </c>
      <c r="H1206">
        <v>10</v>
      </c>
    </row>
    <row r="1207" spans="1:8">
      <c r="A1207" s="6"/>
      <c r="B1207">
        <v>43</v>
      </c>
      <c r="C1207">
        <v>24</v>
      </c>
      <c r="D1207">
        <v>12</v>
      </c>
      <c r="E1207">
        <v>5</v>
      </c>
      <c r="F1207">
        <v>25</v>
      </c>
      <c r="G1207">
        <v>158</v>
      </c>
      <c r="H1207">
        <v>10</v>
      </c>
    </row>
    <row r="1208" spans="1:8">
      <c r="A1208" s="6"/>
      <c r="B1208">
        <v>44</v>
      </c>
      <c r="C1208">
        <v>23</v>
      </c>
      <c r="D1208">
        <v>3</v>
      </c>
      <c r="E1208">
        <v>7</v>
      </c>
      <c r="F1208">
        <v>82</v>
      </c>
      <c r="G1208">
        <v>185</v>
      </c>
      <c r="H1208">
        <v>10</v>
      </c>
    </row>
    <row r="1209" spans="1:8">
      <c r="A1209" s="6"/>
      <c r="B1209">
        <v>45</v>
      </c>
      <c r="C1209">
        <v>11</v>
      </c>
      <c r="D1209">
        <v>14</v>
      </c>
      <c r="E1209">
        <v>18</v>
      </c>
      <c r="F1209">
        <v>31</v>
      </c>
      <c r="G1209">
        <v>144</v>
      </c>
      <c r="H1209">
        <v>10</v>
      </c>
    </row>
    <row r="1210" spans="1:8">
      <c r="A1210" s="6"/>
      <c r="B1210">
        <v>46</v>
      </c>
      <c r="C1210">
        <v>6</v>
      </c>
      <c r="D1210">
        <v>38</v>
      </c>
      <c r="E1210">
        <v>16</v>
      </c>
      <c r="F1210">
        <v>29</v>
      </c>
      <c r="G1210">
        <v>169</v>
      </c>
      <c r="H1210">
        <v>10</v>
      </c>
    </row>
    <row r="1211" spans="1:8">
      <c r="A1211" s="6"/>
      <c r="B1211">
        <v>47</v>
      </c>
      <c r="C1211">
        <v>2</v>
      </c>
      <c r="D1211">
        <v>48</v>
      </c>
      <c r="E1211">
        <v>1</v>
      </c>
      <c r="F1211">
        <v>63</v>
      </c>
      <c r="G1211">
        <v>180</v>
      </c>
      <c r="H1211">
        <v>10</v>
      </c>
    </row>
    <row r="1212" spans="1:8">
      <c r="A1212" s="6"/>
      <c r="B1212">
        <v>48</v>
      </c>
      <c r="C1212">
        <v>8</v>
      </c>
      <c r="D1212">
        <v>56</v>
      </c>
      <c r="E1212">
        <v>27</v>
      </c>
      <c r="F1212">
        <v>34</v>
      </c>
      <c r="G1212">
        <v>176</v>
      </c>
      <c r="H1212">
        <v>10</v>
      </c>
    </row>
    <row r="1213" spans="1:8">
      <c r="A1213" s="6"/>
      <c r="B1213">
        <v>49</v>
      </c>
      <c r="C1213">
        <v>13</v>
      </c>
      <c r="D1213">
        <v>52</v>
      </c>
      <c r="E1213">
        <v>36</v>
      </c>
      <c r="F1213">
        <v>65</v>
      </c>
      <c r="G1213">
        <v>192</v>
      </c>
      <c r="H1213">
        <v>10</v>
      </c>
    </row>
    <row r="1214" spans="1:8">
      <c r="A1214" s="6"/>
      <c r="B1214">
        <v>50</v>
      </c>
      <c r="C1214">
        <v>6</v>
      </c>
      <c r="D1214">
        <v>68</v>
      </c>
      <c r="E1214">
        <v>30</v>
      </c>
      <c r="F1214">
        <v>73</v>
      </c>
      <c r="G1214">
        <v>152</v>
      </c>
      <c r="H1214">
        <v>10</v>
      </c>
    </row>
    <row r="1215" spans="1:8">
      <c r="A1215" s="6"/>
      <c r="B1215">
        <v>51</v>
      </c>
      <c r="C1215">
        <v>47</v>
      </c>
      <c r="D1215">
        <v>47</v>
      </c>
      <c r="E1215">
        <v>13</v>
      </c>
      <c r="F1215">
        <v>75</v>
      </c>
      <c r="G1215">
        <v>182</v>
      </c>
      <c r="H1215">
        <v>10</v>
      </c>
    </row>
    <row r="1216" spans="1:8">
      <c r="A1216" s="6"/>
      <c r="B1216">
        <v>52</v>
      </c>
      <c r="C1216">
        <v>49</v>
      </c>
      <c r="D1216">
        <v>58</v>
      </c>
      <c r="E1216">
        <v>10</v>
      </c>
      <c r="F1216">
        <v>36</v>
      </c>
      <c r="G1216">
        <v>149</v>
      </c>
      <c r="H1216">
        <v>10</v>
      </c>
    </row>
    <row r="1217" spans="1:8">
      <c r="A1217" s="6"/>
      <c r="B1217">
        <v>53</v>
      </c>
      <c r="C1217">
        <v>27</v>
      </c>
      <c r="D1217">
        <v>43</v>
      </c>
      <c r="E1217">
        <v>9</v>
      </c>
      <c r="F1217">
        <v>11</v>
      </c>
      <c r="G1217">
        <v>133</v>
      </c>
      <c r="H1217">
        <v>10</v>
      </c>
    </row>
    <row r="1218" spans="1:8">
      <c r="A1218" s="6"/>
      <c r="B1218">
        <v>54</v>
      </c>
      <c r="C1218">
        <v>37</v>
      </c>
      <c r="D1218">
        <v>31</v>
      </c>
      <c r="E1218">
        <v>14</v>
      </c>
      <c r="F1218">
        <v>51</v>
      </c>
      <c r="G1218">
        <v>148</v>
      </c>
      <c r="H1218">
        <v>10</v>
      </c>
    </row>
    <row r="1219" spans="1:8">
      <c r="A1219" s="6"/>
      <c r="B1219">
        <v>55</v>
      </c>
      <c r="C1219">
        <v>57</v>
      </c>
      <c r="D1219">
        <v>29</v>
      </c>
      <c r="E1219">
        <v>18</v>
      </c>
      <c r="F1219">
        <v>90</v>
      </c>
      <c r="G1219">
        <v>197</v>
      </c>
      <c r="H1219">
        <v>10</v>
      </c>
    </row>
    <row r="1220" spans="1:8">
      <c r="A1220" s="6"/>
      <c r="B1220">
        <v>56</v>
      </c>
      <c r="C1220">
        <v>63</v>
      </c>
      <c r="D1220">
        <v>23</v>
      </c>
      <c r="E1220">
        <v>2</v>
      </c>
      <c r="F1220">
        <v>69</v>
      </c>
      <c r="G1220">
        <v>189</v>
      </c>
      <c r="H1220">
        <v>10</v>
      </c>
    </row>
    <row r="1221" spans="1:8">
      <c r="A1221" s="6"/>
      <c r="B1221">
        <v>57</v>
      </c>
      <c r="C1221">
        <v>53</v>
      </c>
      <c r="D1221">
        <v>12</v>
      </c>
      <c r="E1221">
        <v>6</v>
      </c>
      <c r="F1221">
        <v>76</v>
      </c>
      <c r="G1221">
        <v>190</v>
      </c>
      <c r="H1221">
        <v>10</v>
      </c>
    </row>
    <row r="1222" spans="1:8">
      <c r="A1222" s="6"/>
      <c r="B1222">
        <v>58</v>
      </c>
      <c r="C1222">
        <v>32</v>
      </c>
      <c r="D1222">
        <v>12</v>
      </c>
      <c r="E1222">
        <v>7</v>
      </c>
      <c r="F1222">
        <v>48</v>
      </c>
      <c r="G1222">
        <v>163</v>
      </c>
      <c r="H1222">
        <v>10</v>
      </c>
    </row>
    <row r="1223" spans="1:8">
      <c r="A1223" s="6"/>
      <c r="B1223">
        <v>59</v>
      </c>
      <c r="C1223">
        <v>36</v>
      </c>
      <c r="D1223">
        <v>26</v>
      </c>
      <c r="E1223">
        <v>18</v>
      </c>
      <c r="F1223">
        <v>84</v>
      </c>
      <c r="G1223">
        <v>210</v>
      </c>
      <c r="H1223">
        <v>10</v>
      </c>
    </row>
    <row r="1224" spans="1:8">
      <c r="A1224" s="6"/>
      <c r="B1224">
        <v>60</v>
      </c>
      <c r="C1224">
        <v>21</v>
      </c>
      <c r="D1224">
        <v>24</v>
      </c>
      <c r="E1224">
        <v>28</v>
      </c>
      <c r="F1224">
        <v>17</v>
      </c>
      <c r="G1224">
        <v>183</v>
      </c>
      <c r="H1224">
        <v>10</v>
      </c>
    </row>
    <row r="1225" spans="1:8">
      <c r="A1225" s="6"/>
      <c r="B1225">
        <v>61</v>
      </c>
      <c r="C1225">
        <v>17</v>
      </c>
      <c r="D1225">
        <v>34</v>
      </c>
      <c r="E1225">
        <v>3</v>
      </c>
      <c r="F1225">
        <v>70</v>
      </c>
      <c r="G1225">
        <v>201</v>
      </c>
      <c r="H1225">
        <v>10</v>
      </c>
    </row>
    <row r="1226" spans="1:8">
      <c r="A1226" s="6"/>
      <c r="B1226">
        <v>62</v>
      </c>
      <c r="C1226">
        <v>12</v>
      </c>
      <c r="D1226">
        <v>24</v>
      </c>
      <c r="E1226">
        <v>13</v>
      </c>
      <c r="F1226">
        <v>29</v>
      </c>
      <c r="G1226">
        <v>132</v>
      </c>
      <c r="H1226">
        <v>10</v>
      </c>
    </row>
    <row r="1227" spans="1:8">
      <c r="A1227" s="6"/>
      <c r="B1227">
        <v>63</v>
      </c>
      <c r="C1227">
        <v>24</v>
      </c>
      <c r="D1227">
        <v>58</v>
      </c>
      <c r="E1227">
        <v>19</v>
      </c>
      <c r="F1227">
        <v>25</v>
      </c>
      <c r="G1227">
        <v>154</v>
      </c>
      <c r="H1227">
        <v>10</v>
      </c>
    </row>
    <row r="1228" spans="1:8">
      <c r="A1228" s="6"/>
      <c r="B1228">
        <v>64</v>
      </c>
      <c r="C1228">
        <v>27</v>
      </c>
      <c r="D1228">
        <v>69</v>
      </c>
      <c r="E1228">
        <v>10</v>
      </c>
      <c r="F1228">
        <v>34</v>
      </c>
      <c r="G1228">
        <v>172</v>
      </c>
      <c r="H1228">
        <v>10</v>
      </c>
    </row>
    <row r="1229" spans="1:8">
      <c r="A1229" s="6"/>
      <c r="B1229">
        <v>65</v>
      </c>
      <c r="C1229">
        <v>15</v>
      </c>
      <c r="D1229">
        <v>77</v>
      </c>
      <c r="E1229">
        <v>9</v>
      </c>
      <c r="F1229">
        <v>46</v>
      </c>
      <c r="G1229">
        <v>165</v>
      </c>
      <c r="H1229">
        <v>10</v>
      </c>
    </row>
    <row r="1230" spans="1:8">
      <c r="A1230" s="6"/>
      <c r="B1230">
        <v>66</v>
      </c>
      <c r="C1230">
        <v>62</v>
      </c>
      <c r="D1230">
        <v>77</v>
      </c>
      <c r="E1230">
        <v>20</v>
      </c>
      <c r="F1230">
        <v>49</v>
      </c>
      <c r="G1230">
        <v>170</v>
      </c>
      <c r="H1230">
        <v>10</v>
      </c>
    </row>
    <row r="1231" spans="1:8">
      <c r="A1231" s="6"/>
      <c r="B1231">
        <v>67</v>
      </c>
      <c r="C1231">
        <v>49</v>
      </c>
      <c r="D1231">
        <v>73</v>
      </c>
      <c r="E1231">
        <v>25</v>
      </c>
      <c r="F1231">
        <v>68</v>
      </c>
      <c r="G1231">
        <v>179</v>
      </c>
      <c r="H1231">
        <v>10</v>
      </c>
    </row>
    <row r="1232" spans="1:8">
      <c r="A1232" s="6"/>
      <c r="B1232">
        <v>68</v>
      </c>
      <c r="C1232">
        <v>67</v>
      </c>
      <c r="D1232">
        <v>5</v>
      </c>
      <c r="E1232">
        <v>25</v>
      </c>
      <c r="F1232">
        <v>43</v>
      </c>
      <c r="G1232">
        <v>156</v>
      </c>
      <c r="H1232">
        <v>10</v>
      </c>
    </row>
    <row r="1233" spans="1:8">
      <c r="A1233" s="6"/>
      <c r="B1233">
        <v>69</v>
      </c>
      <c r="C1233">
        <v>56</v>
      </c>
      <c r="D1233">
        <v>39</v>
      </c>
      <c r="E1233">
        <v>36</v>
      </c>
      <c r="F1233">
        <v>80</v>
      </c>
      <c r="G1233">
        <v>198</v>
      </c>
      <c r="H1233">
        <v>10</v>
      </c>
    </row>
    <row r="1234" spans="1:8">
      <c r="A1234" s="6"/>
      <c r="B1234">
        <v>70</v>
      </c>
      <c r="C1234">
        <v>37</v>
      </c>
      <c r="D1234">
        <v>47</v>
      </c>
      <c r="E1234">
        <v>6</v>
      </c>
      <c r="F1234">
        <v>12</v>
      </c>
      <c r="G1234">
        <v>137</v>
      </c>
      <c r="H1234">
        <v>10</v>
      </c>
    </row>
    <row r="1235" spans="1:8">
      <c r="A1235" s="6"/>
      <c r="B1235">
        <v>71</v>
      </c>
      <c r="C1235">
        <v>37</v>
      </c>
      <c r="D1235">
        <v>56</v>
      </c>
      <c r="E1235">
        <v>5</v>
      </c>
      <c r="F1235">
        <v>48</v>
      </c>
      <c r="G1235">
        <v>198</v>
      </c>
      <c r="H1235">
        <v>10</v>
      </c>
    </row>
    <row r="1236" spans="1:8">
      <c r="A1236" s="6"/>
      <c r="B1236">
        <v>72</v>
      </c>
      <c r="C1236">
        <v>57</v>
      </c>
      <c r="D1236">
        <v>68</v>
      </c>
      <c r="E1236">
        <v>15</v>
      </c>
      <c r="F1236">
        <v>39</v>
      </c>
      <c r="G1236">
        <v>148</v>
      </c>
      <c r="H1236">
        <v>10</v>
      </c>
    </row>
    <row r="1237" spans="1:8">
      <c r="A1237" s="6"/>
      <c r="B1237">
        <v>73</v>
      </c>
      <c r="C1237">
        <v>47</v>
      </c>
      <c r="D1237">
        <v>16</v>
      </c>
      <c r="E1237">
        <v>25</v>
      </c>
      <c r="F1237">
        <v>22</v>
      </c>
      <c r="G1237">
        <v>170</v>
      </c>
      <c r="H1237">
        <v>10</v>
      </c>
    </row>
    <row r="1238" spans="1:8">
      <c r="A1238" s="6"/>
      <c r="B1238">
        <v>74</v>
      </c>
      <c r="C1238">
        <v>44</v>
      </c>
      <c r="D1238">
        <v>17</v>
      </c>
      <c r="E1238">
        <v>9</v>
      </c>
      <c r="F1238">
        <v>30</v>
      </c>
      <c r="G1238">
        <v>135</v>
      </c>
      <c r="H1238">
        <v>10</v>
      </c>
    </row>
    <row r="1239" spans="1:8">
      <c r="A1239" s="6"/>
      <c r="B1239">
        <v>75</v>
      </c>
      <c r="C1239">
        <v>46</v>
      </c>
      <c r="D1239">
        <v>13</v>
      </c>
      <c r="E1239">
        <v>8</v>
      </c>
      <c r="F1239">
        <v>74</v>
      </c>
      <c r="G1239">
        <v>195</v>
      </c>
      <c r="H1239">
        <v>10</v>
      </c>
    </row>
    <row r="1240" spans="1:8">
      <c r="A1240" s="6"/>
      <c r="B1240">
        <v>76</v>
      </c>
      <c r="C1240">
        <v>49</v>
      </c>
      <c r="D1240">
        <v>11</v>
      </c>
      <c r="E1240">
        <v>18</v>
      </c>
      <c r="F1240">
        <v>27</v>
      </c>
      <c r="G1240">
        <v>141</v>
      </c>
      <c r="H1240">
        <v>10</v>
      </c>
    </row>
    <row r="1241" spans="1:8">
      <c r="A1241" s="6"/>
      <c r="B1241">
        <v>77</v>
      </c>
      <c r="C1241">
        <v>49</v>
      </c>
      <c r="D1241">
        <v>42</v>
      </c>
      <c r="E1241">
        <v>13</v>
      </c>
      <c r="F1241">
        <v>27</v>
      </c>
      <c r="G1241">
        <v>128</v>
      </c>
      <c r="H1241">
        <v>10</v>
      </c>
    </row>
    <row r="1242" spans="1:8">
      <c r="A1242" s="6"/>
      <c r="B1242">
        <v>78</v>
      </c>
      <c r="C1242">
        <v>53</v>
      </c>
      <c r="D1242">
        <v>43</v>
      </c>
      <c r="E1242">
        <v>14</v>
      </c>
      <c r="F1242">
        <v>72</v>
      </c>
      <c r="G1242">
        <v>200</v>
      </c>
      <c r="H1242">
        <v>10</v>
      </c>
    </row>
    <row r="1243" spans="1:8">
      <c r="A1243" s="6"/>
      <c r="B1243">
        <v>79</v>
      </c>
      <c r="C1243">
        <v>61</v>
      </c>
      <c r="D1243">
        <v>52</v>
      </c>
      <c r="E1243">
        <v>3</v>
      </c>
      <c r="F1243">
        <v>42</v>
      </c>
      <c r="G1243">
        <v>159</v>
      </c>
      <c r="H1243">
        <v>10</v>
      </c>
    </row>
    <row r="1244" spans="1:8">
      <c r="A1244" s="6"/>
      <c r="B1244">
        <v>80</v>
      </c>
      <c r="C1244">
        <v>57</v>
      </c>
      <c r="D1244">
        <v>48</v>
      </c>
      <c r="E1244">
        <v>23</v>
      </c>
      <c r="F1244">
        <v>47</v>
      </c>
      <c r="G1244">
        <v>146</v>
      </c>
      <c r="H1244">
        <v>10</v>
      </c>
    </row>
    <row r="1245" spans="1:8">
      <c r="A1245" s="6"/>
      <c r="B1245">
        <v>81</v>
      </c>
      <c r="C1245">
        <v>56</v>
      </c>
      <c r="D1245">
        <v>37</v>
      </c>
      <c r="E1245">
        <v>6</v>
      </c>
      <c r="F1245">
        <v>73</v>
      </c>
      <c r="G1245">
        <v>198</v>
      </c>
      <c r="H1245">
        <v>10</v>
      </c>
    </row>
    <row r="1246" spans="1:8">
      <c r="A1246" s="6"/>
      <c r="B1246">
        <v>82</v>
      </c>
      <c r="C1246">
        <v>55</v>
      </c>
      <c r="D1246">
        <v>54</v>
      </c>
      <c r="E1246">
        <v>26</v>
      </c>
      <c r="F1246">
        <v>57</v>
      </c>
      <c r="G1246">
        <v>140</v>
      </c>
      <c r="H1246">
        <v>10</v>
      </c>
    </row>
    <row r="1247" spans="1:8">
      <c r="A1247" s="6"/>
      <c r="B1247">
        <v>83</v>
      </c>
      <c r="C1247">
        <v>15</v>
      </c>
      <c r="D1247">
        <v>47</v>
      </c>
      <c r="E1247">
        <v>16</v>
      </c>
      <c r="F1247">
        <v>23</v>
      </c>
      <c r="G1247">
        <v>146</v>
      </c>
      <c r="H1247">
        <v>10</v>
      </c>
    </row>
    <row r="1248" spans="1:8">
      <c r="A1248" s="6"/>
      <c r="B1248">
        <v>84</v>
      </c>
      <c r="C1248">
        <v>14</v>
      </c>
      <c r="D1248">
        <v>37</v>
      </c>
      <c r="E1248">
        <v>11</v>
      </c>
      <c r="F1248">
        <v>21</v>
      </c>
      <c r="G1248">
        <v>157</v>
      </c>
      <c r="H1248">
        <v>10</v>
      </c>
    </row>
    <row r="1249" spans="1:8">
      <c r="A1249" s="6"/>
      <c r="B1249">
        <v>85</v>
      </c>
      <c r="C1249">
        <v>11</v>
      </c>
      <c r="D1249">
        <v>31</v>
      </c>
      <c r="E1249">
        <v>7</v>
      </c>
      <c r="F1249">
        <v>57</v>
      </c>
      <c r="G1249">
        <v>154</v>
      </c>
      <c r="H1249">
        <v>10</v>
      </c>
    </row>
    <row r="1250" spans="1:8">
      <c r="A1250" s="6"/>
      <c r="B1250">
        <v>86</v>
      </c>
      <c r="C1250">
        <v>16</v>
      </c>
      <c r="D1250">
        <v>22</v>
      </c>
      <c r="E1250">
        <v>41</v>
      </c>
      <c r="F1250">
        <v>44</v>
      </c>
      <c r="G1250">
        <v>147</v>
      </c>
      <c r="H1250">
        <v>10</v>
      </c>
    </row>
    <row r="1251" spans="1:8">
      <c r="A1251" s="6"/>
      <c r="B1251">
        <v>87</v>
      </c>
      <c r="C1251">
        <v>4</v>
      </c>
      <c r="D1251">
        <v>18</v>
      </c>
      <c r="E1251">
        <v>35</v>
      </c>
      <c r="F1251">
        <v>49</v>
      </c>
      <c r="G1251">
        <v>148</v>
      </c>
      <c r="H1251">
        <v>10</v>
      </c>
    </row>
    <row r="1252" spans="1:8">
      <c r="A1252" s="6"/>
      <c r="B1252">
        <v>88</v>
      </c>
      <c r="C1252">
        <v>28</v>
      </c>
      <c r="D1252">
        <v>18</v>
      </c>
      <c r="E1252">
        <v>26</v>
      </c>
      <c r="F1252">
        <v>61</v>
      </c>
      <c r="G1252">
        <v>134</v>
      </c>
      <c r="H1252">
        <v>10</v>
      </c>
    </row>
    <row r="1253" spans="1:8">
      <c r="A1253" s="6"/>
      <c r="B1253">
        <v>89</v>
      </c>
      <c r="C1253">
        <v>26</v>
      </c>
      <c r="D1253">
        <v>52</v>
      </c>
      <c r="E1253">
        <v>9</v>
      </c>
      <c r="F1253">
        <v>21</v>
      </c>
      <c r="G1253">
        <v>136</v>
      </c>
      <c r="H1253">
        <v>10</v>
      </c>
    </row>
    <row r="1254" spans="1:8">
      <c r="A1254" s="6"/>
      <c r="B1254">
        <v>90</v>
      </c>
      <c r="C1254">
        <v>26</v>
      </c>
      <c r="D1254">
        <v>35</v>
      </c>
      <c r="E1254">
        <v>15</v>
      </c>
      <c r="F1254">
        <v>68</v>
      </c>
      <c r="G1254">
        <v>211</v>
      </c>
      <c r="H1254">
        <v>10</v>
      </c>
    </row>
    <row r="1255" spans="1:8">
      <c r="A1255" s="6"/>
      <c r="B1255">
        <v>91</v>
      </c>
      <c r="C1255">
        <v>31</v>
      </c>
      <c r="D1255">
        <v>67</v>
      </c>
      <c r="E1255">
        <v>3</v>
      </c>
      <c r="F1255">
        <v>46</v>
      </c>
      <c r="G1255">
        <v>153</v>
      </c>
      <c r="H1255">
        <v>10</v>
      </c>
    </row>
    <row r="1256" spans="1:8">
      <c r="A1256" s="6"/>
      <c r="B1256">
        <v>92</v>
      </c>
      <c r="C1256">
        <v>15</v>
      </c>
      <c r="D1256">
        <v>19</v>
      </c>
      <c r="E1256">
        <v>1</v>
      </c>
      <c r="F1256">
        <v>70</v>
      </c>
      <c r="G1256">
        <v>194</v>
      </c>
      <c r="H1256">
        <v>10</v>
      </c>
    </row>
    <row r="1257" spans="1:8">
      <c r="A1257" s="6"/>
      <c r="B1257">
        <v>93</v>
      </c>
      <c r="C1257">
        <v>22</v>
      </c>
      <c r="D1257">
        <v>22</v>
      </c>
      <c r="E1257">
        <v>2</v>
      </c>
      <c r="F1257">
        <v>18</v>
      </c>
      <c r="G1257">
        <v>159</v>
      </c>
      <c r="H1257">
        <v>10</v>
      </c>
    </row>
    <row r="1258" spans="1:8">
      <c r="A1258" s="6"/>
      <c r="B1258">
        <v>94</v>
      </c>
      <c r="C1258">
        <v>18</v>
      </c>
      <c r="D1258">
        <v>24</v>
      </c>
      <c r="E1258">
        <v>22</v>
      </c>
      <c r="F1258">
        <v>60</v>
      </c>
      <c r="G1258">
        <v>199</v>
      </c>
      <c r="H1258">
        <v>10</v>
      </c>
    </row>
    <row r="1259" spans="1:8">
      <c r="A1259" s="6"/>
      <c r="B1259">
        <v>95</v>
      </c>
      <c r="C1259">
        <v>26</v>
      </c>
      <c r="D1259">
        <v>27</v>
      </c>
      <c r="E1259">
        <v>27</v>
      </c>
      <c r="F1259">
        <v>58</v>
      </c>
      <c r="G1259">
        <v>151</v>
      </c>
      <c r="H1259">
        <v>10</v>
      </c>
    </row>
    <row r="1260" spans="1:8">
      <c r="A1260" s="6"/>
      <c r="B1260">
        <v>96</v>
      </c>
      <c r="C1260">
        <v>25</v>
      </c>
      <c r="D1260">
        <v>24</v>
      </c>
      <c r="E1260">
        <v>20</v>
      </c>
      <c r="F1260">
        <v>14</v>
      </c>
      <c r="G1260">
        <v>143</v>
      </c>
      <c r="H1260">
        <v>10</v>
      </c>
    </row>
    <row r="1261" spans="1:8">
      <c r="A1261" s="6"/>
      <c r="B1261">
        <v>97</v>
      </c>
      <c r="C1261">
        <v>22</v>
      </c>
      <c r="D1261">
        <v>27</v>
      </c>
      <c r="E1261">
        <v>11</v>
      </c>
      <c r="F1261">
        <v>89</v>
      </c>
      <c r="G1261">
        <v>190</v>
      </c>
      <c r="H1261">
        <v>10</v>
      </c>
    </row>
    <row r="1262" spans="1:8">
      <c r="A1262" s="6"/>
      <c r="B1262">
        <v>98</v>
      </c>
      <c r="C1262">
        <v>25</v>
      </c>
      <c r="D1262">
        <v>21</v>
      </c>
      <c r="E1262">
        <v>12</v>
      </c>
      <c r="F1262">
        <v>92</v>
      </c>
      <c r="G1262">
        <v>183</v>
      </c>
      <c r="H1262">
        <v>10</v>
      </c>
    </row>
    <row r="1263" spans="1:8">
      <c r="A1263" s="6"/>
      <c r="B1263">
        <v>99</v>
      </c>
      <c r="C1263">
        <v>19</v>
      </c>
      <c r="D1263">
        <v>21</v>
      </c>
      <c r="E1263">
        <v>10</v>
      </c>
      <c r="F1263">
        <v>21</v>
      </c>
      <c r="G1263">
        <v>142</v>
      </c>
      <c r="H1263">
        <v>10</v>
      </c>
    </row>
    <row r="1264" spans="1:8">
      <c r="A1264" s="6"/>
      <c r="B1264">
        <v>100</v>
      </c>
      <c r="C1264">
        <v>20</v>
      </c>
      <c r="D1264">
        <v>26</v>
      </c>
      <c r="E1264">
        <v>9</v>
      </c>
      <c r="F1264">
        <v>33</v>
      </c>
      <c r="G1264">
        <v>142</v>
      </c>
      <c r="H1264">
        <v>10</v>
      </c>
    </row>
    <row r="1265" spans="2:8">
      <c r="B1265">
        <v>101</v>
      </c>
      <c r="C1265">
        <v>18</v>
      </c>
      <c r="D1265">
        <v>18</v>
      </c>
      <c r="E1265">
        <v>17</v>
      </c>
      <c r="F1265">
        <v>51</v>
      </c>
      <c r="G1265">
        <v>195</v>
      </c>
      <c r="H1265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961"/>
  <sheetViews>
    <sheetView workbookViewId="0">
      <selection activeCell="L131" sqref="L131"/>
    </sheetView>
  </sheetViews>
  <sheetFormatPr defaultColWidth="11.5546875" defaultRowHeight="14.4"/>
  <sheetData>
    <row r="1" spans="1:8" ht="17.399999999999999">
      <c r="A1" s="1" t="s">
        <v>33</v>
      </c>
    </row>
    <row r="2" spans="1:8">
      <c r="A2" s="3" t="s">
        <v>36</v>
      </c>
      <c r="C2" s="9" t="s">
        <v>34</v>
      </c>
    </row>
    <row r="4" spans="1:8" ht="17.399999999999999">
      <c r="A4" s="2" t="s">
        <v>35</v>
      </c>
    </row>
    <row r="6" spans="1:8">
      <c r="A6" s="4"/>
      <c r="B6" t="s">
        <v>32</v>
      </c>
      <c r="C6" t="s">
        <v>26</v>
      </c>
      <c r="D6" t="s">
        <v>27</v>
      </c>
      <c r="E6" t="s">
        <v>28</v>
      </c>
      <c r="F6" t="s">
        <v>29</v>
      </c>
      <c r="G6" t="s">
        <v>30</v>
      </c>
      <c r="H6" t="s">
        <v>31</v>
      </c>
    </row>
    <row r="7" spans="1:8">
      <c r="A7" s="6"/>
      <c r="B7">
        <v>1</v>
      </c>
      <c r="C7">
        <v>40</v>
      </c>
      <c r="D7">
        <v>50</v>
      </c>
      <c r="E7">
        <v>0</v>
      </c>
      <c r="F7">
        <v>0</v>
      </c>
      <c r="G7">
        <v>1236</v>
      </c>
      <c r="H7">
        <v>0</v>
      </c>
    </row>
    <row r="8" spans="1:8">
      <c r="A8" s="6"/>
      <c r="B8">
        <v>2</v>
      </c>
      <c r="C8">
        <v>45</v>
      </c>
      <c r="D8">
        <v>68</v>
      </c>
      <c r="E8">
        <v>10</v>
      </c>
      <c r="F8">
        <v>912</v>
      </c>
      <c r="G8">
        <v>967</v>
      </c>
      <c r="H8">
        <v>90</v>
      </c>
    </row>
    <row r="9" spans="1:8">
      <c r="A9" s="6"/>
      <c r="B9">
        <v>3</v>
      </c>
      <c r="C9">
        <v>45</v>
      </c>
      <c r="D9">
        <v>70</v>
      </c>
      <c r="E9">
        <v>30</v>
      </c>
      <c r="F9">
        <v>825</v>
      </c>
      <c r="G9">
        <v>870</v>
      </c>
      <c r="H9">
        <v>90</v>
      </c>
    </row>
    <row r="10" spans="1:8">
      <c r="A10" s="6"/>
      <c r="B10">
        <v>4</v>
      </c>
      <c r="C10">
        <v>42</v>
      </c>
      <c r="D10">
        <v>66</v>
      </c>
      <c r="E10">
        <v>10</v>
      </c>
      <c r="F10">
        <v>65</v>
      </c>
      <c r="G10">
        <v>146</v>
      </c>
      <c r="H10">
        <v>90</v>
      </c>
    </row>
    <row r="11" spans="1:8">
      <c r="A11" s="6"/>
      <c r="B11">
        <v>5</v>
      </c>
      <c r="C11">
        <v>42</v>
      </c>
      <c r="D11">
        <v>68</v>
      </c>
      <c r="E11">
        <v>10</v>
      </c>
      <c r="F11">
        <v>727</v>
      </c>
      <c r="G11">
        <v>782</v>
      </c>
      <c r="H11">
        <v>90</v>
      </c>
    </row>
    <row r="12" spans="1:8">
      <c r="A12" s="6"/>
      <c r="B12">
        <v>6</v>
      </c>
      <c r="C12">
        <v>42</v>
      </c>
      <c r="D12">
        <v>65</v>
      </c>
      <c r="E12">
        <v>10</v>
      </c>
      <c r="F12">
        <v>15</v>
      </c>
      <c r="G12">
        <v>67</v>
      </c>
      <c r="H12">
        <v>90</v>
      </c>
    </row>
    <row r="13" spans="1:8">
      <c r="A13" s="6"/>
      <c r="B13">
        <v>7</v>
      </c>
      <c r="C13">
        <v>40</v>
      </c>
      <c r="D13">
        <v>69</v>
      </c>
      <c r="E13">
        <v>20</v>
      </c>
      <c r="F13">
        <v>621</v>
      </c>
      <c r="G13">
        <v>702</v>
      </c>
      <c r="H13">
        <v>90</v>
      </c>
    </row>
    <row r="14" spans="1:8">
      <c r="A14" s="6"/>
      <c r="B14">
        <v>8</v>
      </c>
      <c r="C14">
        <v>40</v>
      </c>
      <c r="D14">
        <v>66</v>
      </c>
      <c r="E14">
        <v>20</v>
      </c>
      <c r="F14">
        <v>170</v>
      </c>
      <c r="G14">
        <v>225</v>
      </c>
      <c r="H14">
        <v>90</v>
      </c>
    </row>
    <row r="15" spans="1:8">
      <c r="A15" s="6"/>
      <c r="B15">
        <v>9</v>
      </c>
      <c r="C15">
        <v>38</v>
      </c>
      <c r="D15">
        <v>68</v>
      </c>
      <c r="E15">
        <v>20</v>
      </c>
      <c r="F15">
        <v>255</v>
      </c>
      <c r="G15">
        <v>324</v>
      </c>
      <c r="H15">
        <v>90</v>
      </c>
    </row>
    <row r="16" spans="1:8">
      <c r="A16" s="6"/>
      <c r="B16">
        <v>10</v>
      </c>
      <c r="C16">
        <v>38</v>
      </c>
      <c r="D16">
        <v>70</v>
      </c>
      <c r="E16">
        <v>10</v>
      </c>
      <c r="F16">
        <v>534</v>
      </c>
      <c r="G16">
        <v>605</v>
      </c>
      <c r="H16">
        <v>90</v>
      </c>
    </row>
    <row r="17" spans="1:8">
      <c r="A17" s="6"/>
      <c r="B17">
        <v>11</v>
      </c>
      <c r="C17">
        <v>35</v>
      </c>
      <c r="D17">
        <v>66</v>
      </c>
      <c r="E17">
        <v>10</v>
      </c>
      <c r="F17">
        <v>357</v>
      </c>
      <c r="G17">
        <v>410</v>
      </c>
      <c r="H17">
        <v>90</v>
      </c>
    </row>
    <row r="18" spans="1:8">
      <c r="A18" s="6"/>
      <c r="B18">
        <v>12</v>
      </c>
      <c r="C18">
        <v>35</v>
      </c>
      <c r="D18">
        <v>69</v>
      </c>
      <c r="E18">
        <v>10</v>
      </c>
      <c r="F18">
        <v>448</v>
      </c>
      <c r="G18">
        <v>505</v>
      </c>
      <c r="H18">
        <v>90</v>
      </c>
    </row>
    <row r="19" spans="1:8">
      <c r="A19" s="6"/>
      <c r="B19">
        <v>13</v>
      </c>
      <c r="C19">
        <v>25</v>
      </c>
      <c r="D19">
        <v>85</v>
      </c>
      <c r="E19">
        <v>20</v>
      </c>
      <c r="F19">
        <v>652</v>
      </c>
      <c r="G19">
        <v>721</v>
      </c>
      <c r="H19">
        <v>90</v>
      </c>
    </row>
    <row r="20" spans="1:8">
      <c r="A20" s="6"/>
      <c r="B20">
        <v>14</v>
      </c>
      <c r="C20">
        <v>22</v>
      </c>
      <c r="D20">
        <v>75</v>
      </c>
      <c r="E20">
        <v>30</v>
      </c>
      <c r="F20">
        <v>30</v>
      </c>
      <c r="G20">
        <v>92</v>
      </c>
      <c r="H20">
        <v>90</v>
      </c>
    </row>
    <row r="21" spans="1:8">
      <c r="A21" s="6"/>
      <c r="B21">
        <v>15</v>
      </c>
      <c r="C21">
        <v>22</v>
      </c>
      <c r="D21">
        <v>85</v>
      </c>
      <c r="E21">
        <v>10</v>
      </c>
      <c r="F21">
        <v>567</v>
      </c>
      <c r="G21">
        <v>620</v>
      </c>
      <c r="H21">
        <v>90</v>
      </c>
    </row>
    <row r="22" spans="1:8">
      <c r="A22" s="6"/>
      <c r="B22">
        <v>16</v>
      </c>
      <c r="C22">
        <v>20</v>
      </c>
      <c r="D22">
        <v>80</v>
      </c>
      <c r="E22">
        <v>40</v>
      </c>
      <c r="F22">
        <v>384</v>
      </c>
      <c r="G22">
        <v>429</v>
      </c>
      <c r="H22">
        <v>90</v>
      </c>
    </row>
    <row r="23" spans="1:8">
      <c r="A23" s="6"/>
      <c r="B23">
        <v>17</v>
      </c>
      <c r="C23">
        <v>20</v>
      </c>
      <c r="D23">
        <v>85</v>
      </c>
      <c r="E23">
        <v>40</v>
      </c>
      <c r="F23">
        <v>475</v>
      </c>
      <c r="G23">
        <v>528</v>
      </c>
      <c r="H23">
        <v>90</v>
      </c>
    </row>
    <row r="24" spans="1:8">
      <c r="A24" s="6"/>
      <c r="B24">
        <v>18</v>
      </c>
      <c r="C24">
        <v>18</v>
      </c>
      <c r="D24">
        <v>75</v>
      </c>
      <c r="E24">
        <v>20</v>
      </c>
      <c r="F24">
        <v>99</v>
      </c>
      <c r="G24">
        <v>148</v>
      </c>
      <c r="H24">
        <v>90</v>
      </c>
    </row>
    <row r="25" spans="1:8">
      <c r="A25" s="6"/>
      <c r="B25">
        <v>19</v>
      </c>
      <c r="C25">
        <v>15</v>
      </c>
      <c r="D25">
        <v>75</v>
      </c>
      <c r="E25">
        <v>20</v>
      </c>
      <c r="F25">
        <v>179</v>
      </c>
      <c r="G25">
        <v>254</v>
      </c>
      <c r="H25">
        <v>90</v>
      </c>
    </row>
    <row r="26" spans="1:8">
      <c r="A26" s="6"/>
      <c r="B26">
        <v>20</v>
      </c>
      <c r="C26">
        <v>15</v>
      </c>
      <c r="D26">
        <v>80</v>
      </c>
      <c r="E26">
        <v>10</v>
      </c>
      <c r="F26">
        <v>278</v>
      </c>
      <c r="G26">
        <v>345</v>
      </c>
      <c r="H26">
        <v>90</v>
      </c>
    </row>
    <row r="27" spans="1:8">
      <c r="A27" s="6"/>
      <c r="B27">
        <v>21</v>
      </c>
      <c r="C27">
        <v>30</v>
      </c>
      <c r="D27">
        <v>50</v>
      </c>
      <c r="E27">
        <v>10</v>
      </c>
      <c r="F27">
        <v>10</v>
      </c>
      <c r="G27">
        <v>73</v>
      </c>
      <c r="H27">
        <v>90</v>
      </c>
    </row>
    <row r="28" spans="1:8">
      <c r="A28" s="6"/>
      <c r="B28">
        <v>22</v>
      </c>
      <c r="C28">
        <v>30</v>
      </c>
      <c r="D28">
        <v>52</v>
      </c>
      <c r="E28">
        <v>20</v>
      </c>
      <c r="F28">
        <v>914</v>
      </c>
      <c r="G28">
        <v>965</v>
      </c>
      <c r="H28">
        <v>90</v>
      </c>
    </row>
    <row r="29" spans="1:8">
      <c r="A29" s="6"/>
      <c r="B29">
        <v>23</v>
      </c>
      <c r="C29">
        <v>28</v>
      </c>
      <c r="D29">
        <v>52</v>
      </c>
      <c r="E29">
        <v>20</v>
      </c>
      <c r="F29">
        <v>812</v>
      </c>
      <c r="G29">
        <v>883</v>
      </c>
      <c r="H29">
        <v>90</v>
      </c>
    </row>
    <row r="30" spans="1:8">
      <c r="A30" s="6"/>
      <c r="B30">
        <v>24</v>
      </c>
      <c r="C30">
        <v>28</v>
      </c>
      <c r="D30">
        <v>55</v>
      </c>
      <c r="E30">
        <v>10</v>
      </c>
      <c r="F30">
        <v>732</v>
      </c>
      <c r="G30">
        <v>777</v>
      </c>
      <c r="H30">
        <v>90</v>
      </c>
    </row>
    <row r="31" spans="1:8">
      <c r="A31" s="6"/>
      <c r="B31">
        <v>25</v>
      </c>
      <c r="C31">
        <v>25</v>
      </c>
      <c r="D31">
        <v>50</v>
      </c>
      <c r="E31">
        <v>10</v>
      </c>
      <c r="F31">
        <v>65</v>
      </c>
      <c r="G31">
        <v>144</v>
      </c>
      <c r="H31">
        <v>90</v>
      </c>
    </row>
    <row r="32" spans="1:8">
      <c r="A32" s="6"/>
      <c r="B32">
        <v>26</v>
      </c>
      <c r="C32">
        <v>25</v>
      </c>
      <c r="D32">
        <v>52</v>
      </c>
      <c r="E32">
        <v>40</v>
      </c>
      <c r="F32">
        <v>169</v>
      </c>
      <c r="G32">
        <v>224</v>
      </c>
      <c r="H32">
        <v>90</v>
      </c>
    </row>
    <row r="33" spans="1:8">
      <c r="A33" s="6"/>
      <c r="B33">
        <v>27</v>
      </c>
      <c r="C33">
        <v>25</v>
      </c>
      <c r="D33">
        <v>55</v>
      </c>
      <c r="E33">
        <v>10</v>
      </c>
      <c r="F33">
        <v>622</v>
      </c>
      <c r="G33">
        <v>701</v>
      </c>
      <c r="H33">
        <v>90</v>
      </c>
    </row>
    <row r="34" spans="1:8">
      <c r="A34" s="6"/>
      <c r="B34">
        <v>28</v>
      </c>
      <c r="C34">
        <v>23</v>
      </c>
      <c r="D34">
        <v>52</v>
      </c>
      <c r="E34">
        <v>10</v>
      </c>
      <c r="F34">
        <v>261</v>
      </c>
      <c r="G34">
        <v>316</v>
      </c>
      <c r="H34">
        <v>90</v>
      </c>
    </row>
    <row r="35" spans="1:8">
      <c r="A35" s="6"/>
      <c r="B35">
        <v>29</v>
      </c>
      <c r="C35">
        <v>23</v>
      </c>
      <c r="D35">
        <v>55</v>
      </c>
      <c r="E35">
        <v>20</v>
      </c>
      <c r="F35">
        <v>546</v>
      </c>
      <c r="G35">
        <v>593</v>
      </c>
      <c r="H35">
        <v>90</v>
      </c>
    </row>
    <row r="36" spans="1:8">
      <c r="A36" s="6"/>
      <c r="B36">
        <v>30</v>
      </c>
      <c r="C36">
        <v>20</v>
      </c>
      <c r="D36">
        <v>50</v>
      </c>
      <c r="E36">
        <v>10</v>
      </c>
      <c r="F36">
        <v>358</v>
      </c>
      <c r="G36">
        <v>405</v>
      </c>
      <c r="H36">
        <v>90</v>
      </c>
    </row>
    <row r="37" spans="1:8">
      <c r="A37" s="6"/>
      <c r="B37">
        <v>31</v>
      </c>
      <c r="C37">
        <v>20</v>
      </c>
      <c r="D37">
        <v>55</v>
      </c>
      <c r="E37">
        <v>10</v>
      </c>
      <c r="F37">
        <v>449</v>
      </c>
      <c r="G37">
        <v>504</v>
      </c>
      <c r="H37">
        <v>90</v>
      </c>
    </row>
    <row r="38" spans="1:8">
      <c r="A38" s="6"/>
      <c r="B38">
        <v>32</v>
      </c>
      <c r="C38">
        <v>10</v>
      </c>
      <c r="D38">
        <v>35</v>
      </c>
      <c r="E38">
        <v>20</v>
      </c>
      <c r="F38">
        <v>200</v>
      </c>
      <c r="G38">
        <v>237</v>
      </c>
      <c r="H38">
        <v>90</v>
      </c>
    </row>
    <row r="39" spans="1:8">
      <c r="A39" s="6"/>
      <c r="B39">
        <v>33</v>
      </c>
      <c r="C39">
        <v>10</v>
      </c>
      <c r="D39">
        <v>40</v>
      </c>
      <c r="E39">
        <v>30</v>
      </c>
      <c r="F39">
        <v>31</v>
      </c>
      <c r="G39">
        <v>100</v>
      </c>
      <c r="H39">
        <v>90</v>
      </c>
    </row>
    <row r="40" spans="1:8">
      <c r="A40" s="6"/>
      <c r="B40">
        <v>34</v>
      </c>
      <c r="C40">
        <v>8</v>
      </c>
      <c r="D40">
        <v>40</v>
      </c>
      <c r="E40">
        <v>40</v>
      </c>
      <c r="F40">
        <v>87</v>
      </c>
      <c r="G40">
        <v>158</v>
      </c>
      <c r="H40">
        <v>90</v>
      </c>
    </row>
    <row r="41" spans="1:8">
      <c r="A41" s="6"/>
      <c r="B41">
        <v>35</v>
      </c>
      <c r="C41">
        <v>8</v>
      </c>
      <c r="D41">
        <v>45</v>
      </c>
      <c r="E41">
        <v>20</v>
      </c>
      <c r="F41">
        <v>751</v>
      </c>
      <c r="G41">
        <v>816</v>
      </c>
      <c r="H41">
        <v>90</v>
      </c>
    </row>
    <row r="42" spans="1:8">
      <c r="A42" s="6"/>
      <c r="B42">
        <v>36</v>
      </c>
      <c r="C42">
        <v>5</v>
      </c>
      <c r="D42">
        <v>35</v>
      </c>
      <c r="E42">
        <v>10</v>
      </c>
      <c r="F42">
        <v>283</v>
      </c>
      <c r="G42">
        <v>344</v>
      </c>
      <c r="H42">
        <v>90</v>
      </c>
    </row>
    <row r="43" spans="1:8">
      <c r="A43" s="6"/>
      <c r="B43">
        <v>37</v>
      </c>
      <c r="C43">
        <v>5</v>
      </c>
      <c r="D43">
        <v>45</v>
      </c>
      <c r="E43">
        <v>10</v>
      </c>
      <c r="F43">
        <v>665</v>
      </c>
      <c r="G43">
        <v>716</v>
      </c>
      <c r="H43">
        <v>90</v>
      </c>
    </row>
    <row r="44" spans="1:8">
      <c r="A44" s="6"/>
      <c r="B44">
        <v>38</v>
      </c>
      <c r="C44">
        <v>2</v>
      </c>
      <c r="D44">
        <v>40</v>
      </c>
      <c r="E44">
        <v>20</v>
      </c>
      <c r="F44">
        <v>383</v>
      </c>
      <c r="G44">
        <v>434</v>
      </c>
      <c r="H44">
        <v>90</v>
      </c>
    </row>
    <row r="45" spans="1:8">
      <c r="A45" s="6"/>
      <c r="B45">
        <v>39</v>
      </c>
      <c r="C45">
        <v>0</v>
      </c>
      <c r="D45">
        <v>40</v>
      </c>
      <c r="E45">
        <v>30</v>
      </c>
      <c r="F45">
        <v>479</v>
      </c>
      <c r="G45">
        <v>522</v>
      </c>
      <c r="H45">
        <v>90</v>
      </c>
    </row>
    <row r="46" spans="1:8">
      <c r="A46" s="6"/>
      <c r="B46">
        <v>40</v>
      </c>
      <c r="C46">
        <v>0</v>
      </c>
      <c r="D46">
        <v>45</v>
      </c>
      <c r="E46">
        <v>20</v>
      </c>
      <c r="F46">
        <v>567</v>
      </c>
      <c r="G46">
        <v>624</v>
      </c>
      <c r="H46">
        <v>90</v>
      </c>
    </row>
    <row r="47" spans="1:8">
      <c r="A47" s="6"/>
      <c r="B47">
        <v>41</v>
      </c>
      <c r="C47">
        <v>35</v>
      </c>
      <c r="D47">
        <v>30</v>
      </c>
      <c r="E47">
        <v>10</v>
      </c>
      <c r="F47">
        <v>264</v>
      </c>
      <c r="G47">
        <v>321</v>
      </c>
      <c r="H47">
        <v>90</v>
      </c>
    </row>
    <row r="48" spans="1:8">
      <c r="A48" s="6"/>
      <c r="B48">
        <v>42</v>
      </c>
      <c r="C48">
        <v>35</v>
      </c>
      <c r="D48">
        <v>32</v>
      </c>
      <c r="E48">
        <v>10</v>
      </c>
      <c r="F48">
        <v>166</v>
      </c>
      <c r="G48">
        <v>235</v>
      </c>
      <c r="H48">
        <v>90</v>
      </c>
    </row>
    <row r="49" spans="1:8">
      <c r="A49" s="6"/>
      <c r="B49">
        <v>43</v>
      </c>
      <c r="C49">
        <v>33</v>
      </c>
      <c r="D49">
        <v>32</v>
      </c>
      <c r="E49">
        <v>20</v>
      </c>
      <c r="F49">
        <v>68</v>
      </c>
      <c r="G49">
        <v>149</v>
      </c>
      <c r="H49">
        <v>90</v>
      </c>
    </row>
    <row r="50" spans="1:8">
      <c r="A50" s="6"/>
      <c r="B50">
        <v>44</v>
      </c>
      <c r="C50">
        <v>33</v>
      </c>
      <c r="D50">
        <v>35</v>
      </c>
      <c r="E50">
        <v>10</v>
      </c>
      <c r="F50">
        <v>16</v>
      </c>
      <c r="G50">
        <v>80</v>
      </c>
      <c r="H50">
        <v>90</v>
      </c>
    </row>
    <row r="51" spans="1:8">
      <c r="A51" s="6"/>
      <c r="B51">
        <v>45</v>
      </c>
      <c r="C51">
        <v>32</v>
      </c>
      <c r="D51">
        <v>30</v>
      </c>
      <c r="E51">
        <v>10</v>
      </c>
      <c r="F51">
        <v>359</v>
      </c>
      <c r="G51">
        <v>412</v>
      </c>
      <c r="H51">
        <v>90</v>
      </c>
    </row>
    <row r="52" spans="1:8">
      <c r="A52" s="6"/>
      <c r="B52">
        <v>46</v>
      </c>
      <c r="C52">
        <v>30</v>
      </c>
      <c r="D52">
        <v>30</v>
      </c>
      <c r="E52">
        <v>10</v>
      </c>
      <c r="F52">
        <v>541</v>
      </c>
      <c r="G52">
        <v>600</v>
      </c>
      <c r="H52">
        <v>90</v>
      </c>
    </row>
    <row r="53" spans="1:8">
      <c r="A53" s="6"/>
      <c r="B53">
        <v>47</v>
      </c>
      <c r="C53">
        <v>30</v>
      </c>
      <c r="D53">
        <v>32</v>
      </c>
      <c r="E53">
        <v>30</v>
      </c>
      <c r="F53">
        <v>448</v>
      </c>
      <c r="G53">
        <v>509</v>
      </c>
      <c r="H53">
        <v>90</v>
      </c>
    </row>
    <row r="54" spans="1:8">
      <c r="A54" s="6"/>
      <c r="B54">
        <v>48</v>
      </c>
      <c r="C54">
        <v>30</v>
      </c>
      <c r="D54">
        <v>35</v>
      </c>
      <c r="E54">
        <v>10</v>
      </c>
      <c r="F54">
        <v>1054</v>
      </c>
      <c r="G54">
        <v>1127</v>
      </c>
      <c r="H54">
        <v>90</v>
      </c>
    </row>
    <row r="55" spans="1:8">
      <c r="A55" s="6"/>
      <c r="B55">
        <v>49</v>
      </c>
      <c r="C55">
        <v>28</v>
      </c>
      <c r="D55">
        <v>30</v>
      </c>
      <c r="E55">
        <v>10</v>
      </c>
      <c r="F55">
        <v>632</v>
      </c>
      <c r="G55">
        <v>693</v>
      </c>
      <c r="H55">
        <v>90</v>
      </c>
    </row>
    <row r="56" spans="1:8">
      <c r="A56" s="6"/>
      <c r="B56">
        <v>50</v>
      </c>
      <c r="C56">
        <v>28</v>
      </c>
      <c r="D56">
        <v>35</v>
      </c>
      <c r="E56">
        <v>10</v>
      </c>
      <c r="F56">
        <v>1001</v>
      </c>
      <c r="G56">
        <v>1066</v>
      </c>
      <c r="H56">
        <v>90</v>
      </c>
    </row>
    <row r="57" spans="1:8">
      <c r="A57" s="6"/>
      <c r="B57">
        <v>51</v>
      </c>
      <c r="C57">
        <v>26</v>
      </c>
      <c r="D57">
        <v>32</v>
      </c>
      <c r="E57">
        <v>10</v>
      </c>
      <c r="F57">
        <v>815</v>
      </c>
      <c r="G57">
        <v>880</v>
      </c>
      <c r="H57">
        <v>90</v>
      </c>
    </row>
    <row r="58" spans="1:8">
      <c r="A58" s="6"/>
      <c r="B58">
        <v>52</v>
      </c>
      <c r="C58">
        <v>25</v>
      </c>
      <c r="D58">
        <v>30</v>
      </c>
      <c r="E58">
        <v>10</v>
      </c>
      <c r="F58">
        <v>725</v>
      </c>
      <c r="G58">
        <v>786</v>
      </c>
      <c r="H58">
        <v>90</v>
      </c>
    </row>
    <row r="59" spans="1:8">
      <c r="A59" s="6"/>
      <c r="B59">
        <v>53</v>
      </c>
      <c r="C59">
        <v>25</v>
      </c>
      <c r="D59">
        <v>35</v>
      </c>
      <c r="E59">
        <v>10</v>
      </c>
      <c r="F59">
        <v>912</v>
      </c>
      <c r="G59">
        <v>969</v>
      </c>
      <c r="H59">
        <v>90</v>
      </c>
    </row>
    <row r="60" spans="1:8">
      <c r="A60" s="6"/>
      <c r="B60">
        <v>54</v>
      </c>
      <c r="C60">
        <v>44</v>
      </c>
      <c r="D60">
        <v>5</v>
      </c>
      <c r="E60">
        <v>20</v>
      </c>
      <c r="F60">
        <v>286</v>
      </c>
      <c r="G60">
        <v>347</v>
      </c>
      <c r="H60">
        <v>90</v>
      </c>
    </row>
    <row r="61" spans="1:8">
      <c r="A61" s="6"/>
      <c r="B61">
        <v>55</v>
      </c>
      <c r="C61">
        <v>42</v>
      </c>
      <c r="D61">
        <v>10</v>
      </c>
      <c r="E61">
        <v>40</v>
      </c>
      <c r="F61">
        <v>186</v>
      </c>
      <c r="G61">
        <v>257</v>
      </c>
      <c r="H61">
        <v>90</v>
      </c>
    </row>
    <row r="62" spans="1:8">
      <c r="A62" s="6"/>
      <c r="B62">
        <v>56</v>
      </c>
      <c r="C62">
        <v>42</v>
      </c>
      <c r="D62">
        <v>15</v>
      </c>
      <c r="E62">
        <v>10</v>
      </c>
      <c r="F62">
        <v>95</v>
      </c>
      <c r="G62">
        <v>158</v>
      </c>
      <c r="H62">
        <v>90</v>
      </c>
    </row>
    <row r="63" spans="1:8">
      <c r="A63" s="6"/>
      <c r="B63">
        <v>57</v>
      </c>
      <c r="C63">
        <v>40</v>
      </c>
      <c r="D63">
        <v>5</v>
      </c>
      <c r="E63">
        <v>30</v>
      </c>
      <c r="F63">
        <v>385</v>
      </c>
      <c r="G63">
        <v>436</v>
      </c>
      <c r="H63">
        <v>90</v>
      </c>
    </row>
    <row r="64" spans="1:8">
      <c r="A64" s="6"/>
      <c r="B64">
        <v>58</v>
      </c>
      <c r="C64">
        <v>40</v>
      </c>
      <c r="D64">
        <v>15</v>
      </c>
      <c r="E64">
        <v>40</v>
      </c>
      <c r="F64">
        <v>35</v>
      </c>
      <c r="G64">
        <v>87</v>
      </c>
      <c r="H64">
        <v>90</v>
      </c>
    </row>
    <row r="65" spans="1:8">
      <c r="A65" s="6"/>
      <c r="B65">
        <v>59</v>
      </c>
      <c r="C65">
        <v>38</v>
      </c>
      <c r="D65">
        <v>5</v>
      </c>
      <c r="E65">
        <v>30</v>
      </c>
      <c r="F65">
        <v>471</v>
      </c>
      <c r="G65">
        <v>534</v>
      </c>
      <c r="H65">
        <v>90</v>
      </c>
    </row>
    <row r="66" spans="1:8">
      <c r="A66" s="6"/>
      <c r="B66">
        <v>60</v>
      </c>
      <c r="C66">
        <v>38</v>
      </c>
      <c r="D66">
        <v>15</v>
      </c>
      <c r="E66">
        <v>10</v>
      </c>
      <c r="F66">
        <v>651</v>
      </c>
      <c r="G66">
        <v>740</v>
      </c>
      <c r="H66">
        <v>90</v>
      </c>
    </row>
    <row r="67" spans="1:8">
      <c r="A67" s="6"/>
      <c r="B67">
        <v>61</v>
      </c>
      <c r="C67">
        <v>35</v>
      </c>
      <c r="D67">
        <v>5</v>
      </c>
      <c r="E67">
        <v>20</v>
      </c>
      <c r="F67">
        <v>562</v>
      </c>
      <c r="G67">
        <v>629</v>
      </c>
      <c r="H67">
        <v>90</v>
      </c>
    </row>
    <row r="68" spans="1:8">
      <c r="A68" s="6"/>
      <c r="B68">
        <v>62</v>
      </c>
      <c r="C68">
        <v>50</v>
      </c>
      <c r="D68">
        <v>30</v>
      </c>
      <c r="E68">
        <v>10</v>
      </c>
      <c r="F68">
        <v>531</v>
      </c>
      <c r="G68">
        <v>610</v>
      </c>
      <c r="H68">
        <v>90</v>
      </c>
    </row>
    <row r="69" spans="1:8">
      <c r="A69" s="6"/>
      <c r="B69">
        <v>63</v>
      </c>
      <c r="C69">
        <v>50</v>
      </c>
      <c r="D69">
        <v>35</v>
      </c>
      <c r="E69">
        <v>20</v>
      </c>
      <c r="F69">
        <v>262</v>
      </c>
      <c r="G69">
        <v>317</v>
      </c>
      <c r="H69">
        <v>90</v>
      </c>
    </row>
    <row r="70" spans="1:8">
      <c r="A70" s="6"/>
      <c r="B70">
        <v>64</v>
      </c>
      <c r="C70">
        <v>50</v>
      </c>
      <c r="D70">
        <v>40</v>
      </c>
      <c r="E70">
        <v>50</v>
      </c>
      <c r="F70">
        <v>171</v>
      </c>
      <c r="G70">
        <v>218</v>
      </c>
      <c r="H70">
        <v>90</v>
      </c>
    </row>
    <row r="71" spans="1:8">
      <c r="A71" s="6"/>
      <c r="B71">
        <v>65</v>
      </c>
      <c r="C71">
        <v>48</v>
      </c>
      <c r="D71">
        <v>30</v>
      </c>
      <c r="E71">
        <v>10</v>
      </c>
      <c r="F71">
        <v>632</v>
      </c>
      <c r="G71">
        <v>693</v>
      </c>
      <c r="H71">
        <v>90</v>
      </c>
    </row>
    <row r="72" spans="1:8">
      <c r="A72" s="6"/>
      <c r="B72">
        <v>66</v>
      </c>
      <c r="C72">
        <v>48</v>
      </c>
      <c r="D72">
        <v>40</v>
      </c>
      <c r="E72">
        <v>10</v>
      </c>
      <c r="F72">
        <v>76</v>
      </c>
      <c r="G72">
        <v>129</v>
      </c>
      <c r="H72">
        <v>90</v>
      </c>
    </row>
    <row r="73" spans="1:8">
      <c r="A73" s="6"/>
      <c r="B73">
        <v>67</v>
      </c>
      <c r="C73">
        <v>47</v>
      </c>
      <c r="D73">
        <v>35</v>
      </c>
      <c r="E73">
        <v>10</v>
      </c>
      <c r="F73">
        <v>826</v>
      </c>
      <c r="G73">
        <v>875</v>
      </c>
      <c r="H73">
        <v>90</v>
      </c>
    </row>
    <row r="74" spans="1:8">
      <c r="A74" s="6"/>
      <c r="B74">
        <v>68</v>
      </c>
      <c r="C74">
        <v>47</v>
      </c>
      <c r="D74">
        <v>40</v>
      </c>
      <c r="E74">
        <v>10</v>
      </c>
      <c r="F74">
        <v>12</v>
      </c>
      <c r="G74">
        <v>77</v>
      </c>
      <c r="H74">
        <v>90</v>
      </c>
    </row>
    <row r="75" spans="1:8">
      <c r="A75" s="6"/>
      <c r="B75">
        <v>69</v>
      </c>
      <c r="C75">
        <v>45</v>
      </c>
      <c r="D75">
        <v>30</v>
      </c>
      <c r="E75">
        <v>10</v>
      </c>
      <c r="F75">
        <v>734</v>
      </c>
      <c r="G75">
        <v>777</v>
      </c>
      <c r="H75">
        <v>90</v>
      </c>
    </row>
    <row r="76" spans="1:8">
      <c r="A76" s="6"/>
      <c r="B76">
        <v>70</v>
      </c>
      <c r="C76">
        <v>45</v>
      </c>
      <c r="D76">
        <v>35</v>
      </c>
      <c r="E76">
        <v>10</v>
      </c>
      <c r="F76">
        <v>916</v>
      </c>
      <c r="G76">
        <v>969</v>
      </c>
      <c r="H76">
        <v>90</v>
      </c>
    </row>
    <row r="77" spans="1:8">
      <c r="A77" s="6"/>
      <c r="B77">
        <v>71</v>
      </c>
      <c r="C77">
        <v>95</v>
      </c>
      <c r="D77">
        <v>30</v>
      </c>
      <c r="E77">
        <v>30</v>
      </c>
      <c r="F77">
        <v>387</v>
      </c>
      <c r="G77">
        <v>456</v>
      </c>
      <c r="H77">
        <v>90</v>
      </c>
    </row>
    <row r="78" spans="1:8">
      <c r="A78" s="6"/>
      <c r="B78">
        <v>72</v>
      </c>
      <c r="C78">
        <v>95</v>
      </c>
      <c r="D78">
        <v>35</v>
      </c>
      <c r="E78">
        <v>20</v>
      </c>
      <c r="F78">
        <v>293</v>
      </c>
      <c r="G78">
        <v>360</v>
      </c>
      <c r="H78">
        <v>90</v>
      </c>
    </row>
    <row r="79" spans="1:8">
      <c r="A79" s="6"/>
      <c r="B79">
        <v>73</v>
      </c>
      <c r="C79">
        <v>53</v>
      </c>
      <c r="D79">
        <v>30</v>
      </c>
      <c r="E79">
        <v>10</v>
      </c>
      <c r="F79">
        <v>450</v>
      </c>
      <c r="G79">
        <v>505</v>
      </c>
      <c r="H79">
        <v>90</v>
      </c>
    </row>
    <row r="80" spans="1:8">
      <c r="A80" s="6"/>
      <c r="B80">
        <v>74</v>
      </c>
      <c r="C80">
        <v>92</v>
      </c>
      <c r="D80">
        <v>30</v>
      </c>
      <c r="E80">
        <v>10</v>
      </c>
      <c r="F80">
        <v>478</v>
      </c>
      <c r="G80">
        <v>551</v>
      </c>
      <c r="H80">
        <v>90</v>
      </c>
    </row>
    <row r="81" spans="1:8">
      <c r="A81" s="6"/>
      <c r="B81">
        <v>75</v>
      </c>
      <c r="C81">
        <v>53</v>
      </c>
      <c r="D81">
        <v>35</v>
      </c>
      <c r="E81">
        <v>50</v>
      </c>
      <c r="F81">
        <v>353</v>
      </c>
      <c r="G81">
        <v>412</v>
      </c>
      <c r="H81">
        <v>90</v>
      </c>
    </row>
    <row r="82" spans="1:8">
      <c r="A82" s="6"/>
      <c r="B82">
        <v>76</v>
      </c>
      <c r="C82">
        <v>45</v>
      </c>
      <c r="D82">
        <v>65</v>
      </c>
      <c r="E82">
        <v>20</v>
      </c>
      <c r="F82">
        <v>997</v>
      </c>
      <c r="G82">
        <v>1068</v>
      </c>
      <c r="H82">
        <v>90</v>
      </c>
    </row>
    <row r="83" spans="1:8">
      <c r="A83" s="6"/>
      <c r="B83">
        <v>77</v>
      </c>
      <c r="C83">
        <v>90</v>
      </c>
      <c r="D83">
        <v>35</v>
      </c>
      <c r="E83">
        <v>10</v>
      </c>
      <c r="F83">
        <v>203</v>
      </c>
      <c r="G83">
        <v>260</v>
      </c>
      <c r="H83">
        <v>90</v>
      </c>
    </row>
    <row r="84" spans="1:8">
      <c r="A84" s="6"/>
      <c r="B84">
        <v>78</v>
      </c>
      <c r="C84">
        <v>88</v>
      </c>
      <c r="D84">
        <v>30</v>
      </c>
      <c r="E84">
        <v>10</v>
      </c>
      <c r="F84">
        <v>574</v>
      </c>
      <c r="G84">
        <v>643</v>
      </c>
      <c r="H84">
        <v>90</v>
      </c>
    </row>
    <row r="85" spans="1:8">
      <c r="A85" s="6"/>
      <c r="B85">
        <v>79</v>
      </c>
      <c r="C85">
        <v>88</v>
      </c>
      <c r="D85">
        <v>35</v>
      </c>
      <c r="E85">
        <v>20</v>
      </c>
      <c r="F85">
        <v>109</v>
      </c>
      <c r="G85">
        <v>170</v>
      </c>
      <c r="H85">
        <v>90</v>
      </c>
    </row>
    <row r="86" spans="1:8">
      <c r="A86" s="6"/>
      <c r="B86">
        <v>80</v>
      </c>
      <c r="C86">
        <v>87</v>
      </c>
      <c r="D86">
        <v>30</v>
      </c>
      <c r="E86">
        <v>10</v>
      </c>
      <c r="F86">
        <v>668</v>
      </c>
      <c r="G86">
        <v>731</v>
      </c>
      <c r="H86">
        <v>90</v>
      </c>
    </row>
    <row r="87" spans="1:8">
      <c r="A87" s="6"/>
      <c r="B87">
        <v>81</v>
      </c>
      <c r="C87">
        <v>85</v>
      </c>
      <c r="D87">
        <v>25</v>
      </c>
      <c r="E87">
        <v>10</v>
      </c>
      <c r="F87">
        <v>769</v>
      </c>
      <c r="G87">
        <v>820</v>
      </c>
      <c r="H87">
        <v>90</v>
      </c>
    </row>
    <row r="88" spans="1:8">
      <c r="A88" s="6"/>
      <c r="B88">
        <v>82</v>
      </c>
      <c r="C88">
        <v>85</v>
      </c>
      <c r="D88">
        <v>35</v>
      </c>
      <c r="E88">
        <v>30</v>
      </c>
      <c r="F88">
        <v>47</v>
      </c>
      <c r="G88">
        <v>124</v>
      </c>
      <c r="H88">
        <v>90</v>
      </c>
    </row>
    <row r="89" spans="1:8">
      <c r="A89" s="6"/>
      <c r="B89">
        <v>83</v>
      </c>
      <c r="C89">
        <v>75</v>
      </c>
      <c r="D89">
        <v>55</v>
      </c>
      <c r="E89">
        <v>20</v>
      </c>
      <c r="F89">
        <v>369</v>
      </c>
      <c r="G89">
        <v>420</v>
      </c>
      <c r="H89">
        <v>90</v>
      </c>
    </row>
    <row r="90" spans="1:8">
      <c r="A90" s="6"/>
      <c r="B90">
        <v>84</v>
      </c>
      <c r="C90">
        <v>72</v>
      </c>
      <c r="D90">
        <v>55</v>
      </c>
      <c r="E90">
        <v>10</v>
      </c>
      <c r="F90">
        <v>265</v>
      </c>
      <c r="G90">
        <v>338</v>
      </c>
      <c r="H90">
        <v>90</v>
      </c>
    </row>
    <row r="91" spans="1:8">
      <c r="A91" s="6"/>
      <c r="B91">
        <v>85</v>
      </c>
      <c r="C91">
        <v>70</v>
      </c>
      <c r="D91">
        <v>58</v>
      </c>
      <c r="E91">
        <v>20</v>
      </c>
      <c r="F91">
        <v>458</v>
      </c>
      <c r="G91">
        <v>523</v>
      </c>
      <c r="H91">
        <v>90</v>
      </c>
    </row>
    <row r="92" spans="1:8">
      <c r="A92" s="6"/>
      <c r="B92">
        <v>86</v>
      </c>
      <c r="C92">
        <v>68</v>
      </c>
      <c r="D92">
        <v>60</v>
      </c>
      <c r="E92">
        <v>30</v>
      </c>
      <c r="F92">
        <v>555</v>
      </c>
      <c r="G92">
        <v>612</v>
      </c>
      <c r="H92">
        <v>90</v>
      </c>
    </row>
    <row r="93" spans="1:8">
      <c r="A93" s="6"/>
      <c r="B93">
        <v>87</v>
      </c>
      <c r="C93">
        <v>66</v>
      </c>
      <c r="D93">
        <v>55</v>
      </c>
      <c r="E93">
        <v>10</v>
      </c>
      <c r="F93">
        <v>173</v>
      </c>
      <c r="G93">
        <v>238</v>
      </c>
      <c r="H93">
        <v>90</v>
      </c>
    </row>
    <row r="94" spans="1:8">
      <c r="A94" s="6"/>
      <c r="B94">
        <v>88</v>
      </c>
      <c r="C94">
        <v>65</v>
      </c>
      <c r="D94">
        <v>55</v>
      </c>
      <c r="E94">
        <v>20</v>
      </c>
      <c r="F94">
        <v>85</v>
      </c>
      <c r="G94">
        <v>144</v>
      </c>
      <c r="H94">
        <v>90</v>
      </c>
    </row>
    <row r="95" spans="1:8">
      <c r="A95" s="6"/>
      <c r="B95">
        <v>89</v>
      </c>
      <c r="C95">
        <v>65</v>
      </c>
      <c r="D95">
        <v>60</v>
      </c>
      <c r="E95">
        <v>30</v>
      </c>
      <c r="F95">
        <v>645</v>
      </c>
      <c r="G95">
        <v>708</v>
      </c>
      <c r="H95">
        <v>90</v>
      </c>
    </row>
    <row r="96" spans="1:8">
      <c r="A96" s="6"/>
      <c r="B96">
        <v>90</v>
      </c>
      <c r="C96">
        <v>63</v>
      </c>
      <c r="D96">
        <v>58</v>
      </c>
      <c r="E96">
        <v>10</v>
      </c>
      <c r="F96">
        <v>737</v>
      </c>
      <c r="G96">
        <v>802</v>
      </c>
      <c r="H96">
        <v>90</v>
      </c>
    </row>
    <row r="97" spans="1:8">
      <c r="A97" s="6"/>
      <c r="B97">
        <v>91</v>
      </c>
      <c r="C97">
        <v>60</v>
      </c>
      <c r="D97">
        <v>55</v>
      </c>
      <c r="E97">
        <v>10</v>
      </c>
      <c r="F97">
        <v>20</v>
      </c>
      <c r="G97">
        <v>84</v>
      </c>
      <c r="H97">
        <v>90</v>
      </c>
    </row>
    <row r="98" spans="1:8">
      <c r="A98" s="6"/>
      <c r="B98">
        <v>92</v>
      </c>
      <c r="C98">
        <v>60</v>
      </c>
      <c r="D98">
        <v>60</v>
      </c>
      <c r="E98">
        <v>10</v>
      </c>
      <c r="F98">
        <v>836</v>
      </c>
      <c r="G98">
        <v>889</v>
      </c>
      <c r="H98">
        <v>90</v>
      </c>
    </row>
    <row r="99" spans="1:8">
      <c r="A99" s="6"/>
      <c r="B99">
        <v>93</v>
      </c>
      <c r="C99">
        <v>67</v>
      </c>
      <c r="D99">
        <v>85</v>
      </c>
      <c r="E99">
        <v>20</v>
      </c>
      <c r="F99">
        <v>368</v>
      </c>
      <c r="G99">
        <v>441</v>
      </c>
      <c r="H99">
        <v>90</v>
      </c>
    </row>
    <row r="100" spans="1:8">
      <c r="A100" s="6"/>
      <c r="B100">
        <v>94</v>
      </c>
      <c r="C100">
        <v>65</v>
      </c>
      <c r="D100">
        <v>85</v>
      </c>
      <c r="E100">
        <v>40</v>
      </c>
      <c r="F100">
        <v>475</v>
      </c>
      <c r="G100">
        <v>518</v>
      </c>
      <c r="H100">
        <v>90</v>
      </c>
    </row>
    <row r="101" spans="1:8">
      <c r="A101" s="6"/>
      <c r="B101">
        <v>95</v>
      </c>
      <c r="C101">
        <v>65</v>
      </c>
      <c r="D101">
        <v>82</v>
      </c>
      <c r="E101">
        <v>10</v>
      </c>
      <c r="F101">
        <v>285</v>
      </c>
      <c r="G101">
        <v>336</v>
      </c>
      <c r="H101">
        <v>90</v>
      </c>
    </row>
    <row r="102" spans="1:8">
      <c r="A102" s="6"/>
      <c r="B102">
        <v>96</v>
      </c>
      <c r="C102">
        <v>62</v>
      </c>
      <c r="D102">
        <v>80</v>
      </c>
      <c r="E102">
        <v>30</v>
      </c>
      <c r="F102">
        <v>196</v>
      </c>
      <c r="G102">
        <v>239</v>
      </c>
      <c r="H102">
        <v>90</v>
      </c>
    </row>
    <row r="103" spans="1:8">
      <c r="A103" s="6"/>
      <c r="B103">
        <v>97</v>
      </c>
      <c r="C103">
        <v>60</v>
      </c>
      <c r="D103">
        <v>80</v>
      </c>
      <c r="E103">
        <v>10</v>
      </c>
      <c r="F103">
        <v>95</v>
      </c>
      <c r="G103">
        <v>156</v>
      </c>
      <c r="H103">
        <v>90</v>
      </c>
    </row>
    <row r="104" spans="1:8">
      <c r="A104" s="6"/>
      <c r="B104">
        <v>98</v>
      </c>
      <c r="C104">
        <v>60</v>
      </c>
      <c r="D104">
        <v>85</v>
      </c>
      <c r="E104">
        <v>30</v>
      </c>
      <c r="F104">
        <v>561</v>
      </c>
      <c r="G104">
        <v>622</v>
      </c>
      <c r="H104">
        <v>90</v>
      </c>
    </row>
    <row r="105" spans="1:8">
      <c r="A105" s="6"/>
      <c r="B105">
        <v>99</v>
      </c>
      <c r="C105">
        <v>58</v>
      </c>
      <c r="D105">
        <v>75</v>
      </c>
      <c r="E105">
        <v>20</v>
      </c>
      <c r="F105">
        <v>30</v>
      </c>
      <c r="G105">
        <v>84</v>
      </c>
      <c r="H105">
        <v>90</v>
      </c>
    </row>
    <row r="106" spans="1:8">
      <c r="A106" s="6"/>
      <c r="B106">
        <v>100</v>
      </c>
      <c r="C106">
        <v>55</v>
      </c>
      <c r="D106">
        <v>80</v>
      </c>
      <c r="E106">
        <v>10</v>
      </c>
      <c r="F106">
        <v>743</v>
      </c>
      <c r="G106">
        <v>820</v>
      </c>
      <c r="H106">
        <v>90</v>
      </c>
    </row>
    <row r="107" spans="1:8">
      <c r="A107" s="6"/>
      <c r="B107">
        <v>101</v>
      </c>
      <c r="C107">
        <v>55</v>
      </c>
      <c r="D107">
        <v>85</v>
      </c>
      <c r="E107">
        <v>20</v>
      </c>
      <c r="F107">
        <v>647</v>
      </c>
      <c r="G107">
        <v>726</v>
      </c>
      <c r="H107">
        <v>90</v>
      </c>
    </row>
    <row r="112" spans="1:8" ht="17.399999999999999">
      <c r="A112" s="7" t="s">
        <v>37</v>
      </c>
    </row>
    <row r="113" spans="1:8">
      <c r="A113" s="4"/>
      <c r="B113" t="s">
        <v>32</v>
      </c>
      <c r="C113" t="s">
        <v>26</v>
      </c>
      <c r="D113" t="s">
        <v>27</v>
      </c>
      <c r="E113" t="s">
        <v>28</v>
      </c>
      <c r="F113" t="s">
        <v>29</v>
      </c>
      <c r="G113" t="s">
        <v>30</v>
      </c>
      <c r="H113" t="s">
        <v>31</v>
      </c>
    </row>
    <row r="114" spans="1:8">
      <c r="A114" s="6"/>
      <c r="B114">
        <v>1</v>
      </c>
      <c r="C114">
        <v>40</v>
      </c>
      <c r="D114">
        <v>50</v>
      </c>
      <c r="E114">
        <v>0</v>
      </c>
      <c r="F114">
        <v>0</v>
      </c>
      <c r="G114">
        <v>1236</v>
      </c>
      <c r="H114">
        <v>0</v>
      </c>
    </row>
    <row r="115" spans="1:8">
      <c r="A115" s="6"/>
      <c r="B115">
        <v>2</v>
      </c>
      <c r="C115">
        <v>45</v>
      </c>
      <c r="D115">
        <v>68</v>
      </c>
      <c r="E115">
        <v>10</v>
      </c>
      <c r="F115">
        <v>0</v>
      </c>
      <c r="G115">
        <v>1127</v>
      </c>
      <c r="H115">
        <v>90</v>
      </c>
    </row>
    <row r="116" spans="1:8">
      <c r="A116" s="6"/>
      <c r="B116">
        <v>3</v>
      </c>
      <c r="C116">
        <v>45</v>
      </c>
      <c r="D116">
        <v>70</v>
      </c>
      <c r="E116">
        <v>30</v>
      </c>
      <c r="F116">
        <v>0</v>
      </c>
      <c r="G116">
        <v>1125</v>
      </c>
      <c r="H116">
        <v>90</v>
      </c>
    </row>
    <row r="117" spans="1:8">
      <c r="A117" s="6"/>
      <c r="B117">
        <v>4</v>
      </c>
      <c r="C117">
        <v>42</v>
      </c>
      <c r="D117">
        <v>66</v>
      </c>
      <c r="E117">
        <v>10</v>
      </c>
      <c r="F117">
        <v>0</v>
      </c>
      <c r="G117">
        <v>1129</v>
      </c>
      <c r="H117">
        <v>90</v>
      </c>
    </row>
    <row r="118" spans="1:8">
      <c r="A118" s="6"/>
      <c r="B118">
        <v>5</v>
      </c>
      <c r="C118">
        <v>42</v>
      </c>
      <c r="D118">
        <v>68</v>
      </c>
      <c r="E118">
        <v>10</v>
      </c>
      <c r="F118">
        <v>727</v>
      </c>
      <c r="G118">
        <v>782</v>
      </c>
      <c r="H118">
        <v>90</v>
      </c>
    </row>
    <row r="119" spans="1:8">
      <c r="A119" s="6"/>
      <c r="B119">
        <v>6</v>
      </c>
      <c r="C119">
        <v>42</v>
      </c>
      <c r="D119">
        <v>65</v>
      </c>
      <c r="E119">
        <v>10</v>
      </c>
      <c r="F119">
        <v>0</v>
      </c>
      <c r="G119">
        <v>1130</v>
      </c>
      <c r="H119">
        <v>90</v>
      </c>
    </row>
    <row r="120" spans="1:8">
      <c r="A120" s="6"/>
      <c r="B120">
        <v>7</v>
      </c>
      <c r="C120">
        <v>40</v>
      </c>
      <c r="D120">
        <v>69</v>
      </c>
      <c r="E120">
        <v>20</v>
      </c>
      <c r="F120">
        <v>621</v>
      </c>
      <c r="G120">
        <v>702</v>
      </c>
      <c r="H120">
        <v>90</v>
      </c>
    </row>
    <row r="121" spans="1:8">
      <c r="A121" s="6"/>
      <c r="B121">
        <v>8</v>
      </c>
      <c r="C121">
        <v>40</v>
      </c>
      <c r="D121">
        <v>66</v>
      </c>
      <c r="E121">
        <v>20</v>
      </c>
      <c r="F121">
        <v>0</v>
      </c>
      <c r="G121">
        <v>1130</v>
      </c>
      <c r="H121">
        <v>90</v>
      </c>
    </row>
    <row r="122" spans="1:8">
      <c r="A122" s="6"/>
      <c r="B122">
        <v>9</v>
      </c>
      <c r="C122">
        <v>38</v>
      </c>
      <c r="D122">
        <v>68</v>
      </c>
      <c r="E122">
        <v>20</v>
      </c>
      <c r="F122">
        <v>255</v>
      </c>
      <c r="G122">
        <v>324</v>
      </c>
      <c r="H122">
        <v>90</v>
      </c>
    </row>
    <row r="123" spans="1:8">
      <c r="A123" s="6"/>
      <c r="B123">
        <v>10</v>
      </c>
      <c r="C123">
        <v>38</v>
      </c>
      <c r="D123">
        <v>70</v>
      </c>
      <c r="E123">
        <v>10</v>
      </c>
      <c r="F123">
        <v>534</v>
      </c>
      <c r="G123">
        <v>605</v>
      </c>
      <c r="H123">
        <v>90</v>
      </c>
    </row>
    <row r="124" spans="1:8">
      <c r="A124" s="6"/>
      <c r="B124">
        <v>11</v>
      </c>
      <c r="C124">
        <v>35</v>
      </c>
      <c r="D124">
        <v>66</v>
      </c>
      <c r="E124">
        <v>10</v>
      </c>
      <c r="F124">
        <v>357</v>
      </c>
      <c r="G124">
        <v>410</v>
      </c>
      <c r="H124">
        <v>90</v>
      </c>
    </row>
    <row r="125" spans="1:8">
      <c r="A125" s="6"/>
      <c r="B125">
        <v>12</v>
      </c>
      <c r="C125">
        <v>35</v>
      </c>
      <c r="D125">
        <v>69</v>
      </c>
      <c r="E125">
        <v>10</v>
      </c>
      <c r="F125">
        <v>448</v>
      </c>
      <c r="G125">
        <v>505</v>
      </c>
      <c r="H125">
        <v>90</v>
      </c>
    </row>
    <row r="126" spans="1:8">
      <c r="A126" s="6"/>
      <c r="B126">
        <v>13</v>
      </c>
      <c r="C126">
        <v>25</v>
      </c>
      <c r="D126">
        <v>85</v>
      </c>
      <c r="E126">
        <v>20</v>
      </c>
      <c r="F126">
        <v>0</v>
      </c>
      <c r="G126">
        <v>1107</v>
      </c>
      <c r="H126">
        <v>90</v>
      </c>
    </row>
    <row r="127" spans="1:8">
      <c r="A127" s="6"/>
      <c r="B127">
        <v>14</v>
      </c>
      <c r="C127">
        <v>22</v>
      </c>
      <c r="D127">
        <v>75</v>
      </c>
      <c r="E127">
        <v>30</v>
      </c>
      <c r="F127">
        <v>30</v>
      </c>
      <c r="G127">
        <v>92</v>
      </c>
      <c r="H127">
        <v>90</v>
      </c>
    </row>
    <row r="128" spans="1:8">
      <c r="A128" s="6"/>
      <c r="B128">
        <v>15</v>
      </c>
      <c r="C128">
        <v>22</v>
      </c>
      <c r="D128">
        <v>85</v>
      </c>
      <c r="E128">
        <v>10</v>
      </c>
      <c r="F128">
        <v>567</v>
      </c>
      <c r="G128">
        <v>620</v>
      </c>
      <c r="H128">
        <v>90</v>
      </c>
    </row>
    <row r="129" spans="1:8">
      <c r="A129" s="6"/>
      <c r="B129">
        <v>16</v>
      </c>
      <c r="C129">
        <v>20</v>
      </c>
      <c r="D129">
        <v>80</v>
      </c>
      <c r="E129">
        <v>40</v>
      </c>
      <c r="F129">
        <v>384</v>
      </c>
      <c r="G129">
        <v>429</v>
      </c>
      <c r="H129">
        <v>90</v>
      </c>
    </row>
    <row r="130" spans="1:8">
      <c r="A130" s="6"/>
      <c r="B130">
        <v>17</v>
      </c>
      <c r="C130">
        <v>20</v>
      </c>
      <c r="D130">
        <v>85</v>
      </c>
      <c r="E130">
        <v>40</v>
      </c>
      <c r="F130">
        <v>475</v>
      </c>
      <c r="G130">
        <v>528</v>
      </c>
      <c r="H130">
        <v>90</v>
      </c>
    </row>
    <row r="131" spans="1:8">
      <c r="A131" s="6"/>
      <c r="B131">
        <v>18</v>
      </c>
      <c r="C131">
        <v>18</v>
      </c>
      <c r="D131">
        <v>75</v>
      </c>
      <c r="E131">
        <v>20</v>
      </c>
      <c r="F131">
        <v>99</v>
      </c>
      <c r="G131">
        <v>148</v>
      </c>
      <c r="H131">
        <v>90</v>
      </c>
    </row>
    <row r="132" spans="1:8">
      <c r="A132" s="6"/>
      <c r="B132">
        <v>19</v>
      </c>
      <c r="C132">
        <v>15</v>
      </c>
      <c r="D132">
        <v>75</v>
      </c>
      <c r="E132">
        <v>20</v>
      </c>
      <c r="F132">
        <v>179</v>
      </c>
      <c r="G132">
        <v>254</v>
      </c>
      <c r="H132">
        <v>90</v>
      </c>
    </row>
    <row r="133" spans="1:8">
      <c r="A133" s="6"/>
      <c r="B133">
        <v>20</v>
      </c>
      <c r="C133">
        <v>15</v>
      </c>
      <c r="D133">
        <v>80</v>
      </c>
      <c r="E133">
        <v>10</v>
      </c>
      <c r="F133">
        <v>278</v>
      </c>
      <c r="G133">
        <v>345</v>
      </c>
      <c r="H133">
        <v>90</v>
      </c>
    </row>
    <row r="134" spans="1:8">
      <c r="A134" s="6"/>
      <c r="B134">
        <v>21</v>
      </c>
      <c r="C134">
        <v>30</v>
      </c>
      <c r="D134">
        <v>50</v>
      </c>
      <c r="E134">
        <v>10</v>
      </c>
      <c r="F134">
        <v>10</v>
      </c>
      <c r="G134">
        <v>73</v>
      </c>
      <c r="H134">
        <v>90</v>
      </c>
    </row>
    <row r="135" spans="1:8">
      <c r="A135" s="6"/>
      <c r="B135">
        <v>22</v>
      </c>
      <c r="C135">
        <v>30</v>
      </c>
      <c r="D135">
        <v>52</v>
      </c>
      <c r="E135">
        <v>20</v>
      </c>
      <c r="F135">
        <v>0</v>
      </c>
      <c r="G135">
        <v>1135</v>
      </c>
      <c r="H135">
        <v>90</v>
      </c>
    </row>
    <row r="136" spans="1:8">
      <c r="A136" s="6"/>
      <c r="B136">
        <v>23</v>
      </c>
      <c r="C136">
        <v>28</v>
      </c>
      <c r="D136">
        <v>52</v>
      </c>
      <c r="E136">
        <v>20</v>
      </c>
      <c r="F136">
        <v>812</v>
      </c>
      <c r="G136">
        <v>883</v>
      </c>
      <c r="H136">
        <v>90</v>
      </c>
    </row>
    <row r="137" spans="1:8">
      <c r="A137" s="6"/>
      <c r="B137">
        <v>24</v>
      </c>
      <c r="C137">
        <v>28</v>
      </c>
      <c r="D137">
        <v>55</v>
      </c>
      <c r="E137">
        <v>10</v>
      </c>
      <c r="F137">
        <v>732</v>
      </c>
      <c r="G137">
        <v>777</v>
      </c>
      <c r="H137">
        <v>90</v>
      </c>
    </row>
    <row r="138" spans="1:8">
      <c r="A138" s="6"/>
      <c r="B138">
        <v>25</v>
      </c>
      <c r="C138">
        <v>25</v>
      </c>
      <c r="D138">
        <v>50</v>
      </c>
      <c r="E138">
        <v>10</v>
      </c>
      <c r="F138">
        <v>65</v>
      </c>
      <c r="G138">
        <v>144</v>
      </c>
      <c r="H138">
        <v>90</v>
      </c>
    </row>
    <row r="139" spans="1:8">
      <c r="A139" s="6"/>
      <c r="B139">
        <v>26</v>
      </c>
      <c r="C139">
        <v>25</v>
      </c>
      <c r="D139">
        <v>52</v>
      </c>
      <c r="E139">
        <v>40</v>
      </c>
      <c r="F139">
        <v>169</v>
      </c>
      <c r="G139">
        <v>224</v>
      </c>
      <c r="H139">
        <v>90</v>
      </c>
    </row>
    <row r="140" spans="1:8">
      <c r="A140" s="6"/>
      <c r="B140">
        <v>27</v>
      </c>
      <c r="C140">
        <v>25</v>
      </c>
      <c r="D140">
        <v>55</v>
      </c>
      <c r="E140">
        <v>10</v>
      </c>
      <c r="F140">
        <v>0</v>
      </c>
      <c r="G140">
        <v>1130</v>
      </c>
      <c r="H140">
        <v>90</v>
      </c>
    </row>
    <row r="141" spans="1:8">
      <c r="A141" s="6"/>
      <c r="B141">
        <v>28</v>
      </c>
      <c r="C141">
        <v>23</v>
      </c>
      <c r="D141">
        <v>52</v>
      </c>
      <c r="E141">
        <v>10</v>
      </c>
      <c r="F141">
        <v>261</v>
      </c>
      <c r="G141">
        <v>316</v>
      </c>
      <c r="H141">
        <v>90</v>
      </c>
    </row>
    <row r="142" spans="1:8">
      <c r="A142" s="6"/>
      <c r="B142">
        <v>29</v>
      </c>
      <c r="C142">
        <v>23</v>
      </c>
      <c r="D142">
        <v>55</v>
      </c>
      <c r="E142">
        <v>20</v>
      </c>
      <c r="F142">
        <v>546</v>
      </c>
      <c r="G142">
        <v>593</v>
      </c>
      <c r="H142">
        <v>90</v>
      </c>
    </row>
    <row r="143" spans="1:8">
      <c r="A143" s="6"/>
      <c r="B143">
        <v>30</v>
      </c>
      <c r="C143">
        <v>20</v>
      </c>
      <c r="D143">
        <v>50</v>
      </c>
      <c r="E143">
        <v>10</v>
      </c>
      <c r="F143">
        <v>358</v>
      </c>
      <c r="G143">
        <v>405</v>
      </c>
      <c r="H143">
        <v>90</v>
      </c>
    </row>
    <row r="144" spans="1:8">
      <c r="A144" s="6"/>
      <c r="B144">
        <v>31</v>
      </c>
      <c r="C144">
        <v>20</v>
      </c>
      <c r="D144">
        <v>55</v>
      </c>
      <c r="E144">
        <v>10</v>
      </c>
      <c r="F144">
        <v>449</v>
      </c>
      <c r="G144">
        <v>504</v>
      </c>
      <c r="H144">
        <v>90</v>
      </c>
    </row>
    <row r="145" spans="1:8">
      <c r="A145" s="6"/>
      <c r="B145">
        <v>32</v>
      </c>
      <c r="C145">
        <v>10</v>
      </c>
      <c r="D145">
        <v>35</v>
      </c>
      <c r="E145">
        <v>20</v>
      </c>
      <c r="F145">
        <v>0</v>
      </c>
      <c r="G145">
        <v>1112</v>
      </c>
      <c r="H145">
        <v>90</v>
      </c>
    </row>
    <row r="146" spans="1:8">
      <c r="A146" s="6"/>
      <c r="B146">
        <v>33</v>
      </c>
      <c r="C146">
        <v>10</v>
      </c>
      <c r="D146">
        <v>40</v>
      </c>
      <c r="E146">
        <v>30</v>
      </c>
      <c r="F146">
        <v>31</v>
      </c>
      <c r="G146">
        <v>100</v>
      </c>
      <c r="H146">
        <v>90</v>
      </c>
    </row>
    <row r="147" spans="1:8">
      <c r="A147" s="6"/>
      <c r="B147">
        <v>34</v>
      </c>
      <c r="C147">
        <v>8</v>
      </c>
      <c r="D147">
        <v>40</v>
      </c>
      <c r="E147">
        <v>40</v>
      </c>
      <c r="F147">
        <v>87</v>
      </c>
      <c r="G147">
        <v>158</v>
      </c>
      <c r="H147">
        <v>90</v>
      </c>
    </row>
    <row r="148" spans="1:8">
      <c r="A148" s="6"/>
      <c r="B148">
        <v>35</v>
      </c>
      <c r="C148">
        <v>8</v>
      </c>
      <c r="D148">
        <v>45</v>
      </c>
      <c r="E148">
        <v>20</v>
      </c>
      <c r="F148">
        <v>0</v>
      </c>
      <c r="G148">
        <v>1113</v>
      </c>
      <c r="H148">
        <v>90</v>
      </c>
    </row>
    <row r="149" spans="1:8">
      <c r="A149" s="6"/>
      <c r="B149">
        <v>36</v>
      </c>
      <c r="C149">
        <v>5</v>
      </c>
      <c r="D149">
        <v>35</v>
      </c>
      <c r="E149">
        <v>10</v>
      </c>
      <c r="F149">
        <v>283</v>
      </c>
      <c r="G149">
        <v>344</v>
      </c>
      <c r="H149">
        <v>90</v>
      </c>
    </row>
    <row r="150" spans="1:8">
      <c r="A150" s="6"/>
      <c r="B150">
        <v>37</v>
      </c>
      <c r="C150">
        <v>5</v>
      </c>
      <c r="D150">
        <v>45</v>
      </c>
      <c r="E150">
        <v>10</v>
      </c>
      <c r="F150">
        <v>665</v>
      </c>
      <c r="G150">
        <v>716</v>
      </c>
      <c r="H150">
        <v>90</v>
      </c>
    </row>
    <row r="151" spans="1:8">
      <c r="A151" s="6"/>
      <c r="B151">
        <v>38</v>
      </c>
      <c r="C151">
        <v>2</v>
      </c>
      <c r="D151">
        <v>40</v>
      </c>
      <c r="E151">
        <v>20</v>
      </c>
      <c r="F151">
        <v>0</v>
      </c>
      <c r="G151">
        <v>1106</v>
      </c>
      <c r="H151">
        <v>90</v>
      </c>
    </row>
    <row r="152" spans="1:8">
      <c r="A152" s="6"/>
      <c r="B152">
        <v>39</v>
      </c>
      <c r="C152">
        <v>0</v>
      </c>
      <c r="D152">
        <v>40</v>
      </c>
      <c r="E152">
        <v>30</v>
      </c>
      <c r="F152">
        <v>479</v>
      </c>
      <c r="G152">
        <v>522</v>
      </c>
      <c r="H152">
        <v>90</v>
      </c>
    </row>
    <row r="153" spans="1:8">
      <c r="A153" s="6"/>
      <c r="B153">
        <v>40</v>
      </c>
      <c r="C153">
        <v>0</v>
      </c>
      <c r="D153">
        <v>45</v>
      </c>
      <c r="E153">
        <v>20</v>
      </c>
      <c r="F153">
        <v>567</v>
      </c>
      <c r="G153">
        <v>624</v>
      </c>
      <c r="H153">
        <v>90</v>
      </c>
    </row>
    <row r="154" spans="1:8">
      <c r="A154" s="6"/>
      <c r="B154">
        <v>41</v>
      </c>
      <c r="C154">
        <v>35</v>
      </c>
      <c r="D154">
        <v>30</v>
      </c>
      <c r="E154">
        <v>10</v>
      </c>
      <c r="F154">
        <v>264</v>
      </c>
      <c r="G154">
        <v>321</v>
      </c>
      <c r="H154">
        <v>90</v>
      </c>
    </row>
    <row r="155" spans="1:8">
      <c r="A155" s="6"/>
      <c r="B155">
        <v>42</v>
      </c>
      <c r="C155">
        <v>35</v>
      </c>
      <c r="D155">
        <v>32</v>
      </c>
      <c r="E155">
        <v>10</v>
      </c>
      <c r="F155">
        <v>166</v>
      </c>
      <c r="G155">
        <v>235</v>
      </c>
      <c r="H155">
        <v>90</v>
      </c>
    </row>
    <row r="156" spans="1:8">
      <c r="A156" s="6"/>
      <c r="B156">
        <v>43</v>
      </c>
      <c r="C156">
        <v>33</v>
      </c>
      <c r="D156">
        <v>32</v>
      </c>
      <c r="E156">
        <v>20</v>
      </c>
      <c r="F156">
        <v>68</v>
      </c>
      <c r="G156">
        <v>149</v>
      </c>
      <c r="H156">
        <v>90</v>
      </c>
    </row>
    <row r="157" spans="1:8">
      <c r="A157" s="6"/>
      <c r="B157">
        <v>44</v>
      </c>
      <c r="C157">
        <v>33</v>
      </c>
      <c r="D157">
        <v>35</v>
      </c>
      <c r="E157">
        <v>10</v>
      </c>
      <c r="F157">
        <v>16</v>
      </c>
      <c r="G157">
        <v>80</v>
      </c>
      <c r="H157">
        <v>90</v>
      </c>
    </row>
    <row r="158" spans="1:8">
      <c r="A158" s="6"/>
      <c r="B158">
        <v>45</v>
      </c>
      <c r="C158">
        <v>32</v>
      </c>
      <c r="D158">
        <v>30</v>
      </c>
      <c r="E158">
        <v>10</v>
      </c>
      <c r="F158">
        <v>359</v>
      </c>
      <c r="G158">
        <v>412</v>
      </c>
      <c r="H158">
        <v>90</v>
      </c>
    </row>
    <row r="159" spans="1:8">
      <c r="A159" s="6"/>
      <c r="B159">
        <v>46</v>
      </c>
      <c r="C159">
        <v>30</v>
      </c>
      <c r="D159">
        <v>30</v>
      </c>
      <c r="E159">
        <v>10</v>
      </c>
      <c r="F159">
        <v>541</v>
      </c>
      <c r="G159">
        <v>600</v>
      </c>
      <c r="H159">
        <v>90</v>
      </c>
    </row>
    <row r="160" spans="1:8">
      <c r="A160" s="6"/>
      <c r="B160">
        <v>47</v>
      </c>
      <c r="C160">
        <v>30</v>
      </c>
      <c r="D160">
        <v>32</v>
      </c>
      <c r="E160">
        <v>30</v>
      </c>
      <c r="F160">
        <v>448</v>
      </c>
      <c r="G160">
        <v>509</v>
      </c>
      <c r="H160">
        <v>90</v>
      </c>
    </row>
    <row r="161" spans="1:8">
      <c r="A161" s="6"/>
      <c r="B161">
        <v>48</v>
      </c>
      <c r="C161">
        <v>30</v>
      </c>
      <c r="D161">
        <v>35</v>
      </c>
      <c r="E161">
        <v>10</v>
      </c>
      <c r="F161">
        <v>1054</v>
      </c>
      <c r="G161">
        <v>1127</v>
      </c>
      <c r="H161">
        <v>90</v>
      </c>
    </row>
    <row r="162" spans="1:8">
      <c r="A162" s="6"/>
      <c r="B162">
        <v>49</v>
      </c>
      <c r="C162">
        <v>28</v>
      </c>
      <c r="D162">
        <v>30</v>
      </c>
      <c r="E162">
        <v>10</v>
      </c>
      <c r="F162">
        <v>0</v>
      </c>
      <c r="G162">
        <v>1122</v>
      </c>
      <c r="H162">
        <v>90</v>
      </c>
    </row>
    <row r="163" spans="1:8">
      <c r="A163" s="6"/>
      <c r="B163">
        <v>50</v>
      </c>
      <c r="C163">
        <v>28</v>
      </c>
      <c r="D163">
        <v>35</v>
      </c>
      <c r="E163">
        <v>10</v>
      </c>
      <c r="F163">
        <v>1001</v>
      </c>
      <c r="G163">
        <v>1066</v>
      </c>
      <c r="H163">
        <v>90</v>
      </c>
    </row>
    <row r="164" spans="1:8">
      <c r="A164" s="6"/>
      <c r="B164">
        <v>51</v>
      </c>
      <c r="C164">
        <v>26</v>
      </c>
      <c r="D164">
        <v>32</v>
      </c>
      <c r="E164">
        <v>10</v>
      </c>
      <c r="F164">
        <v>0</v>
      </c>
      <c r="G164">
        <v>1123</v>
      </c>
      <c r="H164">
        <v>90</v>
      </c>
    </row>
    <row r="165" spans="1:8">
      <c r="A165" s="6"/>
      <c r="B165">
        <v>52</v>
      </c>
      <c r="C165">
        <v>25</v>
      </c>
      <c r="D165">
        <v>30</v>
      </c>
      <c r="E165">
        <v>10</v>
      </c>
      <c r="F165">
        <v>725</v>
      </c>
      <c r="G165">
        <v>786</v>
      </c>
      <c r="H165">
        <v>90</v>
      </c>
    </row>
    <row r="166" spans="1:8">
      <c r="A166" s="6"/>
      <c r="B166">
        <v>53</v>
      </c>
      <c r="C166">
        <v>25</v>
      </c>
      <c r="D166">
        <v>35</v>
      </c>
      <c r="E166">
        <v>10</v>
      </c>
      <c r="F166">
        <v>0</v>
      </c>
      <c r="G166">
        <v>1124</v>
      </c>
      <c r="H166">
        <v>90</v>
      </c>
    </row>
    <row r="167" spans="1:8">
      <c r="A167" s="6"/>
      <c r="B167">
        <v>54</v>
      </c>
      <c r="C167">
        <v>44</v>
      </c>
      <c r="D167">
        <v>5</v>
      </c>
      <c r="E167">
        <v>20</v>
      </c>
      <c r="F167">
        <v>286</v>
      </c>
      <c r="G167">
        <v>347</v>
      </c>
      <c r="H167">
        <v>90</v>
      </c>
    </row>
    <row r="168" spans="1:8">
      <c r="A168" s="6"/>
      <c r="B168">
        <v>55</v>
      </c>
      <c r="C168">
        <v>42</v>
      </c>
      <c r="D168">
        <v>10</v>
      </c>
      <c r="E168">
        <v>40</v>
      </c>
      <c r="F168">
        <v>186</v>
      </c>
      <c r="G168">
        <v>257</v>
      </c>
      <c r="H168">
        <v>90</v>
      </c>
    </row>
    <row r="169" spans="1:8">
      <c r="A169" s="6"/>
      <c r="B169">
        <v>56</v>
      </c>
      <c r="C169">
        <v>42</v>
      </c>
      <c r="D169">
        <v>15</v>
      </c>
      <c r="E169">
        <v>10</v>
      </c>
      <c r="F169">
        <v>95</v>
      </c>
      <c r="G169">
        <v>158</v>
      </c>
      <c r="H169">
        <v>90</v>
      </c>
    </row>
    <row r="170" spans="1:8">
      <c r="A170" s="6"/>
      <c r="B170">
        <v>57</v>
      </c>
      <c r="C170">
        <v>40</v>
      </c>
      <c r="D170">
        <v>5</v>
      </c>
      <c r="E170">
        <v>30</v>
      </c>
      <c r="F170">
        <v>385</v>
      </c>
      <c r="G170">
        <v>436</v>
      </c>
      <c r="H170">
        <v>90</v>
      </c>
    </row>
    <row r="171" spans="1:8">
      <c r="A171" s="6"/>
      <c r="B171">
        <v>58</v>
      </c>
      <c r="C171">
        <v>40</v>
      </c>
      <c r="D171">
        <v>15</v>
      </c>
      <c r="E171">
        <v>40</v>
      </c>
      <c r="F171">
        <v>35</v>
      </c>
      <c r="G171">
        <v>87</v>
      </c>
      <c r="H171">
        <v>90</v>
      </c>
    </row>
    <row r="172" spans="1:8">
      <c r="A172" s="6"/>
      <c r="B172">
        <v>59</v>
      </c>
      <c r="C172">
        <v>38</v>
      </c>
      <c r="D172">
        <v>5</v>
      </c>
      <c r="E172">
        <v>30</v>
      </c>
      <c r="F172">
        <v>471</v>
      </c>
      <c r="G172">
        <v>534</v>
      </c>
      <c r="H172">
        <v>90</v>
      </c>
    </row>
    <row r="173" spans="1:8">
      <c r="A173" s="6"/>
      <c r="B173">
        <v>60</v>
      </c>
      <c r="C173">
        <v>38</v>
      </c>
      <c r="D173">
        <v>15</v>
      </c>
      <c r="E173">
        <v>10</v>
      </c>
      <c r="F173">
        <v>0</v>
      </c>
      <c r="G173">
        <v>1110</v>
      </c>
      <c r="H173">
        <v>90</v>
      </c>
    </row>
    <row r="174" spans="1:8">
      <c r="A174" s="6"/>
      <c r="B174">
        <v>61</v>
      </c>
      <c r="C174">
        <v>35</v>
      </c>
      <c r="D174">
        <v>5</v>
      </c>
      <c r="E174">
        <v>20</v>
      </c>
      <c r="F174">
        <v>562</v>
      </c>
      <c r="G174">
        <v>629</v>
      </c>
      <c r="H174">
        <v>90</v>
      </c>
    </row>
    <row r="175" spans="1:8">
      <c r="A175" s="6"/>
      <c r="B175">
        <v>62</v>
      </c>
      <c r="C175">
        <v>50</v>
      </c>
      <c r="D175">
        <v>30</v>
      </c>
      <c r="E175">
        <v>10</v>
      </c>
      <c r="F175">
        <v>531</v>
      </c>
      <c r="G175">
        <v>610</v>
      </c>
      <c r="H175">
        <v>90</v>
      </c>
    </row>
    <row r="176" spans="1:8">
      <c r="A176" s="6"/>
      <c r="B176">
        <v>63</v>
      </c>
      <c r="C176">
        <v>50</v>
      </c>
      <c r="D176">
        <v>35</v>
      </c>
      <c r="E176">
        <v>20</v>
      </c>
      <c r="F176">
        <v>262</v>
      </c>
      <c r="G176">
        <v>317</v>
      </c>
      <c r="H176">
        <v>90</v>
      </c>
    </row>
    <row r="177" spans="1:8">
      <c r="A177" s="6"/>
      <c r="B177">
        <v>64</v>
      </c>
      <c r="C177">
        <v>50</v>
      </c>
      <c r="D177">
        <v>40</v>
      </c>
      <c r="E177">
        <v>50</v>
      </c>
      <c r="F177">
        <v>171</v>
      </c>
      <c r="G177">
        <v>218</v>
      </c>
      <c r="H177">
        <v>90</v>
      </c>
    </row>
    <row r="178" spans="1:8">
      <c r="A178" s="6"/>
      <c r="B178">
        <v>65</v>
      </c>
      <c r="C178">
        <v>48</v>
      </c>
      <c r="D178">
        <v>30</v>
      </c>
      <c r="E178">
        <v>10</v>
      </c>
      <c r="F178">
        <v>632</v>
      </c>
      <c r="G178">
        <v>693</v>
      </c>
      <c r="H178">
        <v>90</v>
      </c>
    </row>
    <row r="179" spans="1:8">
      <c r="A179" s="6"/>
      <c r="B179">
        <v>66</v>
      </c>
      <c r="C179">
        <v>48</v>
      </c>
      <c r="D179">
        <v>40</v>
      </c>
      <c r="E179">
        <v>10</v>
      </c>
      <c r="F179">
        <v>76</v>
      </c>
      <c r="G179">
        <v>129</v>
      </c>
      <c r="H179">
        <v>90</v>
      </c>
    </row>
    <row r="180" spans="1:8">
      <c r="A180" s="6"/>
      <c r="B180">
        <v>67</v>
      </c>
      <c r="C180">
        <v>47</v>
      </c>
      <c r="D180">
        <v>35</v>
      </c>
      <c r="E180">
        <v>10</v>
      </c>
      <c r="F180">
        <v>826</v>
      </c>
      <c r="G180">
        <v>875</v>
      </c>
      <c r="H180">
        <v>90</v>
      </c>
    </row>
    <row r="181" spans="1:8">
      <c r="A181" s="6"/>
      <c r="B181">
        <v>68</v>
      </c>
      <c r="C181">
        <v>47</v>
      </c>
      <c r="D181">
        <v>40</v>
      </c>
      <c r="E181">
        <v>10</v>
      </c>
      <c r="F181">
        <v>12</v>
      </c>
      <c r="G181">
        <v>77</v>
      </c>
      <c r="H181">
        <v>90</v>
      </c>
    </row>
    <row r="182" spans="1:8">
      <c r="A182" s="6"/>
      <c r="B182">
        <v>69</v>
      </c>
      <c r="C182">
        <v>45</v>
      </c>
      <c r="D182">
        <v>30</v>
      </c>
      <c r="E182">
        <v>10</v>
      </c>
      <c r="F182">
        <v>734</v>
      </c>
      <c r="G182">
        <v>777</v>
      </c>
      <c r="H182">
        <v>90</v>
      </c>
    </row>
    <row r="183" spans="1:8">
      <c r="A183" s="6"/>
      <c r="B183">
        <v>70</v>
      </c>
      <c r="C183">
        <v>45</v>
      </c>
      <c r="D183">
        <v>35</v>
      </c>
      <c r="E183">
        <v>10</v>
      </c>
      <c r="F183">
        <v>916</v>
      </c>
      <c r="G183">
        <v>969</v>
      </c>
      <c r="H183">
        <v>90</v>
      </c>
    </row>
    <row r="184" spans="1:8">
      <c r="A184" s="6"/>
      <c r="B184">
        <v>71</v>
      </c>
      <c r="C184">
        <v>95</v>
      </c>
      <c r="D184">
        <v>30</v>
      </c>
      <c r="E184">
        <v>30</v>
      </c>
      <c r="F184">
        <v>387</v>
      </c>
      <c r="G184">
        <v>456</v>
      </c>
      <c r="H184">
        <v>90</v>
      </c>
    </row>
    <row r="185" spans="1:8">
      <c r="A185" s="6"/>
      <c r="B185">
        <v>72</v>
      </c>
      <c r="C185">
        <v>95</v>
      </c>
      <c r="D185">
        <v>35</v>
      </c>
      <c r="E185">
        <v>20</v>
      </c>
      <c r="F185">
        <v>293</v>
      </c>
      <c r="G185">
        <v>360</v>
      </c>
      <c r="H185">
        <v>90</v>
      </c>
    </row>
    <row r="186" spans="1:8">
      <c r="A186" s="6"/>
      <c r="B186">
        <v>73</v>
      </c>
      <c r="C186">
        <v>53</v>
      </c>
      <c r="D186">
        <v>30</v>
      </c>
      <c r="E186">
        <v>10</v>
      </c>
      <c r="F186">
        <v>0</v>
      </c>
      <c r="G186">
        <v>1122</v>
      </c>
      <c r="H186">
        <v>90</v>
      </c>
    </row>
    <row r="187" spans="1:8">
      <c r="A187" s="6"/>
      <c r="B187">
        <v>74</v>
      </c>
      <c r="C187">
        <v>92</v>
      </c>
      <c r="D187">
        <v>30</v>
      </c>
      <c r="E187">
        <v>10</v>
      </c>
      <c r="F187">
        <v>478</v>
      </c>
      <c r="G187">
        <v>551</v>
      </c>
      <c r="H187">
        <v>90</v>
      </c>
    </row>
    <row r="188" spans="1:8">
      <c r="A188" s="6"/>
      <c r="B188">
        <v>75</v>
      </c>
      <c r="C188">
        <v>53</v>
      </c>
      <c r="D188">
        <v>35</v>
      </c>
      <c r="E188">
        <v>50</v>
      </c>
      <c r="F188">
        <v>353</v>
      </c>
      <c r="G188">
        <v>412</v>
      </c>
      <c r="H188">
        <v>90</v>
      </c>
    </row>
    <row r="189" spans="1:8">
      <c r="A189" s="6"/>
      <c r="B189">
        <v>76</v>
      </c>
      <c r="C189">
        <v>45</v>
      </c>
      <c r="D189">
        <v>65</v>
      </c>
      <c r="E189">
        <v>20</v>
      </c>
      <c r="F189">
        <v>0</v>
      </c>
      <c r="G189">
        <v>1130</v>
      </c>
      <c r="H189">
        <v>90</v>
      </c>
    </row>
    <row r="190" spans="1:8">
      <c r="A190" s="6"/>
      <c r="B190">
        <v>77</v>
      </c>
      <c r="C190">
        <v>90</v>
      </c>
      <c r="D190">
        <v>35</v>
      </c>
      <c r="E190">
        <v>10</v>
      </c>
      <c r="F190">
        <v>203</v>
      </c>
      <c r="G190">
        <v>260</v>
      </c>
      <c r="H190">
        <v>90</v>
      </c>
    </row>
    <row r="191" spans="1:8">
      <c r="A191" s="6"/>
      <c r="B191">
        <v>78</v>
      </c>
      <c r="C191">
        <v>88</v>
      </c>
      <c r="D191">
        <v>30</v>
      </c>
      <c r="E191">
        <v>10</v>
      </c>
      <c r="F191">
        <v>574</v>
      </c>
      <c r="G191">
        <v>643</v>
      </c>
      <c r="H191">
        <v>90</v>
      </c>
    </row>
    <row r="192" spans="1:8">
      <c r="A192" s="6"/>
      <c r="B192">
        <v>79</v>
      </c>
      <c r="C192">
        <v>88</v>
      </c>
      <c r="D192">
        <v>35</v>
      </c>
      <c r="E192">
        <v>20</v>
      </c>
      <c r="F192">
        <v>109</v>
      </c>
      <c r="G192">
        <v>170</v>
      </c>
      <c r="H192">
        <v>90</v>
      </c>
    </row>
    <row r="193" spans="1:8">
      <c r="A193" s="6"/>
      <c r="B193">
        <v>80</v>
      </c>
      <c r="C193">
        <v>87</v>
      </c>
      <c r="D193">
        <v>30</v>
      </c>
      <c r="E193">
        <v>10</v>
      </c>
      <c r="F193">
        <v>668</v>
      </c>
      <c r="G193">
        <v>731</v>
      </c>
      <c r="H193">
        <v>90</v>
      </c>
    </row>
    <row r="194" spans="1:8">
      <c r="A194" s="6"/>
      <c r="B194">
        <v>81</v>
      </c>
      <c r="C194">
        <v>85</v>
      </c>
      <c r="D194">
        <v>25</v>
      </c>
      <c r="E194">
        <v>10</v>
      </c>
      <c r="F194">
        <v>769</v>
      </c>
      <c r="G194">
        <v>820</v>
      </c>
      <c r="H194">
        <v>90</v>
      </c>
    </row>
    <row r="195" spans="1:8">
      <c r="A195" s="6"/>
      <c r="B195">
        <v>82</v>
      </c>
      <c r="C195">
        <v>85</v>
      </c>
      <c r="D195">
        <v>35</v>
      </c>
      <c r="E195">
        <v>30</v>
      </c>
      <c r="F195">
        <v>47</v>
      </c>
      <c r="G195">
        <v>124</v>
      </c>
      <c r="H195">
        <v>90</v>
      </c>
    </row>
    <row r="196" spans="1:8">
      <c r="A196" s="6"/>
      <c r="B196">
        <v>83</v>
      </c>
      <c r="C196">
        <v>75</v>
      </c>
      <c r="D196">
        <v>55</v>
      </c>
      <c r="E196">
        <v>20</v>
      </c>
      <c r="F196">
        <v>0</v>
      </c>
      <c r="G196">
        <v>1110</v>
      </c>
      <c r="H196">
        <v>90</v>
      </c>
    </row>
    <row r="197" spans="1:8">
      <c r="A197" s="6"/>
      <c r="B197">
        <v>84</v>
      </c>
      <c r="C197">
        <v>72</v>
      </c>
      <c r="D197">
        <v>55</v>
      </c>
      <c r="E197">
        <v>10</v>
      </c>
      <c r="F197">
        <v>0</v>
      </c>
      <c r="G197">
        <v>1113</v>
      </c>
      <c r="H197">
        <v>90</v>
      </c>
    </row>
    <row r="198" spans="1:8">
      <c r="A198" s="6"/>
      <c r="B198">
        <v>85</v>
      </c>
      <c r="C198">
        <v>70</v>
      </c>
      <c r="D198">
        <v>58</v>
      </c>
      <c r="E198">
        <v>20</v>
      </c>
      <c r="F198">
        <v>458</v>
      </c>
      <c r="G198">
        <v>523</v>
      </c>
      <c r="H198">
        <v>90</v>
      </c>
    </row>
    <row r="199" spans="1:8">
      <c r="A199" s="6"/>
      <c r="B199">
        <v>86</v>
      </c>
      <c r="C199">
        <v>68</v>
      </c>
      <c r="D199">
        <v>60</v>
      </c>
      <c r="E199">
        <v>30</v>
      </c>
      <c r="F199">
        <v>0</v>
      </c>
      <c r="G199">
        <v>1116</v>
      </c>
      <c r="H199">
        <v>90</v>
      </c>
    </row>
    <row r="200" spans="1:8">
      <c r="A200" s="6"/>
      <c r="B200">
        <v>87</v>
      </c>
      <c r="C200">
        <v>66</v>
      </c>
      <c r="D200">
        <v>55</v>
      </c>
      <c r="E200">
        <v>10</v>
      </c>
      <c r="F200">
        <v>173</v>
      </c>
      <c r="G200">
        <v>238</v>
      </c>
      <c r="H200">
        <v>90</v>
      </c>
    </row>
    <row r="201" spans="1:8">
      <c r="A201" s="6"/>
      <c r="B201">
        <v>88</v>
      </c>
      <c r="C201">
        <v>65</v>
      </c>
      <c r="D201">
        <v>55</v>
      </c>
      <c r="E201">
        <v>20</v>
      </c>
      <c r="F201">
        <v>85</v>
      </c>
      <c r="G201">
        <v>144</v>
      </c>
      <c r="H201">
        <v>90</v>
      </c>
    </row>
    <row r="202" spans="1:8">
      <c r="A202" s="6"/>
      <c r="B202">
        <v>89</v>
      </c>
      <c r="C202">
        <v>65</v>
      </c>
      <c r="D202">
        <v>60</v>
      </c>
      <c r="E202">
        <v>30</v>
      </c>
      <c r="F202">
        <v>645</v>
      </c>
      <c r="G202">
        <v>708</v>
      </c>
      <c r="H202">
        <v>90</v>
      </c>
    </row>
    <row r="203" spans="1:8">
      <c r="A203" s="6"/>
      <c r="B203">
        <v>90</v>
      </c>
      <c r="C203">
        <v>63</v>
      </c>
      <c r="D203">
        <v>58</v>
      </c>
      <c r="E203">
        <v>10</v>
      </c>
      <c r="F203">
        <v>737</v>
      </c>
      <c r="G203">
        <v>802</v>
      </c>
      <c r="H203">
        <v>90</v>
      </c>
    </row>
    <row r="204" spans="1:8">
      <c r="A204" s="6"/>
      <c r="B204">
        <v>91</v>
      </c>
      <c r="C204">
        <v>60</v>
      </c>
      <c r="D204">
        <v>55</v>
      </c>
      <c r="E204">
        <v>10</v>
      </c>
      <c r="F204">
        <v>20</v>
      </c>
      <c r="G204">
        <v>84</v>
      </c>
      <c r="H204">
        <v>90</v>
      </c>
    </row>
    <row r="205" spans="1:8">
      <c r="A205" s="6"/>
      <c r="B205">
        <v>92</v>
      </c>
      <c r="C205">
        <v>60</v>
      </c>
      <c r="D205">
        <v>60</v>
      </c>
      <c r="E205">
        <v>10</v>
      </c>
      <c r="F205">
        <v>0</v>
      </c>
      <c r="G205">
        <v>1123</v>
      </c>
      <c r="H205">
        <v>90</v>
      </c>
    </row>
    <row r="206" spans="1:8">
      <c r="A206" s="6"/>
      <c r="B206">
        <v>93</v>
      </c>
      <c r="C206">
        <v>67</v>
      </c>
      <c r="D206">
        <v>85</v>
      </c>
      <c r="E206">
        <v>20</v>
      </c>
      <c r="F206">
        <v>368</v>
      </c>
      <c r="G206">
        <v>441</v>
      </c>
      <c r="H206">
        <v>90</v>
      </c>
    </row>
    <row r="207" spans="1:8">
      <c r="A207" s="6"/>
      <c r="B207">
        <v>94</v>
      </c>
      <c r="C207">
        <v>65</v>
      </c>
      <c r="D207">
        <v>85</v>
      </c>
      <c r="E207">
        <v>40</v>
      </c>
      <c r="F207">
        <v>475</v>
      </c>
      <c r="G207">
        <v>518</v>
      </c>
      <c r="H207">
        <v>90</v>
      </c>
    </row>
    <row r="208" spans="1:8">
      <c r="A208" s="6"/>
      <c r="B208">
        <v>95</v>
      </c>
      <c r="C208">
        <v>65</v>
      </c>
      <c r="D208">
        <v>82</v>
      </c>
      <c r="E208">
        <v>10</v>
      </c>
      <c r="F208">
        <v>0</v>
      </c>
      <c r="G208">
        <v>1105</v>
      </c>
      <c r="H208">
        <v>90</v>
      </c>
    </row>
    <row r="209" spans="1:8">
      <c r="A209" s="6"/>
      <c r="B209">
        <v>96</v>
      </c>
      <c r="C209">
        <v>62</v>
      </c>
      <c r="D209">
        <v>80</v>
      </c>
      <c r="E209">
        <v>30</v>
      </c>
      <c r="F209">
        <v>0</v>
      </c>
      <c r="G209">
        <v>1108</v>
      </c>
      <c r="H209">
        <v>90</v>
      </c>
    </row>
    <row r="210" spans="1:8">
      <c r="A210" s="6"/>
      <c r="B210">
        <v>97</v>
      </c>
      <c r="C210">
        <v>60</v>
      </c>
      <c r="D210">
        <v>80</v>
      </c>
      <c r="E210">
        <v>10</v>
      </c>
      <c r="F210">
        <v>0</v>
      </c>
      <c r="G210">
        <v>1109</v>
      </c>
      <c r="H210">
        <v>90</v>
      </c>
    </row>
    <row r="211" spans="1:8">
      <c r="A211" s="6"/>
      <c r="B211">
        <v>98</v>
      </c>
      <c r="C211">
        <v>60</v>
      </c>
      <c r="D211">
        <v>85</v>
      </c>
      <c r="E211">
        <v>30</v>
      </c>
      <c r="F211">
        <v>561</v>
      </c>
      <c r="G211">
        <v>622</v>
      </c>
      <c r="H211">
        <v>90</v>
      </c>
    </row>
    <row r="212" spans="1:8">
      <c r="A212" s="6"/>
      <c r="B212">
        <v>99</v>
      </c>
      <c r="C212">
        <v>58</v>
      </c>
      <c r="D212">
        <v>75</v>
      </c>
      <c r="E212">
        <v>20</v>
      </c>
      <c r="F212">
        <v>0</v>
      </c>
      <c r="G212">
        <v>1115</v>
      </c>
      <c r="H212">
        <v>90</v>
      </c>
    </row>
    <row r="213" spans="1:8">
      <c r="A213" s="6"/>
      <c r="B213">
        <v>100</v>
      </c>
      <c r="C213">
        <v>55</v>
      </c>
      <c r="D213">
        <v>80</v>
      </c>
      <c r="E213">
        <v>10</v>
      </c>
      <c r="F213">
        <v>743</v>
      </c>
      <c r="G213">
        <v>820</v>
      </c>
      <c r="H213">
        <v>90</v>
      </c>
    </row>
    <row r="214" spans="1:8">
      <c r="A214" s="6"/>
      <c r="B214">
        <v>101</v>
      </c>
      <c r="C214">
        <v>55</v>
      </c>
      <c r="D214">
        <v>85</v>
      </c>
      <c r="E214">
        <v>20</v>
      </c>
      <c r="F214">
        <v>647</v>
      </c>
      <c r="G214">
        <v>726</v>
      </c>
      <c r="H214">
        <v>90</v>
      </c>
    </row>
    <row r="218" spans="1:8" ht="17.399999999999999">
      <c r="A218" s="7" t="s">
        <v>38</v>
      </c>
    </row>
    <row r="219" spans="1:8">
      <c r="A219" s="4"/>
      <c r="B219" t="s">
        <v>32</v>
      </c>
      <c r="C219" t="s">
        <v>26</v>
      </c>
      <c r="D219" t="s">
        <v>27</v>
      </c>
      <c r="E219" t="s">
        <v>28</v>
      </c>
      <c r="F219" t="s">
        <v>29</v>
      </c>
      <c r="G219" t="s">
        <v>30</v>
      </c>
      <c r="H219" t="s">
        <v>31</v>
      </c>
    </row>
    <row r="220" spans="1:8">
      <c r="A220" s="6"/>
      <c r="B220">
        <v>1</v>
      </c>
      <c r="C220">
        <v>40</v>
      </c>
      <c r="D220">
        <v>50</v>
      </c>
      <c r="E220">
        <v>0</v>
      </c>
      <c r="F220">
        <v>0</v>
      </c>
      <c r="G220">
        <v>1236</v>
      </c>
      <c r="H220">
        <v>0</v>
      </c>
    </row>
    <row r="221" spans="1:8">
      <c r="A221" s="6"/>
      <c r="B221">
        <v>2</v>
      </c>
      <c r="C221">
        <v>45</v>
      </c>
      <c r="D221">
        <v>68</v>
      </c>
      <c r="E221">
        <v>10</v>
      </c>
      <c r="F221">
        <v>0</v>
      </c>
      <c r="G221">
        <v>1127</v>
      </c>
      <c r="H221">
        <v>90</v>
      </c>
    </row>
    <row r="222" spans="1:8">
      <c r="A222" s="6"/>
      <c r="B222">
        <v>3</v>
      </c>
      <c r="C222">
        <v>45</v>
      </c>
      <c r="D222">
        <v>70</v>
      </c>
      <c r="E222">
        <v>30</v>
      </c>
      <c r="F222">
        <v>0</v>
      </c>
      <c r="G222">
        <v>1125</v>
      </c>
      <c r="H222">
        <v>90</v>
      </c>
    </row>
    <row r="223" spans="1:8">
      <c r="A223" s="6"/>
      <c r="B223">
        <v>4</v>
      </c>
      <c r="C223">
        <v>42</v>
      </c>
      <c r="D223">
        <v>66</v>
      </c>
      <c r="E223">
        <v>10</v>
      </c>
      <c r="F223">
        <v>0</v>
      </c>
      <c r="G223">
        <v>1129</v>
      </c>
      <c r="H223">
        <v>90</v>
      </c>
    </row>
    <row r="224" spans="1:8">
      <c r="A224" s="6"/>
      <c r="B224">
        <v>5</v>
      </c>
      <c r="C224">
        <v>42</v>
      </c>
      <c r="D224">
        <v>68</v>
      </c>
      <c r="E224">
        <v>10</v>
      </c>
      <c r="F224">
        <v>727</v>
      </c>
      <c r="G224">
        <v>782</v>
      </c>
      <c r="H224">
        <v>90</v>
      </c>
    </row>
    <row r="225" spans="1:8">
      <c r="A225" s="6"/>
      <c r="B225">
        <v>6</v>
      </c>
      <c r="C225">
        <v>42</v>
      </c>
      <c r="D225">
        <v>65</v>
      </c>
      <c r="E225">
        <v>10</v>
      </c>
      <c r="F225">
        <v>0</v>
      </c>
      <c r="G225">
        <v>1130</v>
      </c>
      <c r="H225">
        <v>90</v>
      </c>
    </row>
    <row r="226" spans="1:8">
      <c r="A226" s="6"/>
      <c r="B226">
        <v>7</v>
      </c>
      <c r="C226">
        <v>40</v>
      </c>
      <c r="D226">
        <v>69</v>
      </c>
      <c r="E226">
        <v>20</v>
      </c>
      <c r="F226">
        <v>621</v>
      </c>
      <c r="G226">
        <v>702</v>
      </c>
      <c r="H226">
        <v>90</v>
      </c>
    </row>
    <row r="227" spans="1:8">
      <c r="A227" s="6"/>
      <c r="B227">
        <v>8</v>
      </c>
      <c r="C227">
        <v>40</v>
      </c>
      <c r="D227">
        <v>66</v>
      </c>
      <c r="E227">
        <v>20</v>
      </c>
      <c r="F227">
        <v>0</v>
      </c>
      <c r="G227">
        <v>1130</v>
      </c>
      <c r="H227">
        <v>90</v>
      </c>
    </row>
    <row r="228" spans="1:8">
      <c r="A228" s="6"/>
      <c r="B228">
        <v>9</v>
      </c>
      <c r="C228">
        <v>38</v>
      </c>
      <c r="D228">
        <v>68</v>
      </c>
      <c r="E228">
        <v>20</v>
      </c>
      <c r="F228">
        <v>255</v>
      </c>
      <c r="G228">
        <v>324</v>
      </c>
      <c r="H228">
        <v>90</v>
      </c>
    </row>
    <row r="229" spans="1:8">
      <c r="A229" s="6"/>
      <c r="B229">
        <v>10</v>
      </c>
      <c r="C229">
        <v>38</v>
      </c>
      <c r="D229">
        <v>70</v>
      </c>
      <c r="E229">
        <v>10</v>
      </c>
      <c r="F229">
        <v>534</v>
      </c>
      <c r="G229">
        <v>605</v>
      </c>
      <c r="H229">
        <v>90</v>
      </c>
    </row>
    <row r="230" spans="1:8">
      <c r="A230" s="6"/>
      <c r="B230">
        <v>11</v>
      </c>
      <c r="C230">
        <v>35</v>
      </c>
      <c r="D230">
        <v>66</v>
      </c>
      <c r="E230">
        <v>10</v>
      </c>
      <c r="F230">
        <v>357</v>
      </c>
      <c r="G230">
        <v>410</v>
      </c>
      <c r="H230">
        <v>90</v>
      </c>
    </row>
    <row r="231" spans="1:8">
      <c r="A231" s="6"/>
      <c r="B231">
        <v>12</v>
      </c>
      <c r="C231">
        <v>35</v>
      </c>
      <c r="D231">
        <v>69</v>
      </c>
      <c r="E231">
        <v>10</v>
      </c>
      <c r="F231">
        <v>448</v>
      </c>
      <c r="G231">
        <v>505</v>
      </c>
      <c r="H231">
        <v>90</v>
      </c>
    </row>
    <row r="232" spans="1:8">
      <c r="A232" s="6"/>
      <c r="B232">
        <v>13</v>
      </c>
      <c r="C232">
        <v>25</v>
      </c>
      <c r="D232">
        <v>85</v>
      </c>
      <c r="E232">
        <v>20</v>
      </c>
      <c r="F232">
        <v>0</v>
      </c>
      <c r="G232">
        <v>1107</v>
      </c>
      <c r="H232">
        <v>90</v>
      </c>
    </row>
    <row r="233" spans="1:8">
      <c r="A233" s="6"/>
      <c r="B233">
        <v>14</v>
      </c>
      <c r="C233">
        <v>22</v>
      </c>
      <c r="D233">
        <v>75</v>
      </c>
      <c r="E233">
        <v>30</v>
      </c>
      <c r="F233">
        <v>30</v>
      </c>
      <c r="G233">
        <v>92</v>
      </c>
      <c r="H233">
        <v>90</v>
      </c>
    </row>
    <row r="234" spans="1:8">
      <c r="A234" s="6"/>
      <c r="B234">
        <v>15</v>
      </c>
      <c r="C234">
        <v>22</v>
      </c>
      <c r="D234">
        <v>85</v>
      </c>
      <c r="E234">
        <v>10</v>
      </c>
      <c r="F234">
        <v>0</v>
      </c>
      <c r="G234">
        <v>1106</v>
      </c>
      <c r="H234">
        <v>90</v>
      </c>
    </row>
    <row r="235" spans="1:8">
      <c r="A235" s="6"/>
      <c r="B235">
        <v>16</v>
      </c>
      <c r="C235">
        <v>20</v>
      </c>
      <c r="D235">
        <v>80</v>
      </c>
      <c r="E235">
        <v>40</v>
      </c>
      <c r="F235">
        <v>384</v>
      </c>
      <c r="G235">
        <v>429</v>
      </c>
      <c r="H235">
        <v>90</v>
      </c>
    </row>
    <row r="236" spans="1:8">
      <c r="A236" s="6"/>
      <c r="B236">
        <v>17</v>
      </c>
      <c r="C236">
        <v>20</v>
      </c>
      <c r="D236">
        <v>85</v>
      </c>
      <c r="E236">
        <v>40</v>
      </c>
      <c r="F236">
        <v>0</v>
      </c>
      <c r="G236">
        <v>1105</v>
      </c>
      <c r="H236">
        <v>90</v>
      </c>
    </row>
    <row r="237" spans="1:8">
      <c r="A237" s="6"/>
      <c r="B237">
        <v>18</v>
      </c>
      <c r="C237">
        <v>18</v>
      </c>
      <c r="D237">
        <v>75</v>
      </c>
      <c r="E237">
        <v>20</v>
      </c>
      <c r="F237">
        <v>99</v>
      </c>
      <c r="G237">
        <v>148</v>
      </c>
      <c r="H237">
        <v>90</v>
      </c>
    </row>
    <row r="238" spans="1:8">
      <c r="A238" s="6"/>
      <c r="B238">
        <v>19</v>
      </c>
      <c r="C238">
        <v>15</v>
      </c>
      <c r="D238">
        <v>75</v>
      </c>
      <c r="E238">
        <v>20</v>
      </c>
      <c r="F238">
        <v>0</v>
      </c>
      <c r="G238">
        <v>1110</v>
      </c>
      <c r="H238">
        <v>90</v>
      </c>
    </row>
    <row r="239" spans="1:8">
      <c r="A239" s="6"/>
      <c r="B239">
        <v>20</v>
      </c>
      <c r="C239">
        <v>15</v>
      </c>
      <c r="D239">
        <v>80</v>
      </c>
      <c r="E239">
        <v>10</v>
      </c>
      <c r="F239">
        <v>0</v>
      </c>
      <c r="G239">
        <v>1106</v>
      </c>
      <c r="H239">
        <v>90</v>
      </c>
    </row>
    <row r="240" spans="1:8">
      <c r="A240" s="6"/>
      <c r="B240">
        <v>21</v>
      </c>
      <c r="C240">
        <v>30</v>
      </c>
      <c r="D240">
        <v>50</v>
      </c>
      <c r="E240">
        <v>10</v>
      </c>
      <c r="F240">
        <v>0</v>
      </c>
      <c r="G240">
        <v>1136</v>
      </c>
      <c r="H240">
        <v>90</v>
      </c>
    </row>
    <row r="241" spans="1:8">
      <c r="A241" s="6"/>
      <c r="B241">
        <v>22</v>
      </c>
      <c r="C241">
        <v>30</v>
      </c>
      <c r="D241">
        <v>52</v>
      </c>
      <c r="E241">
        <v>20</v>
      </c>
      <c r="F241">
        <v>0</v>
      </c>
      <c r="G241">
        <v>1135</v>
      </c>
      <c r="H241">
        <v>90</v>
      </c>
    </row>
    <row r="242" spans="1:8">
      <c r="A242" s="6"/>
      <c r="B242">
        <v>23</v>
      </c>
      <c r="C242">
        <v>28</v>
      </c>
      <c r="D242">
        <v>52</v>
      </c>
      <c r="E242">
        <v>20</v>
      </c>
      <c r="F242">
        <v>812</v>
      </c>
      <c r="G242">
        <v>883</v>
      </c>
      <c r="H242">
        <v>90</v>
      </c>
    </row>
    <row r="243" spans="1:8">
      <c r="A243" s="6"/>
      <c r="B243">
        <v>24</v>
      </c>
      <c r="C243">
        <v>28</v>
      </c>
      <c r="D243">
        <v>55</v>
      </c>
      <c r="E243">
        <v>10</v>
      </c>
      <c r="F243">
        <v>732</v>
      </c>
      <c r="G243">
        <v>777</v>
      </c>
      <c r="H243">
        <v>90</v>
      </c>
    </row>
    <row r="244" spans="1:8">
      <c r="A244" s="6"/>
      <c r="B244">
        <v>25</v>
      </c>
      <c r="C244">
        <v>25</v>
      </c>
      <c r="D244">
        <v>50</v>
      </c>
      <c r="E244">
        <v>10</v>
      </c>
      <c r="F244">
        <v>0</v>
      </c>
      <c r="G244">
        <v>1131</v>
      </c>
      <c r="H244">
        <v>90</v>
      </c>
    </row>
    <row r="245" spans="1:8">
      <c r="A245" s="6"/>
      <c r="B245">
        <v>26</v>
      </c>
      <c r="C245">
        <v>25</v>
      </c>
      <c r="D245">
        <v>52</v>
      </c>
      <c r="E245">
        <v>40</v>
      </c>
      <c r="F245">
        <v>169</v>
      </c>
      <c r="G245">
        <v>224</v>
      </c>
      <c r="H245">
        <v>90</v>
      </c>
    </row>
    <row r="246" spans="1:8">
      <c r="A246" s="6"/>
      <c r="B246">
        <v>27</v>
      </c>
      <c r="C246">
        <v>25</v>
      </c>
      <c r="D246">
        <v>55</v>
      </c>
      <c r="E246">
        <v>10</v>
      </c>
      <c r="F246">
        <v>0</v>
      </c>
      <c r="G246">
        <v>1130</v>
      </c>
      <c r="H246">
        <v>90</v>
      </c>
    </row>
    <row r="247" spans="1:8">
      <c r="A247" s="6"/>
      <c r="B247">
        <v>28</v>
      </c>
      <c r="C247">
        <v>23</v>
      </c>
      <c r="D247">
        <v>52</v>
      </c>
      <c r="E247">
        <v>10</v>
      </c>
      <c r="F247">
        <v>261</v>
      </c>
      <c r="G247">
        <v>316</v>
      </c>
      <c r="H247">
        <v>90</v>
      </c>
    </row>
    <row r="248" spans="1:8">
      <c r="A248" s="6"/>
      <c r="B248">
        <v>29</v>
      </c>
      <c r="C248">
        <v>23</v>
      </c>
      <c r="D248">
        <v>55</v>
      </c>
      <c r="E248">
        <v>20</v>
      </c>
      <c r="F248">
        <v>0</v>
      </c>
      <c r="G248">
        <v>1128</v>
      </c>
      <c r="H248">
        <v>90</v>
      </c>
    </row>
    <row r="249" spans="1:8">
      <c r="A249" s="6"/>
      <c r="B249">
        <v>30</v>
      </c>
      <c r="C249">
        <v>20</v>
      </c>
      <c r="D249">
        <v>50</v>
      </c>
      <c r="E249">
        <v>10</v>
      </c>
      <c r="F249">
        <v>0</v>
      </c>
      <c r="G249">
        <v>1126</v>
      </c>
      <c r="H249">
        <v>90</v>
      </c>
    </row>
    <row r="250" spans="1:8">
      <c r="A250" s="6"/>
      <c r="B250">
        <v>31</v>
      </c>
      <c r="C250">
        <v>20</v>
      </c>
      <c r="D250">
        <v>55</v>
      </c>
      <c r="E250">
        <v>10</v>
      </c>
      <c r="F250">
        <v>449</v>
      </c>
      <c r="G250">
        <v>504</v>
      </c>
      <c r="H250">
        <v>90</v>
      </c>
    </row>
    <row r="251" spans="1:8">
      <c r="A251" s="6"/>
      <c r="B251">
        <v>32</v>
      </c>
      <c r="C251">
        <v>10</v>
      </c>
      <c r="D251">
        <v>35</v>
      </c>
      <c r="E251">
        <v>20</v>
      </c>
      <c r="F251">
        <v>0</v>
      </c>
      <c r="G251">
        <v>1112</v>
      </c>
      <c r="H251">
        <v>90</v>
      </c>
    </row>
    <row r="252" spans="1:8">
      <c r="A252" s="6"/>
      <c r="B252">
        <v>33</v>
      </c>
      <c r="C252">
        <v>10</v>
      </c>
      <c r="D252">
        <v>40</v>
      </c>
      <c r="E252">
        <v>30</v>
      </c>
      <c r="F252">
        <v>0</v>
      </c>
      <c r="G252">
        <v>1114</v>
      </c>
      <c r="H252">
        <v>90</v>
      </c>
    </row>
    <row r="253" spans="1:8">
      <c r="A253" s="6"/>
      <c r="B253">
        <v>34</v>
      </c>
      <c r="C253">
        <v>8</v>
      </c>
      <c r="D253">
        <v>40</v>
      </c>
      <c r="E253">
        <v>40</v>
      </c>
      <c r="F253">
        <v>87</v>
      </c>
      <c r="G253">
        <v>158</v>
      </c>
      <c r="H253">
        <v>90</v>
      </c>
    </row>
    <row r="254" spans="1:8">
      <c r="A254" s="6"/>
      <c r="B254">
        <v>35</v>
      </c>
      <c r="C254">
        <v>8</v>
      </c>
      <c r="D254">
        <v>45</v>
      </c>
      <c r="E254">
        <v>20</v>
      </c>
      <c r="F254">
        <v>0</v>
      </c>
      <c r="G254">
        <v>1113</v>
      </c>
      <c r="H254">
        <v>90</v>
      </c>
    </row>
    <row r="255" spans="1:8">
      <c r="A255" s="6"/>
      <c r="B255">
        <v>36</v>
      </c>
      <c r="C255">
        <v>5</v>
      </c>
      <c r="D255">
        <v>35</v>
      </c>
      <c r="E255">
        <v>10</v>
      </c>
      <c r="F255">
        <v>283</v>
      </c>
      <c r="G255">
        <v>344</v>
      </c>
      <c r="H255">
        <v>90</v>
      </c>
    </row>
    <row r="256" spans="1:8">
      <c r="A256" s="6"/>
      <c r="B256">
        <v>37</v>
      </c>
      <c r="C256">
        <v>5</v>
      </c>
      <c r="D256">
        <v>45</v>
      </c>
      <c r="E256">
        <v>10</v>
      </c>
      <c r="F256">
        <v>665</v>
      </c>
      <c r="G256">
        <v>716</v>
      </c>
      <c r="H256">
        <v>90</v>
      </c>
    </row>
    <row r="257" spans="1:8">
      <c r="A257" s="6"/>
      <c r="B257">
        <v>38</v>
      </c>
      <c r="C257">
        <v>2</v>
      </c>
      <c r="D257">
        <v>40</v>
      </c>
      <c r="E257">
        <v>20</v>
      </c>
      <c r="F257">
        <v>0</v>
      </c>
      <c r="G257">
        <v>1106</v>
      </c>
      <c r="H257">
        <v>90</v>
      </c>
    </row>
    <row r="258" spans="1:8">
      <c r="A258" s="6"/>
      <c r="B258">
        <v>39</v>
      </c>
      <c r="C258">
        <v>0</v>
      </c>
      <c r="D258">
        <v>40</v>
      </c>
      <c r="E258">
        <v>30</v>
      </c>
      <c r="F258">
        <v>479</v>
      </c>
      <c r="G258">
        <v>522</v>
      </c>
      <c r="H258">
        <v>90</v>
      </c>
    </row>
    <row r="259" spans="1:8">
      <c r="A259" s="6"/>
      <c r="B259">
        <v>40</v>
      </c>
      <c r="C259">
        <v>0</v>
      </c>
      <c r="D259">
        <v>45</v>
      </c>
      <c r="E259">
        <v>20</v>
      </c>
      <c r="F259">
        <v>567</v>
      </c>
      <c r="G259">
        <v>624</v>
      </c>
      <c r="H259">
        <v>90</v>
      </c>
    </row>
    <row r="260" spans="1:8">
      <c r="A260" s="6"/>
      <c r="B260">
        <v>41</v>
      </c>
      <c r="C260">
        <v>35</v>
      </c>
      <c r="D260">
        <v>30</v>
      </c>
      <c r="E260">
        <v>10</v>
      </c>
      <c r="F260">
        <v>264</v>
      </c>
      <c r="G260">
        <v>321</v>
      </c>
      <c r="H260">
        <v>90</v>
      </c>
    </row>
    <row r="261" spans="1:8">
      <c r="A261" s="6"/>
      <c r="B261">
        <v>42</v>
      </c>
      <c r="C261">
        <v>35</v>
      </c>
      <c r="D261">
        <v>32</v>
      </c>
      <c r="E261">
        <v>10</v>
      </c>
      <c r="F261">
        <v>166</v>
      </c>
      <c r="G261">
        <v>235</v>
      </c>
      <c r="H261">
        <v>90</v>
      </c>
    </row>
    <row r="262" spans="1:8">
      <c r="A262" s="6"/>
      <c r="B262">
        <v>43</v>
      </c>
      <c r="C262">
        <v>33</v>
      </c>
      <c r="D262">
        <v>32</v>
      </c>
      <c r="E262">
        <v>20</v>
      </c>
      <c r="F262">
        <v>68</v>
      </c>
      <c r="G262">
        <v>149</v>
      </c>
      <c r="H262">
        <v>90</v>
      </c>
    </row>
    <row r="263" spans="1:8">
      <c r="A263" s="6"/>
      <c r="B263">
        <v>44</v>
      </c>
      <c r="C263">
        <v>33</v>
      </c>
      <c r="D263">
        <v>35</v>
      </c>
      <c r="E263">
        <v>10</v>
      </c>
      <c r="F263">
        <v>0</v>
      </c>
      <c r="G263">
        <v>1129</v>
      </c>
      <c r="H263">
        <v>90</v>
      </c>
    </row>
    <row r="264" spans="1:8">
      <c r="A264" s="6"/>
      <c r="B264">
        <v>45</v>
      </c>
      <c r="C264">
        <v>32</v>
      </c>
      <c r="D264">
        <v>30</v>
      </c>
      <c r="E264">
        <v>10</v>
      </c>
      <c r="F264">
        <v>359</v>
      </c>
      <c r="G264">
        <v>412</v>
      </c>
      <c r="H264">
        <v>90</v>
      </c>
    </row>
    <row r="265" spans="1:8">
      <c r="A265" s="6"/>
      <c r="B265">
        <v>46</v>
      </c>
      <c r="C265">
        <v>30</v>
      </c>
      <c r="D265">
        <v>30</v>
      </c>
      <c r="E265">
        <v>10</v>
      </c>
      <c r="F265">
        <v>541</v>
      </c>
      <c r="G265">
        <v>600</v>
      </c>
      <c r="H265">
        <v>90</v>
      </c>
    </row>
    <row r="266" spans="1:8">
      <c r="A266" s="6"/>
      <c r="B266">
        <v>47</v>
      </c>
      <c r="C266">
        <v>30</v>
      </c>
      <c r="D266">
        <v>32</v>
      </c>
      <c r="E266">
        <v>30</v>
      </c>
      <c r="F266">
        <v>0</v>
      </c>
      <c r="G266">
        <v>1125</v>
      </c>
      <c r="H266">
        <v>90</v>
      </c>
    </row>
    <row r="267" spans="1:8">
      <c r="A267" s="6"/>
      <c r="B267">
        <v>48</v>
      </c>
      <c r="C267">
        <v>30</v>
      </c>
      <c r="D267">
        <v>35</v>
      </c>
      <c r="E267">
        <v>10</v>
      </c>
      <c r="F267">
        <v>0</v>
      </c>
      <c r="G267">
        <v>1127</v>
      </c>
      <c r="H267">
        <v>90</v>
      </c>
    </row>
    <row r="268" spans="1:8">
      <c r="A268" s="6"/>
      <c r="B268">
        <v>49</v>
      </c>
      <c r="C268">
        <v>28</v>
      </c>
      <c r="D268">
        <v>30</v>
      </c>
      <c r="E268">
        <v>10</v>
      </c>
      <c r="F268">
        <v>0</v>
      </c>
      <c r="G268">
        <v>1122</v>
      </c>
      <c r="H268">
        <v>90</v>
      </c>
    </row>
    <row r="269" spans="1:8">
      <c r="A269" s="6"/>
      <c r="B269">
        <v>50</v>
      </c>
      <c r="C269">
        <v>28</v>
      </c>
      <c r="D269">
        <v>35</v>
      </c>
      <c r="E269">
        <v>10</v>
      </c>
      <c r="F269">
        <v>1001</v>
      </c>
      <c r="G269">
        <v>1066</v>
      </c>
      <c r="H269">
        <v>90</v>
      </c>
    </row>
    <row r="270" spans="1:8">
      <c r="A270" s="6"/>
      <c r="B270">
        <v>51</v>
      </c>
      <c r="C270">
        <v>26</v>
      </c>
      <c r="D270">
        <v>32</v>
      </c>
      <c r="E270">
        <v>10</v>
      </c>
      <c r="F270">
        <v>0</v>
      </c>
      <c r="G270">
        <v>1123</v>
      </c>
      <c r="H270">
        <v>90</v>
      </c>
    </row>
    <row r="271" spans="1:8">
      <c r="A271" s="6"/>
      <c r="B271">
        <v>52</v>
      </c>
      <c r="C271">
        <v>25</v>
      </c>
      <c r="D271">
        <v>30</v>
      </c>
      <c r="E271">
        <v>10</v>
      </c>
      <c r="F271">
        <v>0</v>
      </c>
      <c r="G271">
        <v>1121</v>
      </c>
      <c r="H271">
        <v>90</v>
      </c>
    </row>
    <row r="272" spans="1:8">
      <c r="A272" s="6"/>
      <c r="B272">
        <v>53</v>
      </c>
      <c r="C272">
        <v>25</v>
      </c>
      <c r="D272">
        <v>35</v>
      </c>
      <c r="E272">
        <v>10</v>
      </c>
      <c r="F272">
        <v>0</v>
      </c>
      <c r="G272">
        <v>1124</v>
      </c>
      <c r="H272">
        <v>90</v>
      </c>
    </row>
    <row r="273" spans="1:8">
      <c r="A273" s="6"/>
      <c r="B273">
        <v>54</v>
      </c>
      <c r="C273">
        <v>44</v>
      </c>
      <c r="D273">
        <v>5</v>
      </c>
      <c r="E273">
        <v>20</v>
      </c>
      <c r="F273">
        <v>286</v>
      </c>
      <c r="G273">
        <v>347</v>
      </c>
      <c r="H273">
        <v>90</v>
      </c>
    </row>
    <row r="274" spans="1:8">
      <c r="A274" s="6"/>
      <c r="B274">
        <v>55</v>
      </c>
      <c r="C274">
        <v>42</v>
      </c>
      <c r="D274">
        <v>10</v>
      </c>
      <c r="E274">
        <v>40</v>
      </c>
      <c r="F274">
        <v>0</v>
      </c>
      <c r="G274">
        <v>1105</v>
      </c>
      <c r="H274">
        <v>90</v>
      </c>
    </row>
    <row r="275" spans="1:8">
      <c r="A275" s="6"/>
      <c r="B275">
        <v>56</v>
      </c>
      <c r="C275">
        <v>42</v>
      </c>
      <c r="D275">
        <v>15</v>
      </c>
      <c r="E275">
        <v>10</v>
      </c>
      <c r="F275">
        <v>95</v>
      </c>
      <c r="G275">
        <v>158</v>
      </c>
      <c r="H275">
        <v>90</v>
      </c>
    </row>
    <row r="276" spans="1:8">
      <c r="A276" s="6"/>
      <c r="B276">
        <v>57</v>
      </c>
      <c r="C276">
        <v>40</v>
      </c>
      <c r="D276">
        <v>5</v>
      </c>
      <c r="E276">
        <v>30</v>
      </c>
      <c r="F276">
        <v>385</v>
      </c>
      <c r="G276">
        <v>436</v>
      </c>
      <c r="H276">
        <v>90</v>
      </c>
    </row>
    <row r="277" spans="1:8">
      <c r="A277" s="6"/>
      <c r="B277">
        <v>58</v>
      </c>
      <c r="C277">
        <v>40</v>
      </c>
      <c r="D277">
        <v>15</v>
      </c>
      <c r="E277">
        <v>40</v>
      </c>
      <c r="F277">
        <v>0</v>
      </c>
      <c r="G277">
        <v>1111</v>
      </c>
      <c r="H277">
        <v>90</v>
      </c>
    </row>
    <row r="278" spans="1:8">
      <c r="A278" s="6"/>
      <c r="B278">
        <v>59</v>
      </c>
      <c r="C278">
        <v>38</v>
      </c>
      <c r="D278">
        <v>5</v>
      </c>
      <c r="E278">
        <v>30</v>
      </c>
      <c r="F278">
        <v>471</v>
      </c>
      <c r="G278">
        <v>534</v>
      </c>
      <c r="H278">
        <v>90</v>
      </c>
    </row>
    <row r="279" spans="1:8">
      <c r="A279" s="6"/>
      <c r="B279">
        <v>60</v>
      </c>
      <c r="C279">
        <v>38</v>
      </c>
      <c r="D279">
        <v>15</v>
      </c>
      <c r="E279">
        <v>10</v>
      </c>
      <c r="F279">
        <v>0</v>
      </c>
      <c r="G279">
        <v>1110</v>
      </c>
      <c r="H279">
        <v>90</v>
      </c>
    </row>
    <row r="280" spans="1:8">
      <c r="A280" s="6"/>
      <c r="B280">
        <v>61</v>
      </c>
      <c r="C280">
        <v>35</v>
      </c>
      <c r="D280">
        <v>5</v>
      </c>
      <c r="E280">
        <v>20</v>
      </c>
      <c r="F280">
        <v>0</v>
      </c>
      <c r="G280">
        <v>1100</v>
      </c>
      <c r="H280">
        <v>90</v>
      </c>
    </row>
    <row r="281" spans="1:8">
      <c r="A281" s="6"/>
      <c r="B281">
        <v>62</v>
      </c>
      <c r="C281">
        <v>50</v>
      </c>
      <c r="D281">
        <v>30</v>
      </c>
      <c r="E281">
        <v>10</v>
      </c>
      <c r="F281">
        <v>0</v>
      </c>
      <c r="G281">
        <v>1123</v>
      </c>
      <c r="H281">
        <v>90</v>
      </c>
    </row>
    <row r="282" spans="1:8">
      <c r="A282" s="6"/>
      <c r="B282">
        <v>63</v>
      </c>
      <c r="C282">
        <v>50</v>
      </c>
      <c r="D282">
        <v>35</v>
      </c>
      <c r="E282">
        <v>20</v>
      </c>
      <c r="F282">
        <v>262</v>
      </c>
      <c r="G282">
        <v>317</v>
      </c>
      <c r="H282">
        <v>90</v>
      </c>
    </row>
    <row r="283" spans="1:8">
      <c r="A283" s="6"/>
      <c r="B283">
        <v>64</v>
      </c>
      <c r="C283">
        <v>50</v>
      </c>
      <c r="D283">
        <v>40</v>
      </c>
      <c r="E283">
        <v>50</v>
      </c>
      <c r="F283">
        <v>0</v>
      </c>
      <c r="G283">
        <v>1131</v>
      </c>
      <c r="H283">
        <v>90</v>
      </c>
    </row>
    <row r="284" spans="1:8">
      <c r="A284" s="6"/>
      <c r="B284">
        <v>65</v>
      </c>
      <c r="C284">
        <v>48</v>
      </c>
      <c r="D284">
        <v>30</v>
      </c>
      <c r="E284">
        <v>10</v>
      </c>
      <c r="F284">
        <v>632</v>
      </c>
      <c r="G284">
        <v>693</v>
      </c>
      <c r="H284">
        <v>90</v>
      </c>
    </row>
    <row r="285" spans="1:8">
      <c r="A285" s="6"/>
      <c r="B285">
        <v>66</v>
      </c>
      <c r="C285">
        <v>48</v>
      </c>
      <c r="D285">
        <v>40</v>
      </c>
      <c r="E285">
        <v>10</v>
      </c>
      <c r="F285">
        <v>76</v>
      </c>
      <c r="G285">
        <v>129</v>
      </c>
      <c r="H285">
        <v>90</v>
      </c>
    </row>
    <row r="286" spans="1:8">
      <c r="A286" s="6"/>
      <c r="B286">
        <v>67</v>
      </c>
      <c r="C286">
        <v>47</v>
      </c>
      <c r="D286">
        <v>35</v>
      </c>
      <c r="E286">
        <v>10</v>
      </c>
      <c r="F286">
        <v>826</v>
      </c>
      <c r="G286">
        <v>875</v>
      </c>
      <c r="H286">
        <v>90</v>
      </c>
    </row>
    <row r="287" spans="1:8">
      <c r="A287" s="6"/>
      <c r="B287">
        <v>68</v>
      </c>
      <c r="C287">
        <v>47</v>
      </c>
      <c r="D287">
        <v>40</v>
      </c>
      <c r="E287">
        <v>10</v>
      </c>
      <c r="F287">
        <v>12</v>
      </c>
      <c r="G287">
        <v>77</v>
      </c>
      <c r="H287">
        <v>90</v>
      </c>
    </row>
    <row r="288" spans="1:8">
      <c r="A288" s="6"/>
      <c r="B288">
        <v>69</v>
      </c>
      <c r="C288">
        <v>45</v>
      </c>
      <c r="D288">
        <v>30</v>
      </c>
      <c r="E288">
        <v>10</v>
      </c>
      <c r="F288">
        <v>734</v>
      </c>
      <c r="G288">
        <v>777</v>
      </c>
      <c r="H288">
        <v>90</v>
      </c>
    </row>
    <row r="289" spans="1:8">
      <c r="A289" s="6"/>
      <c r="B289">
        <v>70</v>
      </c>
      <c r="C289">
        <v>45</v>
      </c>
      <c r="D289">
        <v>35</v>
      </c>
      <c r="E289">
        <v>10</v>
      </c>
      <c r="F289">
        <v>916</v>
      </c>
      <c r="G289">
        <v>969</v>
      </c>
      <c r="H289">
        <v>90</v>
      </c>
    </row>
    <row r="290" spans="1:8">
      <c r="A290" s="6"/>
      <c r="B290">
        <v>71</v>
      </c>
      <c r="C290">
        <v>95</v>
      </c>
      <c r="D290">
        <v>30</v>
      </c>
      <c r="E290">
        <v>30</v>
      </c>
      <c r="F290">
        <v>387</v>
      </c>
      <c r="G290">
        <v>456</v>
      </c>
      <c r="H290">
        <v>90</v>
      </c>
    </row>
    <row r="291" spans="1:8">
      <c r="A291" s="6"/>
      <c r="B291">
        <v>72</v>
      </c>
      <c r="C291">
        <v>95</v>
      </c>
      <c r="D291">
        <v>35</v>
      </c>
      <c r="E291">
        <v>20</v>
      </c>
      <c r="F291">
        <v>0</v>
      </c>
      <c r="G291">
        <v>1088</v>
      </c>
      <c r="H291">
        <v>90</v>
      </c>
    </row>
    <row r="292" spans="1:8">
      <c r="A292" s="6"/>
      <c r="B292">
        <v>73</v>
      </c>
      <c r="C292">
        <v>53</v>
      </c>
      <c r="D292">
        <v>30</v>
      </c>
      <c r="E292">
        <v>10</v>
      </c>
      <c r="F292">
        <v>0</v>
      </c>
      <c r="G292">
        <v>1122</v>
      </c>
      <c r="H292">
        <v>90</v>
      </c>
    </row>
    <row r="293" spans="1:8">
      <c r="A293" s="6"/>
      <c r="B293">
        <v>74</v>
      </c>
      <c r="C293">
        <v>92</v>
      </c>
      <c r="D293">
        <v>30</v>
      </c>
      <c r="E293">
        <v>10</v>
      </c>
      <c r="F293">
        <v>0</v>
      </c>
      <c r="G293">
        <v>1090</v>
      </c>
      <c r="H293">
        <v>90</v>
      </c>
    </row>
    <row r="294" spans="1:8">
      <c r="A294" s="6"/>
      <c r="B294">
        <v>75</v>
      </c>
      <c r="C294">
        <v>53</v>
      </c>
      <c r="D294">
        <v>35</v>
      </c>
      <c r="E294">
        <v>50</v>
      </c>
      <c r="F294">
        <v>353</v>
      </c>
      <c r="G294">
        <v>412</v>
      </c>
      <c r="H294">
        <v>90</v>
      </c>
    </row>
    <row r="295" spans="1:8">
      <c r="A295" s="6"/>
      <c r="B295">
        <v>76</v>
      </c>
      <c r="C295">
        <v>45</v>
      </c>
      <c r="D295">
        <v>65</v>
      </c>
      <c r="E295">
        <v>20</v>
      </c>
      <c r="F295">
        <v>0</v>
      </c>
      <c r="G295">
        <v>1130</v>
      </c>
      <c r="H295">
        <v>90</v>
      </c>
    </row>
    <row r="296" spans="1:8">
      <c r="A296" s="6"/>
      <c r="B296">
        <v>77</v>
      </c>
      <c r="C296">
        <v>90</v>
      </c>
      <c r="D296">
        <v>35</v>
      </c>
      <c r="E296">
        <v>10</v>
      </c>
      <c r="F296">
        <v>203</v>
      </c>
      <c r="G296">
        <v>260</v>
      </c>
      <c r="H296">
        <v>90</v>
      </c>
    </row>
    <row r="297" spans="1:8">
      <c r="A297" s="6"/>
      <c r="B297">
        <v>78</v>
      </c>
      <c r="C297">
        <v>88</v>
      </c>
      <c r="D297">
        <v>30</v>
      </c>
      <c r="E297">
        <v>10</v>
      </c>
      <c r="F297">
        <v>574</v>
      </c>
      <c r="G297">
        <v>643</v>
      </c>
      <c r="H297">
        <v>90</v>
      </c>
    </row>
    <row r="298" spans="1:8">
      <c r="A298" s="6"/>
      <c r="B298">
        <v>79</v>
      </c>
      <c r="C298">
        <v>88</v>
      </c>
      <c r="D298">
        <v>35</v>
      </c>
      <c r="E298">
        <v>20</v>
      </c>
      <c r="F298">
        <v>109</v>
      </c>
      <c r="G298">
        <v>170</v>
      </c>
      <c r="H298">
        <v>90</v>
      </c>
    </row>
    <row r="299" spans="1:8">
      <c r="A299" s="6"/>
      <c r="B299">
        <v>80</v>
      </c>
      <c r="C299">
        <v>87</v>
      </c>
      <c r="D299">
        <v>30</v>
      </c>
      <c r="E299">
        <v>10</v>
      </c>
      <c r="F299">
        <v>668</v>
      </c>
      <c r="G299">
        <v>731</v>
      </c>
      <c r="H299">
        <v>90</v>
      </c>
    </row>
    <row r="300" spans="1:8">
      <c r="A300" s="6"/>
      <c r="B300">
        <v>81</v>
      </c>
      <c r="C300">
        <v>85</v>
      </c>
      <c r="D300">
        <v>25</v>
      </c>
      <c r="E300">
        <v>10</v>
      </c>
      <c r="F300">
        <v>769</v>
      </c>
      <c r="G300">
        <v>820</v>
      </c>
      <c r="H300">
        <v>90</v>
      </c>
    </row>
    <row r="301" spans="1:8">
      <c r="A301" s="6"/>
      <c r="B301">
        <v>82</v>
      </c>
      <c r="C301">
        <v>85</v>
      </c>
      <c r="D301">
        <v>35</v>
      </c>
      <c r="E301">
        <v>30</v>
      </c>
      <c r="F301">
        <v>0</v>
      </c>
      <c r="G301">
        <v>1098</v>
      </c>
      <c r="H301">
        <v>90</v>
      </c>
    </row>
    <row r="302" spans="1:8">
      <c r="A302" s="6"/>
      <c r="B302">
        <v>83</v>
      </c>
      <c r="C302">
        <v>75</v>
      </c>
      <c r="D302">
        <v>55</v>
      </c>
      <c r="E302">
        <v>20</v>
      </c>
      <c r="F302">
        <v>0</v>
      </c>
      <c r="G302">
        <v>1110</v>
      </c>
      <c r="H302">
        <v>90</v>
      </c>
    </row>
    <row r="303" spans="1:8">
      <c r="A303" s="6"/>
      <c r="B303">
        <v>84</v>
      </c>
      <c r="C303">
        <v>72</v>
      </c>
      <c r="D303">
        <v>55</v>
      </c>
      <c r="E303">
        <v>10</v>
      </c>
      <c r="F303">
        <v>0</v>
      </c>
      <c r="G303">
        <v>1113</v>
      </c>
      <c r="H303">
        <v>90</v>
      </c>
    </row>
    <row r="304" spans="1:8">
      <c r="A304" s="6"/>
      <c r="B304">
        <v>85</v>
      </c>
      <c r="C304">
        <v>70</v>
      </c>
      <c r="D304">
        <v>58</v>
      </c>
      <c r="E304">
        <v>20</v>
      </c>
      <c r="F304">
        <v>458</v>
      </c>
      <c r="G304">
        <v>523</v>
      </c>
      <c r="H304">
        <v>90</v>
      </c>
    </row>
    <row r="305" spans="1:8">
      <c r="A305" s="6"/>
      <c r="B305">
        <v>86</v>
      </c>
      <c r="C305">
        <v>68</v>
      </c>
      <c r="D305">
        <v>60</v>
      </c>
      <c r="E305">
        <v>30</v>
      </c>
      <c r="F305">
        <v>0</v>
      </c>
      <c r="G305">
        <v>1116</v>
      </c>
      <c r="H305">
        <v>90</v>
      </c>
    </row>
    <row r="306" spans="1:8">
      <c r="A306" s="6"/>
      <c r="B306">
        <v>87</v>
      </c>
      <c r="C306">
        <v>66</v>
      </c>
      <c r="D306">
        <v>55</v>
      </c>
      <c r="E306">
        <v>10</v>
      </c>
      <c r="F306">
        <v>0</v>
      </c>
      <c r="G306">
        <v>1119</v>
      </c>
      <c r="H306">
        <v>90</v>
      </c>
    </row>
    <row r="307" spans="1:8">
      <c r="A307" s="6"/>
      <c r="B307">
        <v>88</v>
      </c>
      <c r="C307">
        <v>65</v>
      </c>
      <c r="D307">
        <v>55</v>
      </c>
      <c r="E307">
        <v>20</v>
      </c>
      <c r="F307">
        <v>85</v>
      </c>
      <c r="G307">
        <v>144</v>
      </c>
      <c r="H307">
        <v>90</v>
      </c>
    </row>
    <row r="308" spans="1:8">
      <c r="A308" s="6"/>
      <c r="B308">
        <v>89</v>
      </c>
      <c r="C308">
        <v>65</v>
      </c>
      <c r="D308">
        <v>60</v>
      </c>
      <c r="E308">
        <v>30</v>
      </c>
      <c r="F308">
        <v>645</v>
      </c>
      <c r="G308">
        <v>708</v>
      </c>
      <c r="H308">
        <v>90</v>
      </c>
    </row>
    <row r="309" spans="1:8">
      <c r="A309" s="6"/>
      <c r="B309">
        <v>90</v>
      </c>
      <c r="C309">
        <v>63</v>
      </c>
      <c r="D309">
        <v>58</v>
      </c>
      <c r="E309">
        <v>10</v>
      </c>
      <c r="F309">
        <v>0</v>
      </c>
      <c r="G309">
        <v>1121</v>
      </c>
      <c r="H309">
        <v>90</v>
      </c>
    </row>
    <row r="310" spans="1:8">
      <c r="A310" s="6"/>
      <c r="B310">
        <v>91</v>
      </c>
      <c r="C310">
        <v>60</v>
      </c>
      <c r="D310">
        <v>55</v>
      </c>
      <c r="E310">
        <v>10</v>
      </c>
      <c r="F310">
        <v>0</v>
      </c>
      <c r="G310">
        <v>1125</v>
      </c>
      <c r="H310">
        <v>90</v>
      </c>
    </row>
    <row r="311" spans="1:8">
      <c r="A311" s="6"/>
      <c r="B311">
        <v>92</v>
      </c>
      <c r="C311">
        <v>60</v>
      </c>
      <c r="D311">
        <v>60</v>
      </c>
      <c r="E311">
        <v>10</v>
      </c>
      <c r="F311">
        <v>0</v>
      </c>
      <c r="G311">
        <v>1123</v>
      </c>
      <c r="H311">
        <v>90</v>
      </c>
    </row>
    <row r="312" spans="1:8">
      <c r="A312" s="6"/>
      <c r="B312">
        <v>93</v>
      </c>
      <c r="C312">
        <v>67</v>
      </c>
      <c r="D312">
        <v>85</v>
      </c>
      <c r="E312">
        <v>20</v>
      </c>
      <c r="F312">
        <v>368</v>
      </c>
      <c r="G312">
        <v>441</v>
      </c>
      <c r="H312">
        <v>90</v>
      </c>
    </row>
    <row r="313" spans="1:8">
      <c r="A313" s="6"/>
      <c r="B313">
        <v>94</v>
      </c>
      <c r="C313">
        <v>65</v>
      </c>
      <c r="D313">
        <v>85</v>
      </c>
      <c r="E313">
        <v>40</v>
      </c>
      <c r="F313">
        <v>475</v>
      </c>
      <c r="G313">
        <v>518</v>
      </c>
      <c r="H313">
        <v>90</v>
      </c>
    </row>
    <row r="314" spans="1:8">
      <c r="A314" s="6"/>
      <c r="B314">
        <v>95</v>
      </c>
      <c r="C314">
        <v>65</v>
      </c>
      <c r="D314">
        <v>82</v>
      </c>
      <c r="E314">
        <v>10</v>
      </c>
      <c r="F314">
        <v>0</v>
      </c>
      <c r="G314">
        <v>1105</v>
      </c>
      <c r="H314">
        <v>90</v>
      </c>
    </row>
    <row r="315" spans="1:8">
      <c r="A315" s="6"/>
      <c r="B315">
        <v>96</v>
      </c>
      <c r="C315">
        <v>62</v>
      </c>
      <c r="D315">
        <v>80</v>
      </c>
      <c r="E315">
        <v>30</v>
      </c>
      <c r="F315">
        <v>0</v>
      </c>
      <c r="G315">
        <v>1108</v>
      </c>
      <c r="H315">
        <v>90</v>
      </c>
    </row>
    <row r="316" spans="1:8">
      <c r="A316" s="6"/>
      <c r="B316">
        <v>97</v>
      </c>
      <c r="C316">
        <v>60</v>
      </c>
      <c r="D316">
        <v>80</v>
      </c>
      <c r="E316">
        <v>10</v>
      </c>
      <c r="F316">
        <v>0</v>
      </c>
      <c r="G316">
        <v>1109</v>
      </c>
      <c r="H316">
        <v>90</v>
      </c>
    </row>
    <row r="317" spans="1:8">
      <c r="A317" s="6"/>
      <c r="B317">
        <v>98</v>
      </c>
      <c r="C317">
        <v>60</v>
      </c>
      <c r="D317">
        <v>85</v>
      </c>
      <c r="E317">
        <v>30</v>
      </c>
      <c r="F317">
        <v>0</v>
      </c>
      <c r="G317">
        <v>1105</v>
      </c>
      <c r="H317">
        <v>90</v>
      </c>
    </row>
    <row r="318" spans="1:8">
      <c r="A318" s="6"/>
      <c r="B318">
        <v>99</v>
      </c>
      <c r="C318">
        <v>58</v>
      </c>
      <c r="D318">
        <v>75</v>
      </c>
      <c r="E318">
        <v>20</v>
      </c>
      <c r="F318">
        <v>0</v>
      </c>
      <c r="G318">
        <v>1115</v>
      </c>
      <c r="H318">
        <v>90</v>
      </c>
    </row>
    <row r="319" spans="1:8">
      <c r="A319" s="6"/>
      <c r="B319">
        <v>100</v>
      </c>
      <c r="C319">
        <v>55</v>
      </c>
      <c r="D319">
        <v>80</v>
      </c>
      <c r="E319">
        <v>10</v>
      </c>
      <c r="F319">
        <v>743</v>
      </c>
      <c r="G319">
        <v>820</v>
      </c>
      <c r="H319">
        <v>90</v>
      </c>
    </row>
    <row r="320" spans="1:8">
      <c r="A320" s="6"/>
      <c r="B320">
        <v>101</v>
      </c>
      <c r="C320">
        <v>55</v>
      </c>
      <c r="D320">
        <v>85</v>
      </c>
      <c r="E320">
        <v>20</v>
      </c>
      <c r="F320">
        <v>647</v>
      </c>
      <c r="G320">
        <v>726</v>
      </c>
      <c r="H320">
        <v>90</v>
      </c>
    </row>
    <row r="324" spans="1:8" ht="17.399999999999999">
      <c r="A324" s="7" t="s">
        <v>39</v>
      </c>
    </row>
    <row r="325" spans="1:8">
      <c r="A325" s="4"/>
      <c r="B325" t="s">
        <v>32</v>
      </c>
      <c r="C325" t="s">
        <v>26</v>
      </c>
      <c r="D325" t="s">
        <v>27</v>
      </c>
      <c r="E325" t="s">
        <v>28</v>
      </c>
      <c r="F325" t="s">
        <v>29</v>
      </c>
      <c r="G325" t="s">
        <v>30</v>
      </c>
      <c r="H325" t="s">
        <v>31</v>
      </c>
    </row>
    <row r="326" spans="1:8">
      <c r="A326" s="6"/>
      <c r="B326">
        <v>1</v>
      </c>
      <c r="C326">
        <v>40</v>
      </c>
      <c r="D326">
        <v>50</v>
      </c>
      <c r="E326">
        <v>0</v>
      </c>
      <c r="F326">
        <v>0</v>
      </c>
      <c r="G326">
        <v>1236</v>
      </c>
      <c r="H326">
        <v>0</v>
      </c>
    </row>
    <row r="327" spans="1:8">
      <c r="A327" s="6"/>
      <c r="B327">
        <v>2</v>
      </c>
      <c r="C327">
        <v>45</v>
      </c>
      <c r="D327">
        <v>68</v>
      </c>
      <c r="E327">
        <v>10</v>
      </c>
      <c r="F327">
        <v>0</v>
      </c>
      <c r="G327">
        <v>1127</v>
      </c>
      <c r="H327">
        <v>90</v>
      </c>
    </row>
    <row r="328" spans="1:8">
      <c r="A328" s="6"/>
      <c r="B328">
        <v>3</v>
      </c>
      <c r="C328">
        <v>45</v>
      </c>
      <c r="D328">
        <v>70</v>
      </c>
      <c r="E328">
        <v>30</v>
      </c>
      <c r="F328">
        <v>0</v>
      </c>
      <c r="G328">
        <v>1125</v>
      </c>
      <c r="H328">
        <v>90</v>
      </c>
    </row>
    <row r="329" spans="1:8">
      <c r="A329" s="6"/>
      <c r="B329">
        <v>4</v>
      </c>
      <c r="C329">
        <v>42</v>
      </c>
      <c r="D329">
        <v>66</v>
      </c>
      <c r="E329">
        <v>10</v>
      </c>
      <c r="F329">
        <v>0</v>
      </c>
      <c r="G329">
        <v>1129</v>
      </c>
      <c r="H329">
        <v>90</v>
      </c>
    </row>
    <row r="330" spans="1:8">
      <c r="A330" s="6"/>
      <c r="B330">
        <v>5</v>
      </c>
      <c r="C330">
        <v>42</v>
      </c>
      <c r="D330">
        <v>68</v>
      </c>
      <c r="E330">
        <v>10</v>
      </c>
      <c r="F330">
        <v>727</v>
      </c>
      <c r="G330">
        <v>782</v>
      </c>
      <c r="H330">
        <v>90</v>
      </c>
    </row>
    <row r="331" spans="1:8">
      <c r="A331" s="6"/>
      <c r="B331">
        <v>6</v>
      </c>
      <c r="C331">
        <v>42</v>
      </c>
      <c r="D331">
        <v>65</v>
      </c>
      <c r="E331">
        <v>10</v>
      </c>
      <c r="F331">
        <v>0</v>
      </c>
      <c r="G331">
        <v>1130</v>
      </c>
      <c r="H331">
        <v>90</v>
      </c>
    </row>
    <row r="332" spans="1:8">
      <c r="A332" s="6"/>
      <c r="B332">
        <v>7</v>
      </c>
      <c r="C332">
        <v>40</v>
      </c>
      <c r="D332">
        <v>69</v>
      </c>
      <c r="E332">
        <v>20</v>
      </c>
      <c r="F332">
        <v>0</v>
      </c>
      <c r="G332">
        <v>1127</v>
      </c>
      <c r="H332">
        <v>90</v>
      </c>
    </row>
    <row r="333" spans="1:8">
      <c r="A333" s="6"/>
      <c r="B333">
        <v>8</v>
      </c>
      <c r="C333">
        <v>40</v>
      </c>
      <c r="D333">
        <v>66</v>
      </c>
      <c r="E333">
        <v>20</v>
      </c>
      <c r="F333">
        <v>0</v>
      </c>
      <c r="G333">
        <v>1130</v>
      </c>
      <c r="H333">
        <v>90</v>
      </c>
    </row>
    <row r="334" spans="1:8">
      <c r="A334" s="6"/>
      <c r="B334">
        <v>9</v>
      </c>
      <c r="C334">
        <v>38</v>
      </c>
      <c r="D334">
        <v>68</v>
      </c>
      <c r="E334">
        <v>20</v>
      </c>
      <c r="F334">
        <v>255</v>
      </c>
      <c r="G334">
        <v>324</v>
      </c>
      <c r="H334">
        <v>90</v>
      </c>
    </row>
    <row r="335" spans="1:8">
      <c r="A335" s="6"/>
      <c r="B335">
        <v>10</v>
      </c>
      <c r="C335">
        <v>38</v>
      </c>
      <c r="D335">
        <v>70</v>
      </c>
      <c r="E335">
        <v>10</v>
      </c>
      <c r="F335">
        <v>534</v>
      </c>
      <c r="G335">
        <v>605</v>
      </c>
      <c r="H335">
        <v>90</v>
      </c>
    </row>
    <row r="336" spans="1:8">
      <c r="A336" s="6"/>
      <c r="B336">
        <v>11</v>
      </c>
      <c r="C336">
        <v>35</v>
      </c>
      <c r="D336">
        <v>66</v>
      </c>
      <c r="E336">
        <v>10</v>
      </c>
      <c r="F336">
        <v>0</v>
      </c>
      <c r="G336">
        <v>1129</v>
      </c>
      <c r="H336">
        <v>90</v>
      </c>
    </row>
    <row r="337" spans="1:8">
      <c r="A337" s="6"/>
      <c r="B337">
        <v>12</v>
      </c>
      <c r="C337">
        <v>35</v>
      </c>
      <c r="D337">
        <v>69</v>
      </c>
      <c r="E337">
        <v>10</v>
      </c>
      <c r="F337">
        <v>448</v>
      </c>
      <c r="G337">
        <v>505</v>
      </c>
      <c r="H337">
        <v>90</v>
      </c>
    </row>
    <row r="338" spans="1:8">
      <c r="A338" s="6"/>
      <c r="B338">
        <v>13</v>
      </c>
      <c r="C338">
        <v>25</v>
      </c>
      <c r="D338">
        <v>85</v>
      </c>
      <c r="E338">
        <v>20</v>
      </c>
      <c r="F338">
        <v>0</v>
      </c>
      <c r="G338">
        <v>1107</v>
      </c>
      <c r="H338">
        <v>90</v>
      </c>
    </row>
    <row r="339" spans="1:8">
      <c r="A339" s="6"/>
      <c r="B339">
        <v>14</v>
      </c>
      <c r="C339">
        <v>22</v>
      </c>
      <c r="D339">
        <v>75</v>
      </c>
      <c r="E339">
        <v>30</v>
      </c>
      <c r="F339">
        <v>30</v>
      </c>
      <c r="G339">
        <v>92</v>
      </c>
      <c r="H339">
        <v>90</v>
      </c>
    </row>
    <row r="340" spans="1:8">
      <c r="A340" s="6"/>
      <c r="B340">
        <v>15</v>
      </c>
      <c r="C340">
        <v>22</v>
      </c>
      <c r="D340">
        <v>85</v>
      </c>
      <c r="E340">
        <v>10</v>
      </c>
      <c r="F340">
        <v>0</v>
      </c>
      <c r="G340">
        <v>1106</v>
      </c>
      <c r="H340">
        <v>90</v>
      </c>
    </row>
    <row r="341" spans="1:8">
      <c r="A341" s="6"/>
      <c r="B341">
        <v>16</v>
      </c>
      <c r="C341">
        <v>20</v>
      </c>
      <c r="D341">
        <v>80</v>
      </c>
      <c r="E341">
        <v>40</v>
      </c>
      <c r="F341">
        <v>384</v>
      </c>
      <c r="G341">
        <v>429</v>
      </c>
      <c r="H341">
        <v>90</v>
      </c>
    </row>
    <row r="342" spans="1:8">
      <c r="A342" s="6"/>
      <c r="B342">
        <v>17</v>
      </c>
      <c r="C342">
        <v>20</v>
      </c>
      <c r="D342">
        <v>85</v>
      </c>
      <c r="E342">
        <v>40</v>
      </c>
      <c r="F342">
        <v>0</v>
      </c>
      <c r="G342">
        <v>1105</v>
      </c>
      <c r="H342">
        <v>90</v>
      </c>
    </row>
    <row r="343" spans="1:8">
      <c r="A343" s="6"/>
      <c r="B343">
        <v>18</v>
      </c>
      <c r="C343">
        <v>18</v>
      </c>
      <c r="D343">
        <v>75</v>
      </c>
      <c r="E343">
        <v>20</v>
      </c>
      <c r="F343">
        <v>0</v>
      </c>
      <c r="G343">
        <v>1112</v>
      </c>
      <c r="H343">
        <v>90</v>
      </c>
    </row>
    <row r="344" spans="1:8">
      <c r="A344" s="6"/>
      <c r="B344">
        <v>19</v>
      </c>
      <c r="C344">
        <v>15</v>
      </c>
      <c r="D344">
        <v>75</v>
      </c>
      <c r="E344">
        <v>20</v>
      </c>
      <c r="F344">
        <v>0</v>
      </c>
      <c r="G344">
        <v>1110</v>
      </c>
      <c r="H344">
        <v>90</v>
      </c>
    </row>
    <row r="345" spans="1:8">
      <c r="A345" s="6"/>
      <c r="B345">
        <v>20</v>
      </c>
      <c r="C345">
        <v>15</v>
      </c>
      <c r="D345">
        <v>80</v>
      </c>
      <c r="E345">
        <v>10</v>
      </c>
      <c r="F345">
        <v>0</v>
      </c>
      <c r="G345">
        <v>1106</v>
      </c>
      <c r="H345">
        <v>90</v>
      </c>
    </row>
    <row r="346" spans="1:8">
      <c r="A346" s="6"/>
      <c r="B346">
        <v>21</v>
      </c>
      <c r="C346">
        <v>30</v>
      </c>
      <c r="D346">
        <v>50</v>
      </c>
      <c r="E346">
        <v>10</v>
      </c>
      <c r="F346">
        <v>0</v>
      </c>
      <c r="G346">
        <v>1136</v>
      </c>
      <c r="H346">
        <v>90</v>
      </c>
    </row>
    <row r="347" spans="1:8">
      <c r="A347" s="6"/>
      <c r="B347">
        <v>22</v>
      </c>
      <c r="C347">
        <v>30</v>
      </c>
      <c r="D347">
        <v>52</v>
      </c>
      <c r="E347">
        <v>20</v>
      </c>
      <c r="F347">
        <v>0</v>
      </c>
      <c r="G347">
        <v>1135</v>
      </c>
      <c r="H347">
        <v>90</v>
      </c>
    </row>
    <row r="348" spans="1:8">
      <c r="A348" s="6"/>
      <c r="B348">
        <v>23</v>
      </c>
      <c r="C348">
        <v>28</v>
      </c>
      <c r="D348">
        <v>52</v>
      </c>
      <c r="E348">
        <v>20</v>
      </c>
      <c r="F348">
        <v>0</v>
      </c>
      <c r="G348">
        <v>1133</v>
      </c>
      <c r="H348">
        <v>90</v>
      </c>
    </row>
    <row r="349" spans="1:8">
      <c r="A349" s="6"/>
      <c r="B349">
        <v>24</v>
      </c>
      <c r="C349">
        <v>28</v>
      </c>
      <c r="D349">
        <v>55</v>
      </c>
      <c r="E349">
        <v>10</v>
      </c>
      <c r="F349">
        <v>732</v>
      </c>
      <c r="G349">
        <v>777</v>
      </c>
      <c r="H349">
        <v>90</v>
      </c>
    </row>
    <row r="350" spans="1:8">
      <c r="A350" s="6"/>
      <c r="B350">
        <v>25</v>
      </c>
      <c r="C350">
        <v>25</v>
      </c>
      <c r="D350">
        <v>50</v>
      </c>
      <c r="E350">
        <v>10</v>
      </c>
      <c r="F350">
        <v>0</v>
      </c>
      <c r="G350">
        <v>1131</v>
      </c>
      <c r="H350">
        <v>90</v>
      </c>
    </row>
    <row r="351" spans="1:8">
      <c r="A351" s="6"/>
      <c r="B351">
        <v>26</v>
      </c>
      <c r="C351">
        <v>25</v>
      </c>
      <c r="D351">
        <v>52</v>
      </c>
      <c r="E351">
        <v>40</v>
      </c>
      <c r="F351">
        <v>169</v>
      </c>
      <c r="G351">
        <v>224</v>
      </c>
      <c r="H351">
        <v>90</v>
      </c>
    </row>
    <row r="352" spans="1:8">
      <c r="A352" s="6"/>
      <c r="B352">
        <v>27</v>
      </c>
      <c r="C352">
        <v>25</v>
      </c>
      <c r="D352">
        <v>55</v>
      </c>
      <c r="E352">
        <v>10</v>
      </c>
      <c r="F352">
        <v>0</v>
      </c>
      <c r="G352">
        <v>1130</v>
      </c>
      <c r="H352">
        <v>90</v>
      </c>
    </row>
    <row r="353" spans="1:8">
      <c r="A353" s="6"/>
      <c r="B353">
        <v>28</v>
      </c>
      <c r="C353">
        <v>23</v>
      </c>
      <c r="D353">
        <v>52</v>
      </c>
      <c r="E353">
        <v>10</v>
      </c>
      <c r="F353">
        <v>0</v>
      </c>
      <c r="G353">
        <v>1128</v>
      </c>
      <c r="H353">
        <v>90</v>
      </c>
    </row>
    <row r="354" spans="1:8">
      <c r="A354" s="6"/>
      <c r="B354">
        <v>29</v>
      </c>
      <c r="C354">
        <v>23</v>
      </c>
      <c r="D354">
        <v>55</v>
      </c>
      <c r="E354">
        <v>20</v>
      </c>
      <c r="F354">
        <v>0</v>
      </c>
      <c r="G354">
        <v>1128</v>
      </c>
      <c r="H354">
        <v>90</v>
      </c>
    </row>
    <row r="355" spans="1:8">
      <c r="A355" s="6"/>
      <c r="B355">
        <v>30</v>
      </c>
      <c r="C355">
        <v>20</v>
      </c>
      <c r="D355">
        <v>50</v>
      </c>
      <c r="E355">
        <v>10</v>
      </c>
      <c r="F355">
        <v>0</v>
      </c>
      <c r="G355">
        <v>1126</v>
      </c>
      <c r="H355">
        <v>90</v>
      </c>
    </row>
    <row r="356" spans="1:8">
      <c r="A356" s="6"/>
      <c r="B356">
        <v>31</v>
      </c>
      <c r="C356">
        <v>20</v>
      </c>
      <c r="D356">
        <v>55</v>
      </c>
      <c r="E356">
        <v>10</v>
      </c>
      <c r="F356">
        <v>0</v>
      </c>
      <c r="G356">
        <v>1125</v>
      </c>
      <c r="H356">
        <v>90</v>
      </c>
    </row>
    <row r="357" spans="1:8">
      <c r="A357" s="6"/>
      <c r="B357">
        <v>32</v>
      </c>
      <c r="C357">
        <v>10</v>
      </c>
      <c r="D357">
        <v>35</v>
      </c>
      <c r="E357">
        <v>20</v>
      </c>
      <c r="F357">
        <v>0</v>
      </c>
      <c r="G357">
        <v>1112</v>
      </c>
      <c r="H357">
        <v>90</v>
      </c>
    </row>
    <row r="358" spans="1:8">
      <c r="A358" s="6"/>
      <c r="B358">
        <v>33</v>
      </c>
      <c r="C358">
        <v>10</v>
      </c>
      <c r="D358">
        <v>40</v>
      </c>
      <c r="E358">
        <v>30</v>
      </c>
      <c r="F358">
        <v>0</v>
      </c>
      <c r="G358">
        <v>1114</v>
      </c>
      <c r="H358">
        <v>90</v>
      </c>
    </row>
    <row r="359" spans="1:8">
      <c r="A359" s="6"/>
      <c r="B359">
        <v>34</v>
      </c>
      <c r="C359">
        <v>8</v>
      </c>
      <c r="D359">
        <v>40</v>
      </c>
      <c r="E359">
        <v>40</v>
      </c>
      <c r="F359">
        <v>0</v>
      </c>
      <c r="G359">
        <v>1112</v>
      </c>
      <c r="H359">
        <v>90</v>
      </c>
    </row>
    <row r="360" spans="1:8">
      <c r="A360" s="6"/>
      <c r="B360">
        <v>35</v>
      </c>
      <c r="C360">
        <v>8</v>
      </c>
      <c r="D360">
        <v>45</v>
      </c>
      <c r="E360">
        <v>20</v>
      </c>
      <c r="F360">
        <v>0</v>
      </c>
      <c r="G360">
        <v>1113</v>
      </c>
      <c r="H360">
        <v>90</v>
      </c>
    </row>
    <row r="361" spans="1:8">
      <c r="A361" s="6"/>
      <c r="B361">
        <v>36</v>
      </c>
      <c r="C361">
        <v>5</v>
      </c>
      <c r="D361">
        <v>35</v>
      </c>
      <c r="E361">
        <v>10</v>
      </c>
      <c r="F361">
        <v>0</v>
      </c>
      <c r="G361">
        <v>1107</v>
      </c>
      <c r="H361">
        <v>90</v>
      </c>
    </row>
    <row r="362" spans="1:8">
      <c r="A362" s="6"/>
      <c r="B362">
        <v>37</v>
      </c>
      <c r="C362">
        <v>5</v>
      </c>
      <c r="D362">
        <v>45</v>
      </c>
      <c r="E362">
        <v>10</v>
      </c>
      <c r="F362">
        <v>0</v>
      </c>
      <c r="G362">
        <v>1110</v>
      </c>
      <c r="H362">
        <v>90</v>
      </c>
    </row>
    <row r="363" spans="1:8">
      <c r="A363" s="6"/>
      <c r="B363">
        <v>38</v>
      </c>
      <c r="C363">
        <v>2</v>
      </c>
      <c r="D363">
        <v>40</v>
      </c>
      <c r="E363">
        <v>20</v>
      </c>
      <c r="F363">
        <v>0</v>
      </c>
      <c r="G363">
        <v>1106</v>
      </c>
      <c r="H363">
        <v>90</v>
      </c>
    </row>
    <row r="364" spans="1:8">
      <c r="A364" s="6"/>
      <c r="B364">
        <v>39</v>
      </c>
      <c r="C364">
        <v>0</v>
      </c>
      <c r="D364">
        <v>40</v>
      </c>
      <c r="E364">
        <v>30</v>
      </c>
      <c r="F364">
        <v>479</v>
      </c>
      <c r="G364">
        <v>522</v>
      </c>
      <c r="H364">
        <v>90</v>
      </c>
    </row>
    <row r="365" spans="1:8">
      <c r="A365" s="6"/>
      <c r="B365">
        <v>40</v>
      </c>
      <c r="C365">
        <v>0</v>
      </c>
      <c r="D365">
        <v>45</v>
      </c>
      <c r="E365">
        <v>20</v>
      </c>
      <c r="F365">
        <v>0</v>
      </c>
      <c r="G365">
        <v>1105</v>
      </c>
      <c r="H365">
        <v>90</v>
      </c>
    </row>
    <row r="366" spans="1:8">
      <c r="A366" s="6"/>
      <c r="B366">
        <v>41</v>
      </c>
      <c r="C366">
        <v>35</v>
      </c>
      <c r="D366">
        <v>30</v>
      </c>
      <c r="E366">
        <v>10</v>
      </c>
      <c r="F366">
        <v>0</v>
      </c>
      <c r="G366">
        <v>1125</v>
      </c>
      <c r="H366">
        <v>90</v>
      </c>
    </row>
    <row r="367" spans="1:8">
      <c r="A367" s="6"/>
      <c r="B367">
        <v>42</v>
      </c>
      <c r="C367">
        <v>35</v>
      </c>
      <c r="D367">
        <v>32</v>
      </c>
      <c r="E367">
        <v>10</v>
      </c>
      <c r="F367">
        <v>0</v>
      </c>
      <c r="G367">
        <v>1127</v>
      </c>
      <c r="H367">
        <v>90</v>
      </c>
    </row>
    <row r="368" spans="1:8">
      <c r="A368" s="6"/>
      <c r="B368">
        <v>43</v>
      </c>
      <c r="C368">
        <v>33</v>
      </c>
      <c r="D368">
        <v>32</v>
      </c>
      <c r="E368">
        <v>20</v>
      </c>
      <c r="F368">
        <v>0</v>
      </c>
      <c r="G368">
        <v>1126</v>
      </c>
      <c r="H368">
        <v>90</v>
      </c>
    </row>
    <row r="369" spans="1:8">
      <c r="A369" s="6"/>
      <c r="B369">
        <v>44</v>
      </c>
      <c r="C369">
        <v>33</v>
      </c>
      <c r="D369">
        <v>35</v>
      </c>
      <c r="E369">
        <v>10</v>
      </c>
      <c r="F369">
        <v>0</v>
      </c>
      <c r="G369">
        <v>1129</v>
      </c>
      <c r="H369">
        <v>90</v>
      </c>
    </row>
    <row r="370" spans="1:8">
      <c r="A370" s="6"/>
      <c r="B370">
        <v>45</v>
      </c>
      <c r="C370">
        <v>32</v>
      </c>
      <c r="D370">
        <v>30</v>
      </c>
      <c r="E370">
        <v>10</v>
      </c>
      <c r="F370">
        <v>359</v>
      </c>
      <c r="G370">
        <v>412</v>
      </c>
      <c r="H370">
        <v>90</v>
      </c>
    </row>
    <row r="371" spans="1:8">
      <c r="A371" s="6"/>
      <c r="B371">
        <v>46</v>
      </c>
      <c r="C371">
        <v>30</v>
      </c>
      <c r="D371">
        <v>30</v>
      </c>
      <c r="E371">
        <v>10</v>
      </c>
      <c r="F371">
        <v>0</v>
      </c>
      <c r="G371">
        <v>1123</v>
      </c>
      <c r="H371">
        <v>90</v>
      </c>
    </row>
    <row r="372" spans="1:8">
      <c r="A372" s="6"/>
      <c r="B372">
        <v>47</v>
      </c>
      <c r="C372">
        <v>30</v>
      </c>
      <c r="D372">
        <v>32</v>
      </c>
      <c r="E372">
        <v>30</v>
      </c>
      <c r="F372">
        <v>0</v>
      </c>
      <c r="G372">
        <v>1125</v>
      </c>
      <c r="H372">
        <v>90</v>
      </c>
    </row>
    <row r="373" spans="1:8">
      <c r="A373" s="6"/>
      <c r="B373">
        <v>48</v>
      </c>
      <c r="C373">
        <v>30</v>
      </c>
      <c r="D373">
        <v>35</v>
      </c>
      <c r="E373">
        <v>10</v>
      </c>
      <c r="F373">
        <v>0</v>
      </c>
      <c r="G373">
        <v>1127</v>
      </c>
      <c r="H373">
        <v>90</v>
      </c>
    </row>
    <row r="374" spans="1:8">
      <c r="A374" s="6"/>
      <c r="B374">
        <v>49</v>
      </c>
      <c r="C374">
        <v>28</v>
      </c>
      <c r="D374">
        <v>30</v>
      </c>
      <c r="E374">
        <v>10</v>
      </c>
      <c r="F374">
        <v>0</v>
      </c>
      <c r="G374">
        <v>1122</v>
      </c>
      <c r="H374">
        <v>90</v>
      </c>
    </row>
    <row r="375" spans="1:8">
      <c r="A375" s="6"/>
      <c r="B375">
        <v>50</v>
      </c>
      <c r="C375">
        <v>28</v>
      </c>
      <c r="D375">
        <v>35</v>
      </c>
      <c r="E375">
        <v>10</v>
      </c>
      <c r="F375">
        <v>0</v>
      </c>
      <c r="G375">
        <v>1126</v>
      </c>
      <c r="H375">
        <v>90</v>
      </c>
    </row>
    <row r="376" spans="1:8">
      <c r="A376" s="6"/>
      <c r="B376">
        <v>51</v>
      </c>
      <c r="C376">
        <v>26</v>
      </c>
      <c r="D376">
        <v>32</v>
      </c>
      <c r="E376">
        <v>10</v>
      </c>
      <c r="F376">
        <v>0</v>
      </c>
      <c r="G376">
        <v>1123</v>
      </c>
      <c r="H376">
        <v>90</v>
      </c>
    </row>
    <row r="377" spans="1:8">
      <c r="A377" s="6"/>
      <c r="B377">
        <v>52</v>
      </c>
      <c r="C377">
        <v>25</v>
      </c>
      <c r="D377">
        <v>30</v>
      </c>
      <c r="E377">
        <v>10</v>
      </c>
      <c r="F377">
        <v>0</v>
      </c>
      <c r="G377">
        <v>1121</v>
      </c>
      <c r="H377">
        <v>90</v>
      </c>
    </row>
    <row r="378" spans="1:8">
      <c r="A378" s="6"/>
      <c r="B378">
        <v>53</v>
      </c>
      <c r="C378">
        <v>25</v>
      </c>
      <c r="D378">
        <v>35</v>
      </c>
      <c r="E378">
        <v>10</v>
      </c>
      <c r="F378">
        <v>0</v>
      </c>
      <c r="G378">
        <v>1124</v>
      </c>
      <c r="H378">
        <v>90</v>
      </c>
    </row>
    <row r="379" spans="1:8">
      <c r="A379" s="6"/>
      <c r="B379">
        <v>54</v>
      </c>
      <c r="C379">
        <v>44</v>
      </c>
      <c r="D379">
        <v>5</v>
      </c>
      <c r="E379">
        <v>20</v>
      </c>
      <c r="F379">
        <v>286</v>
      </c>
      <c r="G379">
        <v>347</v>
      </c>
      <c r="H379">
        <v>90</v>
      </c>
    </row>
    <row r="380" spans="1:8">
      <c r="A380" s="6"/>
      <c r="B380">
        <v>55</v>
      </c>
      <c r="C380">
        <v>42</v>
      </c>
      <c r="D380">
        <v>10</v>
      </c>
      <c r="E380">
        <v>40</v>
      </c>
      <c r="F380">
        <v>0</v>
      </c>
      <c r="G380">
        <v>1105</v>
      </c>
      <c r="H380">
        <v>90</v>
      </c>
    </row>
    <row r="381" spans="1:8">
      <c r="A381" s="6"/>
      <c r="B381">
        <v>56</v>
      </c>
      <c r="C381">
        <v>42</v>
      </c>
      <c r="D381">
        <v>15</v>
      </c>
      <c r="E381">
        <v>10</v>
      </c>
      <c r="F381">
        <v>95</v>
      </c>
      <c r="G381">
        <v>158</v>
      </c>
      <c r="H381">
        <v>90</v>
      </c>
    </row>
    <row r="382" spans="1:8">
      <c r="A382" s="6"/>
      <c r="B382">
        <v>57</v>
      </c>
      <c r="C382">
        <v>40</v>
      </c>
      <c r="D382">
        <v>5</v>
      </c>
      <c r="E382">
        <v>30</v>
      </c>
      <c r="F382">
        <v>0</v>
      </c>
      <c r="G382">
        <v>1101</v>
      </c>
      <c r="H382">
        <v>90</v>
      </c>
    </row>
    <row r="383" spans="1:8">
      <c r="A383" s="6"/>
      <c r="B383">
        <v>58</v>
      </c>
      <c r="C383">
        <v>40</v>
      </c>
      <c r="D383">
        <v>15</v>
      </c>
      <c r="E383">
        <v>40</v>
      </c>
      <c r="F383">
        <v>0</v>
      </c>
      <c r="G383">
        <v>1111</v>
      </c>
      <c r="H383">
        <v>90</v>
      </c>
    </row>
    <row r="384" spans="1:8">
      <c r="A384" s="6"/>
      <c r="B384">
        <v>59</v>
      </c>
      <c r="C384">
        <v>38</v>
      </c>
      <c r="D384">
        <v>5</v>
      </c>
      <c r="E384">
        <v>30</v>
      </c>
      <c r="F384">
        <v>471</v>
      </c>
      <c r="G384">
        <v>534</v>
      </c>
      <c r="H384">
        <v>90</v>
      </c>
    </row>
    <row r="385" spans="1:8">
      <c r="A385" s="6"/>
      <c r="B385">
        <v>60</v>
      </c>
      <c r="C385">
        <v>38</v>
      </c>
      <c r="D385">
        <v>15</v>
      </c>
      <c r="E385">
        <v>10</v>
      </c>
      <c r="F385">
        <v>0</v>
      </c>
      <c r="G385">
        <v>1110</v>
      </c>
      <c r="H385">
        <v>90</v>
      </c>
    </row>
    <row r="386" spans="1:8">
      <c r="A386" s="6"/>
      <c r="B386">
        <v>61</v>
      </c>
      <c r="C386">
        <v>35</v>
      </c>
      <c r="D386">
        <v>5</v>
      </c>
      <c r="E386">
        <v>20</v>
      </c>
      <c r="F386">
        <v>0</v>
      </c>
      <c r="G386">
        <v>1100</v>
      </c>
      <c r="H386">
        <v>90</v>
      </c>
    </row>
    <row r="387" spans="1:8">
      <c r="A387" s="6"/>
      <c r="B387">
        <v>62</v>
      </c>
      <c r="C387">
        <v>50</v>
      </c>
      <c r="D387">
        <v>30</v>
      </c>
      <c r="E387">
        <v>10</v>
      </c>
      <c r="F387">
        <v>0</v>
      </c>
      <c r="G387">
        <v>1123</v>
      </c>
      <c r="H387">
        <v>90</v>
      </c>
    </row>
    <row r="388" spans="1:8">
      <c r="A388" s="6"/>
      <c r="B388">
        <v>63</v>
      </c>
      <c r="C388">
        <v>50</v>
      </c>
      <c r="D388">
        <v>35</v>
      </c>
      <c r="E388">
        <v>20</v>
      </c>
      <c r="F388">
        <v>262</v>
      </c>
      <c r="G388">
        <v>317</v>
      </c>
      <c r="H388">
        <v>90</v>
      </c>
    </row>
    <row r="389" spans="1:8">
      <c r="A389" s="6"/>
      <c r="B389">
        <v>64</v>
      </c>
      <c r="C389">
        <v>50</v>
      </c>
      <c r="D389">
        <v>40</v>
      </c>
      <c r="E389">
        <v>50</v>
      </c>
      <c r="F389">
        <v>0</v>
      </c>
      <c r="G389">
        <v>1131</v>
      </c>
      <c r="H389">
        <v>90</v>
      </c>
    </row>
    <row r="390" spans="1:8">
      <c r="A390" s="6"/>
      <c r="B390">
        <v>65</v>
      </c>
      <c r="C390">
        <v>48</v>
      </c>
      <c r="D390">
        <v>30</v>
      </c>
      <c r="E390">
        <v>10</v>
      </c>
      <c r="F390">
        <v>0</v>
      </c>
      <c r="G390">
        <v>1124</v>
      </c>
      <c r="H390">
        <v>90</v>
      </c>
    </row>
    <row r="391" spans="1:8">
      <c r="A391" s="6"/>
      <c r="B391">
        <v>66</v>
      </c>
      <c r="C391">
        <v>48</v>
      </c>
      <c r="D391">
        <v>40</v>
      </c>
      <c r="E391">
        <v>10</v>
      </c>
      <c r="F391">
        <v>0</v>
      </c>
      <c r="G391">
        <v>1133</v>
      </c>
      <c r="H391">
        <v>90</v>
      </c>
    </row>
    <row r="392" spans="1:8">
      <c r="A392" s="6"/>
      <c r="B392">
        <v>67</v>
      </c>
      <c r="C392">
        <v>47</v>
      </c>
      <c r="D392">
        <v>35</v>
      </c>
      <c r="E392">
        <v>10</v>
      </c>
      <c r="F392">
        <v>0</v>
      </c>
      <c r="G392">
        <v>1129</v>
      </c>
      <c r="H392">
        <v>90</v>
      </c>
    </row>
    <row r="393" spans="1:8">
      <c r="A393" s="6"/>
      <c r="B393">
        <v>68</v>
      </c>
      <c r="C393">
        <v>47</v>
      </c>
      <c r="D393">
        <v>40</v>
      </c>
      <c r="E393">
        <v>10</v>
      </c>
      <c r="F393">
        <v>12</v>
      </c>
      <c r="G393">
        <v>77</v>
      </c>
      <c r="H393">
        <v>90</v>
      </c>
    </row>
    <row r="394" spans="1:8">
      <c r="A394" s="6"/>
      <c r="B394">
        <v>69</v>
      </c>
      <c r="C394">
        <v>45</v>
      </c>
      <c r="D394">
        <v>30</v>
      </c>
      <c r="E394">
        <v>10</v>
      </c>
      <c r="F394">
        <v>0</v>
      </c>
      <c r="G394">
        <v>1125</v>
      </c>
      <c r="H394">
        <v>90</v>
      </c>
    </row>
    <row r="395" spans="1:8">
      <c r="A395" s="6"/>
      <c r="B395">
        <v>70</v>
      </c>
      <c r="C395">
        <v>45</v>
      </c>
      <c r="D395">
        <v>35</v>
      </c>
      <c r="E395">
        <v>10</v>
      </c>
      <c r="F395">
        <v>916</v>
      </c>
      <c r="G395">
        <v>969</v>
      </c>
      <c r="H395">
        <v>90</v>
      </c>
    </row>
    <row r="396" spans="1:8">
      <c r="A396" s="6"/>
      <c r="B396">
        <v>71</v>
      </c>
      <c r="C396">
        <v>95</v>
      </c>
      <c r="D396">
        <v>30</v>
      </c>
      <c r="E396">
        <v>30</v>
      </c>
      <c r="F396">
        <v>0</v>
      </c>
      <c r="G396">
        <v>1087</v>
      </c>
      <c r="H396">
        <v>90</v>
      </c>
    </row>
    <row r="397" spans="1:8">
      <c r="A397" s="6"/>
      <c r="B397">
        <v>72</v>
      </c>
      <c r="C397">
        <v>95</v>
      </c>
      <c r="D397">
        <v>35</v>
      </c>
      <c r="E397">
        <v>20</v>
      </c>
      <c r="F397">
        <v>0</v>
      </c>
      <c r="G397">
        <v>1088</v>
      </c>
      <c r="H397">
        <v>90</v>
      </c>
    </row>
    <row r="398" spans="1:8">
      <c r="A398" s="6"/>
      <c r="B398">
        <v>73</v>
      </c>
      <c r="C398">
        <v>53</v>
      </c>
      <c r="D398">
        <v>30</v>
      </c>
      <c r="E398">
        <v>10</v>
      </c>
      <c r="F398">
        <v>0</v>
      </c>
      <c r="G398">
        <v>1122</v>
      </c>
      <c r="H398">
        <v>90</v>
      </c>
    </row>
    <row r="399" spans="1:8">
      <c r="A399" s="6"/>
      <c r="B399">
        <v>74</v>
      </c>
      <c r="C399">
        <v>92</v>
      </c>
      <c r="D399">
        <v>30</v>
      </c>
      <c r="E399">
        <v>10</v>
      </c>
      <c r="F399">
        <v>0</v>
      </c>
      <c r="G399">
        <v>1090</v>
      </c>
      <c r="H399">
        <v>90</v>
      </c>
    </row>
    <row r="400" spans="1:8">
      <c r="A400" s="6"/>
      <c r="B400">
        <v>75</v>
      </c>
      <c r="C400">
        <v>53</v>
      </c>
      <c r="D400">
        <v>35</v>
      </c>
      <c r="E400">
        <v>50</v>
      </c>
      <c r="F400">
        <v>353</v>
      </c>
      <c r="G400">
        <v>412</v>
      </c>
      <c r="H400">
        <v>90</v>
      </c>
    </row>
    <row r="401" spans="1:8">
      <c r="A401" s="6"/>
      <c r="B401">
        <v>76</v>
      </c>
      <c r="C401">
        <v>45</v>
      </c>
      <c r="D401">
        <v>65</v>
      </c>
      <c r="E401">
        <v>20</v>
      </c>
      <c r="F401">
        <v>0</v>
      </c>
      <c r="G401">
        <v>1130</v>
      </c>
      <c r="H401">
        <v>90</v>
      </c>
    </row>
    <row r="402" spans="1:8">
      <c r="A402" s="6"/>
      <c r="B402">
        <v>77</v>
      </c>
      <c r="C402">
        <v>90</v>
      </c>
      <c r="D402">
        <v>35</v>
      </c>
      <c r="E402">
        <v>10</v>
      </c>
      <c r="F402">
        <v>203</v>
      </c>
      <c r="G402">
        <v>260</v>
      </c>
      <c r="H402">
        <v>90</v>
      </c>
    </row>
    <row r="403" spans="1:8">
      <c r="A403" s="6"/>
      <c r="B403">
        <v>78</v>
      </c>
      <c r="C403">
        <v>88</v>
      </c>
      <c r="D403">
        <v>30</v>
      </c>
      <c r="E403">
        <v>10</v>
      </c>
      <c r="F403">
        <v>574</v>
      </c>
      <c r="G403">
        <v>643</v>
      </c>
      <c r="H403">
        <v>90</v>
      </c>
    </row>
    <row r="404" spans="1:8">
      <c r="A404" s="6"/>
      <c r="B404">
        <v>79</v>
      </c>
      <c r="C404">
        <v>88</v>
      </c>
      <c r="D404">
        <v>35</v>
      </c>
      <c r="E404">
        <v>20</v>
      </c>
      <c r="F404">
        <v>0</v>
      </c>
      <c r="G404">
        <v>1095</v>
      </c>
      <c r="H404">
        <v>90</v>
      </c>
    </row>
    <row r="405" spans="1:8">
      <c r="A405" s="6"/>
      <c r="B405">
        <v>80</v>
      </c>
      <c r="C405">
        <v>87</v>
      </c>
      <c r="D405">
        <v>30</v>
      </c>
      <c r="E405">
        <v>10</v>
      </c>
      <c r="F405">
        <v>668</v>
      </c>
      <c r="G405">
        <v>731</v>
      </c>
      <c r="H405">
        <v>90</v>
      </c>
    </row>
    <row r="406" spans="1:8">
      <c r="A406" s="6"/>
      <c r="B406">
        <v>81</v>
      </c>
      <c r="C406">
        <v>85</v>
      </c>
      <c r="D406">
        <v>25</v>
      </c>
      <c r="E406">
        <v>10</v>
      </c>
      <c r="F406">
        <v>0</v>
      </c>
      <c r="G406">
        <v>1094</v>
      </c>
      <c r="H406">
        <v>90</v>
      </c>
    </row>
    <row r="407" spans="1:8">
      <c r="A407" s="6"/>
      <c r="B407">
        <v>82</v>
      </c>
      <c r="C407">
        <v>85</v>
      </c>
      <c r="D407">
        <v>35</v>
      </c>
      <c r="E407">
        <v>30</v>
      </c>
      <c r="F407">
        <v>0</v>
      </c>
      <c r="G407">
        <v>1098</v>
      </c>
      <c r="H407">
        <v>90</v>
      </c>
    </row>
    <row r="408" spans="1:8">
      <c r="A408" s="6"/>
      <c r="B408">
        <v>83</v>
      </c>
      <c r="C408">
        <v>75</v>
      </c>
      <c r="D408">
        <v>55</v>
      </c>
      <c r="E408">
        <v>20</v>
      </c>
      <c r="F408">
        <v>0</v>
      </c>
      <c r="G408">
        <v>1110</v>
      </c>
      <c r="H408">
        <v>90</v>
      </c>
    </row>
    <row r="409" spans="1:8">
      <c r="A409" s="6"/>
      <c r="B409">
        <v>84</v>
      </c>
      <c r="C409">
        <v>72</v>
      </c>
      <c r="D409">
        <v>55</v>
      </c>
      <c r="E409">
        <v>10</v>
      </c>
      <c r="F409">
        <v>0</v>
      </c>
      <c r="G409">
        <v>1113</v>
      </c>
      <c r="H409">
        <v>90</v>
      </c>
    </row>
    <row r="410" spans="1:8">
      <c r="A410" s="6"/>
      <c r="B410">
        <v>85</v>
      </c>
      <c r="C410">
        <v>70</v>
      </c>
      <c r="D410">
        <v>58</v>
      </c>
      <c r="E410">
        <v>20</v>
      </c>
      <c r="F410">
        <v>458</v>
      </c>
      <c r="G410">
        <v>523</v>
      </c>
      <c r="H410">
        <v>90</v>
      </c>
    </row>
    <row r="411" spans="1:8">
      <c r="A411" s="6"/>
      <c r="B411">
        <v>86</v>
      </c>
      <c r="C411">
        <v>68</v>
      </c>
      <c r="D411">
        <v>60</v>
      </c>
      <c r="E411">
        <v>30</v>
      </c>
      <c r="F411">
        <v>0</v>
      </c>
      <c r="G411">
        <v>1116</v>
      </c>
      <c r="H411">
        <v>90</v>
      </c>
    </row>
    <row r="412" spans="1:8">
      <c r="A412" s="6"/>
      <c r="B412">
        <v>87</v>
      </c>
      <c r="C412">
        <v>66</v>
      </c>
      <c r="D412">
        <v>55</v>
      </c>
      <c r="E412">
        <v>10</v>
      </c>
      <c r="F412">
        <v>0</v>
      </c>
      <c r="G412">
        <v>1119</v>
      </c>
      <c r="H412">
        <v>90</v>
      </c>
    </row>
    <row r="413" spans="1:8">
      <c r="A413" s="6"/>
      <c r="B413">
        <v>88</v>
      </c>
      <c r="C413">
        <v>65</v>
      </c>
      <c r="D413">
        <v>55</v>
      </c>
      <c r="E413">
        <v>20</v>
      </c>
      <c r="F413">
        <v>85</v>
      </c>
      <c r="G413">
        <v>144</v>
      </c>
      <c r="H413">
        <v>90</v>
      </c>
    </row>
    <row r="414" spans="1:8">
      <c r="A414" s="6"/>
      <c r="B414">
        <v>89</v>
      </c>
      <c r="C414">
        <v>65</v>
      </c>
      <c r="D414">
        <v>60</v>
      </c>
      <c r="E414">
        <v>30</v>
      </c>
      <c r="F414">
        <v>0</v>
      </c>
      <c r="G414">
        <v>1119</v>
      </c>
      <c r="H414">
        <v>90</v>
      </c>
    </row>
    <row r="415" spans="1:8">
      <c r="A415" s="6"/>
      <c r="B415">
        <v>90</v>
      </c>
      <c r="C415">
        <v>63</v>
      </c>
      <c r="D415">
        <v>58</v>
      </c>
      <c r="E415">
        <v>10</v>
      </c>
      <c r="F415">
        <v>0</v>
      </c>
      <c r="G415">
        <v>1121</v>
      </c>
      <c r="H415">
        <v>90</v>
      </c>
    </row>
    <row r="416" spans="1:8">
      <c r="A416" s="6"/>
      <c r="B416">
        <v>91</v>
      </c>
      <c r="C416">
        <v>60</v>
      </c>
      <c r="D416">
        <v>55</v>
      </c>
      <c r="E416">
        <v>10</v>
      </c>
      <c r="F416">
        <v>0</v>
      </c>
      <c r="G416">
        <v>1125</v>
      </c>
      <c r="H416">
        <v>90</v>
      </c>
    </row>
    <row r="417" spans="1:8">
      <c r="A417" s="6"/>
      <c r="B417">
        <v>92</v>
      </c>
      <c r="C417">
        <v>60</v>
      </c>
      <c r="D417">
        <v>60</v>
      </c>
      <c r="E417">
        <v>10</v>
      </c>
      <c r="F417">
        <v>0</v>
      </c>
      <c r="G417">
        <v>1123</v>
      </c>
      <c r="H417">
        <v>90</v>
      </c>
    </row>
    <row r="418" spans="1:8">
      <c r="A418" s="6"/>
      <c r="B418">
        <v>93</v>
      </c>
      <c r="C418">
        <v>67</v>
      </c>
      <c r="D418">
        <v>85</v>
      </c>
      <c r="E418">
        <v>20</v>
      </c>
      <c r="F418">
        <v>368</v>
      </c>
      <c r="G418">
        <v>441</v>
      </c>
      <c r="H418">
        <v>90</v>
      </c>
    </row>
    <row r="419" spans="1:8">
      <c r="A419" s="6"/>
      <c r="B419">
        <v>94</v>
      </c>
      <c r="C419">
        <v>65</v>
      </c>
      <c r="D419">
        <v>85</v>
      </c>
      <c r="E419">
        <v>40</v>
      </c>
      <c r="F419">
        <v>0</v>
      </c>
      <c r="G419">
        <v>1102</v>
      </c>
      <c r="H419">
        <v>90</v>
      </c>
    </row>
    <row r="420" spans="1:8">
      <c r="A420" s="6"/>
      <c r="B420">
        <v>95</v>
      </c>
      <c r="C420">
        <v>65</v>
      </c>
      <c r="D420">
        <v>82</v>
      </c>
      <c r="E420">
        <v>10</v>
      </c>
      <c r="F420">
        <v>0</v>
      </c>
      <c r="G420">
        <v>1105</v>
      </c>
      <c r="H420">
        <v>90</v>
      </c>
    </row>
    <row r="421" spans="1:8">
      <c r="A421" s="6"/>
      <c r="B421">
        <v>96</v>
      </c>
      <c r="C421">
        <v>62</v>
      </c>
      <c r="D421">
        <v>80</v>
      </c>
      <c r="E421">
        <v>30</v>
      </c>
      <c r="F421">
        <v>0</v>
      </c>
      <c r="G421">
        <v>1108</v>
      </c>
      <c r="H421">
        <v>90</v>
      </c>
    </row>
    <row r="422" spans="1:8">
      <c r="A422" s="6"/>
      <c r="B422">
        <v>97</v>
      </c>
      <c r="C422">
        <v>60</v>
      </c>
      <c r="D422">
        <v>80</v>
      </c>
      <c r="E422">
        <v>10</v>
      </c>
      <c r="F422">
        <v>0</v>
      </c>
      <c r="G422">
        <v>1109</v>
      </c>
      <c r="H422">
        <v>90</v>
      </c>
    </row>
    <row r="423" spans="1:8">
      <c r="A423" s="6"/>
      <c r="B423">
        <v>98</v>
      </c>
      <c r="C423">
        <v>60</v>
      </c>
      <c r="D423">
        <v>85</v>
      </c>
      <c r="E423">
        <v>30</v>
      </c>
      <c r="F423">
        <v>0</v>
      </c>
      <c r="G423">
        <v>1105</v>
      </c>
      <c r="H423">
        <v>90</v>
      </c>
    </row>
    <row r="424" spans="1:8">
      <c r="A424" s="6"/>
      <c r="B424">
        <v>99</v>
      </c>
      <c r="C424">
        <v>58</v>
      </c>
      <c r="D424">
        <v>75</v>
      </c>
      <c r="E424">
        <v>20</v>
      </c>
      <c r="F424">
        <v>0</v>
      </c>
      <c r="G424">
        <v>1115</v>
      </c>
      <c r="H424">
        <v>90</v>
      </c>
    </row>
    <row r="425" spans="1:8">
      <c r="A425" s="6"/>
      <c r="B425">
        <v>100</v>
      </c>
      <c r="C425">
        <v>55</v>
      </c>
      <c r="D425">
        <v>80</v>
      </c>
      <c r="E425">
        <v>10</v>
      </c>
      <c r="F425">
        <v>743</v>
      </c>
      <c r="G425">
        <v>820</v>
      </c>
      <c r="H425">
        <v>90</v>
      </c>
    </row>
    <row r="426" spans="1:8">
      <c r="A426" s="6"/>
      <c r="B426">
        <v>101</v>
      </c>
      <c r="C426">
        <v>55</v>
      </c>
      <c r="D426">
        <v>85</v>
      </c>
      <c r="E426">
        <v>20</v>
      </c>
      <c r="F426">
        <v>647</v>
      </c>
      <c r="G426">
        <v>726</v>
      </c>
      <c r="H426">
        <v>90</v>
      </c>
    </row>
    <row r="430" spans="1:8" ht="17.399999999999999">
      <c r="A430" s="7" t="s">
        <v>40</v>
      </c>
    </row>
    <row r="431" spans="1:8">
      <c r="A431" s="4"/>
      <c r="B431" t="s">
        <v>32</v>
      </c>
      <c r="C431" t="s">
        <v>26</v>
      </c>
      <c r="D431" t="s">
        <v>27</v>
      </c>
      <c r="E431" t="s">
        <v>28</v>
      </c>
      <c r="F431" t="s">
        <v>29</v>
      </c>
      <c r="G431" t="s">
        <v>30</v>
      </c>
      <c r="H431" t="s">
        <v>31</v>
      </c>
    </row>
    <row r="432" spans="1:8">
      <c r="A432" s="6"/>
      <c r="B432">
        <v>1</v>
      </c>
      <c r="C432">
        <v>40</v>
      </c>
      <c r="D432">
        <v>50</v>
      </c>
      <c r="E432">
        <v>0</v>
      </c>
      <c r="F432">
        <v>0</v>
      </c>
      <c r="G432">
        <v>1236</v>
      </c>
      <c r="H432">
        <v>0</v>
      </c>
    </row>
    <row r="433" spans="1:8">
      <c r="A433" s="6"/>
      <c r="B433">
        <v>2</v>
      </c>
      <c r="C433">
        <v>45</v>
      </c>
      <c r="D433">
        <v>68</v>
      </c>
      <c r="E433">
        <v>10</v>
      </c>
      <c r="F433">
        <v>885</v>
      </c>
      <c r="G433">
        <v>994</v>
      </c>
      <c r="H433">
        <v>90</v>
      </c>
    </row>
    <row r="434" spans="1:8">
      <c r="A434" s="6"/>
      <c r="B434">
        <v>3</v>
      </c>
      <c r="C434">
        <v>45</v>
      </c>
      <c r="D434">
        <v>70</v>
      </c>
      <c r="E434">
        <v>30</v>
      </c>
      <c r="F434">
        <v>802</v>
      </c>
      <c r="G434">
        <v>893</v>
      </c>
      <c r="H434">
        <v>90</v>
      </c>
    </row>
    <row r="435" spans="1:8">
      <c r="A435" s="6"/>
      <c r="B435">
        <v>4</v>
      </c>
      <c r="C435">
        <v>42</v>
      </c>
      <c r="D435">
        <v>66</v>
      </c>
      <c r="E435">
        <v>10</v>
      </c>
      <c r="F435">
        <v>25</v>
      </c>
      <c r="G435">
        <v>186</v>
      </c>
      <c r="H435">
        <v>90</v>
      </c>
    </row>
    <row r="436" spans="1:8">
      <c r="A436" s="6"/>
      <c r="B436">
        <v>5</v>
      </c>
      <c r="C436">
        <v>42</v>
      </c>
      <c r="D436">
        <v>68</v>
      </c>
      <c r="E436">
        <v>10</v>
      </c>
      <c r="F436">
        <v>699</v>
      </c>
      <c r="G436">
        <v>810</v>
      </c>
      <c r="H436">
        <v>90</v>
      </c>
    </row>
    <row r="437" spans="1:8">
      <c r="A437" s="6"/>
      <c r="B437">
        <v>6</v>
      </c>
      <c r="C437">
        <v>42</v>
      </c>
      <c r="D437">
        <v>65</v>
      </c>
      <c r="E437">
        <v>10</v>
      </c>
      <c r="F437">
        <v>15</v>
      </c>
      <c r="G437">
        <v>120</v>
      </c>
      <c r="H437">
        <v>90</v>
      </c>
    </row>
    <row r="438" spans="1:8">
      <c r="A438" s="6"/>
      <c r="B438">
        <v>7</v>
      </c>
      <c r="C438">
        <v>40</v>
      </c>
      <c r="D438">
        <v>69</v>
      </c>
      <c r="E438">
        <v>20</v>
      </c>
      <c r="F438">
        <v>580</v>
      </c>
      <c r="G438">
        <v>743</v>
      </c>
      <c r="H438">
        <v>90</v>
      </c>
    </row>
    <row r="439" spans="1:8">
      <c r="A439" s="6"/>
      <c r="B439">
        <v>8</v>
      </c>
      <c r="C439">
        <v>40</v>
      </c>
      <c r="D439">
        <v>66</v>
      </c>
      <c r="E439">
        <v>20</v>
      </c>
      <c r="F439">
        <v>142</v>
      </c>
      <c r="G439">
        <v>253</v>
      </c>
      <c r="H439">
        <v>90</v>
      </c>
    </row>
    <row r="440" spans="1:8">
      <c r="A440" s="6"/>
      <c r="B440">
        <v>9</v>
      </c>
      <c r="C440">
        <v>38</v>
      </c>
      <c r="D440">
        <v>68</v>
      </c>
      <c r="E440">
        <v>20</v>
      </c>
      <c r="F440">
        <v>220</v>
      </c>
      <c r="G440">
        <v>359</v>
      </c>
      <c r="H440">
        <v>90</v>
      </c>
    </row>
    <row r="441" spans="1:8">
      <c r="A441" s="6"/>
      <c r="B441">
        <v>10</v>
      </c>
      <c r="C441">
        <v>38</v>
      </c>
      <c r="D441">
        <v>70</v>
      </c>
      <c r="E441">
        <v>10</v>
      </c>
      <c r="F441">
        <v>499</v>
      </c>
      <c r="G441">
        <v>640</v>
      </c>
      <c r="H441">
        <v>90</v>
      </c>
    </row>
    <row r="442" spans="1:8">
      <c r="A442" s="6"/>
      <c r="B442">
        <v>11</v>
      </c>
      <c r="C442">
        <v>35</v>
      </c>
      <c r="D442">
        <v>66</v>
      </c>
      <c r="E442">
        <v>10</v>
      </c>
      <c r="F442">
        <v>331</v>
      </c>
      <c r="G442">
        <v>436</v>
      </c>
      <c r="H442">
        <v>90</v>
      </c>
    </row>
    <row r="443" spans="1:8">
      <c r="A443" s="6"/>
      <c r="B443">
        <v>12</v>
      </c>
      <c r="C443">
        <v>35</v>
      </c>
      <c r="D443">
        <v>69</v>
      </c>
      <c r="E443">
        <v>10</v>
      </c>
      <c r="F443">
        <v>420</v>
      </c>
      <c r="G443">
        <v>533</v>
      </c>
      <c r="H443">
        <v>90</v>
      </c>
    </row>
    <row r="444" spans="1:8">
      <c r="A444" s="6"/>
      <c r="B444">
        <v>13</v>
      </c>
      <c r="C444">
        <v>25</v>
      </c>
      <c r="D444">
        <v>85</v>
      </c>
      <c r="E444">
        <v>20</v>
      </c>
      <c r="F444">
        <v>617</v>
      </c>
      <c r="G444">
        <v>756</v>
      </c>
      <c r="H444">
        <v>90</v>
      </c>
    </row>
    <row r="445" spans="1:8">
      <c r="A445" s="6"/>
      <c r="B445">
        <v>14</v>
      </c>
      <c r="C445">
        <v>22</v>
      </c>
      <c r="D445">
        <v>75</v>
      </c>
      <c r="E445">
        <v>30</v>
      </c>
      <c r="F445">
        <v>30</v>
      </c>
      <c r="G445">
        <v>155</v>
      </c>
      <c r="H445">
        <v>90</v>
      </c>
    </row>
    <row r="446" spans="1:8">
      <c r="A446" s="6"/>
      <c r="B446">
        <v>15</v>
      </c>
      <c r="C446">
        <v>22</v>
      </c>
      <c r="D446">
        <v>85</v>
      </c>
      <c r="E446">
        <v>10</v>
      </c>
      <c r="F446">
        <v>541</v>
      </c>
      <c r="G446">
        <v>646</v>
      </c>
      <c r="H446">
        <v>90</v>
      </c>
    </row>
    <row r="447" spans="1:8">
      <c r="A447" s="6"/>
      <c r="B447">
        <v>16</v>
      </c>
      <c r="C447">
        <v>20</v>
      </c>
      <c r="D447">
        <v>80</v>
      </c>
      <c r="E447">
        <v>40</v>
      </c>
      <c r="F447">
        <v>362</v>
      </c>
      <c r="G447">
        <v>451</v>
      </c>
      <c r="H447">
        <v>90</v>
      </c>
    </row>
    <row r="448" spans="1:8">
      <c r="A448" s="6"/>
      <c r="B448">
        <v>17</v>
      </c>
      <c r="C448">
        <v>20</v>
      </c>
      <c r="D448">
        <v>85</v>
      </c>
      <c r="E448">
        <v>40</v>
      </c>
      <c r="F448">
        <v>448</v>
      </c>
      <c r="G448">
        <v>555</v>
      </c>
      <c r="H448">
        <v>90</v>
      </c>
    </row>
    <row r="449" spans="1:8">
      <c r="A449" s="6"/>
      <c r="B449">
        <v>18</v>
      </c>
      <c r="C449">
        <v>18</v>
      </c>
      <c r="D449">
        <v>75</v>
      </c>
      <c r="E449">
        <v>20</v>
      </c>
      <c r="F449">
        <v>75</v>
      </c>
      <c r="G449">
        <v>172</v>
      </c>
      <c r="H449">
        <v>90</v>
      </c>
    </row>
    <row r="450" spans="1:8">
      <c r="A450" s="6"/>
      <c r="B450">
        <v>19</v>
      </c>
      <c r="C450">
        <v>15</v>
      </c>
      <c r="D450">
        <v>75</v>
      </c>
      <c r="E450">
        <v>20</v>
      </c>
      <c r="F450">
        <v>142</v>
      </c>
      <c r="G450">
        <v>291</v>
      </c>
      <c r="H450">
        <v>90</v>
      </c>
    </row>
    <row r="451" spans="1:8">
      <c r="A451" s="6"/>
      <c r="B451">
        <v>20</v>
      </c>
      <c r="C451">
        <v>15</v>
      </c>
      <c r="D451">
        <v>80</v>
      </c>
      <c r="E451">
        <v>10</v>
      </c>
      <c r="F451">
        <v>244</v>
      </c>
      <c r="G451">
        <v>379</v>
      </c>
      <c r="H451">
        <v>90</v>
      </c>
    </row>
    <row r="452" spans="1:8">
      <c r="A452" s="6"/>
      <c r="B452">
        <v>21</v>
      </c>
      <c r="C452">
        <v>30</v>
      </c>
      <c r="D452">
        <v>50</v>
      </c>
      <c r="E452">
        <v>10</v>
      </c>
      <c r="F452">
        <v>10</v>
      </c>
      <c r="G452">
        <v>137</v>
      </c>
      <c r="H452">
        <v>90</v>
      </c>
    </row>
    <row r="453" spans="1:8">
      <c r="A453" s="6"/>
      <c r="B453">
        <v>22</v>
      </c>
      <c r="C453">
        <v>30</v>
      </c>
      <c r="D453">
        <v>52</v>
      </c>
      <c r="E453">
        <v>20</v>
      </c>
      <c r="F453">
        <v>888</v>
      </c>
      <c r="G453">
        <v>991</v>
      </c>
      <c r="H453">
        <v>90</v>
      </c>
    </row>
    <row r="454" spans="1:8">
      <c r="A454" s="6"/>
      <c r="B454">
        <v>23</v>
      </c>
      <c r="C454">
        <v>28</v>
      </c>
      <c r="D454">
        <v>52</v>
      </c>
      <c r="E454">
        <v>20</v>
      </c>
      <c r="F454">
        <v>776</v>
      </c>
      <c r="G454">
        <v>919</v>
      </c>
      <c r="H454">
        <v>90</v>
      </c>
    </row>
    <row r="455" spans="1:8">
      <c r="A455" s="6"/>
      <c r="B455">
        <v>24</v>
      </c>
      <c r="C455">
        <v>28</v>
      </c>
      <c r="D455">
        <v>55</v>
      </c>
      <c r="E455">
        <v>10</v>
      </c>
      <c r="F455">
        <v>709</v>
      </c>
      <c r="G455">
        <v>800</v>
      </c>
      <c r="H455">
        <v>90</v>
      </c>
    </row>
    <row r="456" spans="1:8">
      <c r="A456" s="6"/>
      <c r="B456">
        <v>25</v>
      </c>
      <c r="C456">
        <v>25</v>
      </c>
      <c r="D456">
        <v>50</v>
      </c>
      <c r="E456">
        <v>10</v>
      </c>
      <c r="F456">
        <v>25</v>
      </c>
      <c r="G456">
        <v>184</v>
      </c>
      <c r="H456">
        <v>90</v>
      </c>
    </row>
    <row r="457" spans="1:8">
      <c r="A457" s="6"/>
      <c r="B457">
        <v>26</v>
      </c>
      <c r="C457">
        <v>25</v>
      </c>
      <c r="D457">
        <v>52</v>
      </c>
      <c r="E457">
        <v>40</v>
      </c>
      <c r="F457">
        <v>142</v>
      </c>
      <c r="G457">
        <v>251</v>
      </c>
      <c r="H457">
        <v>90</v>
      </c>
    </row>
    <row r="458" spans="1:8">
      <c r="A458" s="6"/>
      <c r="B458">
        <v>27</v>
      </c>
      <c r="C458">
        <v>25</v>
      </c>
      <c r="D458">
        <v>55</v>
      </c>
      <c r="E458">
        <v>10</v>
      </c>
      <c r="F458">
        <v>582</v>
      </c>
      <c r="G458">
        <v>741</v>
      </c>
      <c r="H458">
        <v>90</v>
      </c>
    </row>
    <row r="459" spans="1:8">
      <c r="A459" s="6"/>
      <c r="B459">
        <v>28</v>
      </c>
      <c r="C459">
        <v>23</v>
      </c>
      <c r="D459">
        <v>52</v>
      </c>
      <c r="E459">
        <v>10</v>
      </c>
      <c r="F459">
        <v>234</v>
      </c>
      <c r="G459">
        <v>343</v>
      </c>
      <c r="H459">
        <v>90</v>
      </c>
    </row>
    <row r="460" spans="1:8">
      <c r="A460" s="6"/>
      <c r="B460">
        <v>29</v>
      </c>
      <c r="C460">
        <v>23</v>
      </c>
      <c r="D460">
        <v>55</v>
      </c>
      <c r="E460">
        <v>20</v>
      </c>
      <c r="F460">
        <v>523</v>
      </c>
      <c r="G460">
        <v>616</v>
      </c>
      <c r="H460">
        <v>90</v>
      </c>
    </row>
    <row r="461" spans="1:8">
      <c r="A461" s="6"/>
      <c r="B461">
        <v>30</v>
      </c>
      <c r="C461">
        <v>20</v>
      </c>
      <c r="D461">
        <v>50</v>
      </c>
      <c r="E461">
        <v>10</v>
      </c>
      <c r="F461">
        <v>335</v>
      </c>
      <c r="G461">
        <v>428</v>
      </c>
      <c r="H461">
        <v>90</v>
      </c>
    </row>
    <row r="462" spans="1:8">
      <c r="A462" s="6"/>
      <c r="B462">
        <v>31</v>
      </c>
      <c r="C462">
        <v>20</v>
      </c>
      <c r="D462">
        <v>55</v>
      </c>
      <c r="E462">
        <v>10</v>
      </c>
      <c r="F462">
        <v>422</v>
      </c>
      <c r="G462">
        <v>531</v>
      </c>
      <c r="H462">
        <v>90</v>
      </c>
    </row>
    <row r="463" spans="1:8">
      <c r="A463" s="6"/>
      <c r="B463">
        <v>32</v>
      </c>
      <c r="C463">
        <v>10</v>
      </c>
      <c r="D463">
        <v>35</v>
      </c>
      <c r="E463">
        <v>20</v>
      </c>
      <c r="F463">
        <v>181</v>
      </c>
      <c r="G463">
        <v>256</v>
      </c>
      <c r="H463">
        <v>90</v>
      </c>
    </row>
    <row r="464" spans="1:8">
      <c r="A464" s="6"/>
      <c r="B464">
        <v>33</v>
      </c>
      <c r="C464">
        <v>10</v>
      </c>
      <c r="D464">
        <v>40</v>
      </c>
      <c r="E464">
        <v>30</v>
      </c>
      <c r="F464">
        <v>31</v>
      </c>
      <c r="G464">
        <v>170</v>
      </c>
      <c r="H464">
        <v>90</v>
      </c>
    </row>
    <row r="465" spans="1:8">
      <c r="A465" s="6"/>
      <c r="B465">
        <v>34</v>
      </c>
      <c r="C465">
        <v>8</v>
      </c>
      <c r="D465">
        <v>40</v>
      </c>
      <c r="E465">
        <v>40</v>
      </c>
      <c r="F465">
        <v>52</v>
      </c>
      <c r="G465">
        <v>193</v>
      </c>
      <c r="H465">
        <v>90</v>
      </c>
    </row>
    <row r="466" spans="1:8">
      <c r="A466" s="6"/>
      <c r="B466">
        <v>35</v>
      </c>
      <c r="C466">
        <v>8</v>
      </c>
      <c r="D466">
        <v>45</v>
      </c>
      <c r="E466">
        <v>20</v>
      </c>
      <c r="F466">
        <v>719</v>
      </c>
      <c r="G466">
        <v>848</v>
      </c>
      <c r="H466">
        <v>90</v>
      </c>
    </row>
    <row r="467" spans="1:8">
      <c r="A467" s="6"/>
      <c r="B467">
        <v>36</v>
      </c>
      <c r="C467">
        <v>5</v>
      </c>
      <c r="D467">
        <v>35</v>
      </c>
      <c r="E467">
        <v>10</v>
      </c>
      <c r="F467">
        <v>252</v>
      </c>
      <c r="G467">
        <v>375</v>
      </c>
      <c r="H467">
        <v>90</v>
      </c>
    </row>
    <row r="468" spans="1:8">
      <c r="A468" s="6"/>
      <c r="B468">
        <v>37</v>
      </c>
      <c r="C468">
        <v>5</v>
      </c>
      <c r="D468">
        <v>45</v>
      </c>
      <c r="E468">
        <v>10</v>
      </c>
      <c r="F468">
        <v>639</v>
      </c>
      <c r="G468">
        <v>742</v>
      </c>
      <c r="H468">
        <v>90</v>
      </c>
    </row>
    <row r="469" spans="1:8">
      <c r="A469" s="6"/>
      <c r="B469">
        <v>38</v>
      </c>
      <c r="C469">
        <v>2</v>
      </c>
      <c r="D469">
        <v>40</v>
      </c>
      <c r="E469">
        <v>20</v>
      </c>
      <c r="F469">
        <v>357</v>
      </c>
      <c r="G469">
        <v>460</v>
      </c>
      <c r="H469">
        <v>90</v>
      </c>
    </row>
    <row r="470" spans="1:8">
      <c r="A470" s="6"/>
      <c r="B470">
        <v>39</v>
      </c>
      <c r="C470">
        <v>0</v>
      </c>
      <c r="D470">
        <v>40</v>
      </c>
      <c r="E470">
        <v>30</v>
      </c>
      <c r="F470">
        <v>457</v>
      </c>
      <c r="G470">
        <v>544</v>
      </c>
      <c r="H470">
        <v>90</v>
      </c>
    </row>
    <row r="471" spans="1:8">
      <c r="A471" s="6"/>
      <c r="B471">
        <v>40</v>
      </c>
      <c r="C471">
        <v>0</v>
      </c>
      <c r="D471">
        <v>45</v>
      </c>
      <c r="E471">
        <v>20</v>
      </c>
      <c r="F471">
        <v>538</v>
      </c>
      <c r="G471">
        <v>653</v>
      </c>
      <c r="H471">
        <v>90</v>
      </c>
    </row>
    <row r="472" spans="1:8">
      <c r="A472" s="6"/>
      <c r="B472">
        <v>41</v>
      </c>
      <c r="C472">
        <v>35</v>
      </c>
      <c r="D472">
        <v>30</v>
      </c>
      <c r="E472">
        <v>10</v>
      </c>
      <c r="F472">
        <v>236</v>
      </c>
      <c r="G472">
        <v>349</v>
      </c>
      <c r="H472">
        <v>90</v>
      </c>
    </row>
    <row r="473" spans="1:8">
      <c r="A473" s="6"/>
      <c r="B473">
        <v>42</v>
      </c>
      <c r="C473">
        <v>35</v>
      </c>
      <c r="D473">
        <v>32</v>
      </c>
      <c r="E473">
        <v>10</v>
      </c>
      <c r="F473">
        <v>132</v>
      </c>
      <c r="G473">
        <v>269</v>
      </c>
      <c r="H473">
        <v>90</v>
      </c>
    </row>
    <row r="474" spans="1:8">
      <c r="A474" s="6"/>
      <c r="B474">
        <v>43</v>
      </c>
      <c r="C474">
        <v>33</v>
      </c>
      <c r="D474">
        <v>32</v>
      </c>
      <c r="E474">
        <v>20</v>
      </c>
      <c r="F474">
        <v>27</v>
      </c>
      <c r="G474">
        <v>190</v>
      </c>
      <c r="H474">
        <v>90</v>
      </c>
    </row>
    <row r="475" spans="1:8">
      <c r="A475" s="6"/>
      <c r="B475">
        <v>44</v>
      </c>
      <c r="C475">
        <v>33</v>
      </c>
      <c r="D475">
        <v>35</v>
      </c>
      <c r="E475">
        <v>10</v>
      </c>
      <c r="F475">
        <v>16</v>
      </c>
      <c r="G475">
        <v>144</v>
      </c>
      <c r="H475">
        <v>90</v>
      </c>
    </row>
    <row r="476" spans="1:8">
      <c r="A476" s="6"/>
      <c r="B476">
        <v>45</v>
      </c>
      <c r="C476">
        <v>32</v>
      </c>
      <c r="D476">
        <v>30</v>
      </c>
      <c r="E476">
        <v>10</v>
      </c>
      <c r="F476">
        <v>332</v>
      </c>
      <c r="G476">
        <v>439</v>
      </c>
      <c r="H476">
        <v>90</v>
      </c>
    </row>
    <row r="477" spans="1:8">
      <c r="A477" s="6"/>
      <c r="B477">
        <v>46</v>
      </c>
      <c r="C477">
        <v>30</v>
      </c>
      <c r="D477">
        <v>30</v>
      </c>
      <c r="E477">
        <v>10</v>
      </c>
      <c r="F477">
        <v>512</v>
      </c>
      <c r="G477">
        <v>629</v>
      </c>
      <c r="H477">
        <v>90</v>
      </c>
    </row>
    <row r="478" spans="1:8">
      <c r="A478" s="6"/>
      <c r="B478">
        <v>47</v>
      </c>
      <c r="C478">
        <v>30</v>
      </c>
      <c r="D478">
        <v>32</v>
      </c>
      <c r="E478">
        <v>30</v>
      </c>
      <c r="F478">
        <v>417</v>
      </c>
      <c r="G478">
        <v>540</v>
      </c>
      <c r="H478">
        <v>90</v>
      </c>
    </row>
    <row r="479" spans="1:8">
      <c r="A479" s="6"/>
      <c r="B479">
        <v>48</v>
      </c>
      <c r="C479">
        <v>30</v>
      </c>
      <c r="D479">
        <v>35</v>
      </c>
      <c r="E479">
        <v>10</v>
      </c>
      <c r="F479">
        <v>982</v>
      </c>
      <c r="G479">
        <v>1127</v>
      </c>
      <c r="H479">
        <v>90</v>
      </c>
    </row>
    <row r="480" spans="1:8">
      <c r="A480" s="6"/>
      <c r="B480">
        <v>49</v>
      </c>
      <c r="C480">
        <v>28</v>
      </c>
      <c r="D480">
        <v>30</v>
      </c>
      <c r="E480">
        <v>10</v>
      </c>
      <c r="F480">
        <v>601</v>
      </c>
      <c r="G480">
        <v>724</v>
      </c>
      <c r="H480">
        <v>90</v>
      </c>
    </row>
    <row r="481" spans="1:8">
      <c r="A481" s="6"/>
      <c r="B481">
        <v>50</v>
      </c>
      <c r="C481">
        <v>28</v>
      </c>
      <c r="D481">
        <v>35</v>
      </c>
      <c r="E481">
        <v>10</v>
      </c>
      <c r="F481">
        <v>969</v>
      </c>
      <c r="G481">
        <v>1098</v>
      </c>
      <c r="H481">
        <v>90</v>
      </c>
    </row>
    <row r="482" spans="1:8">
      <c r="A482" s="6"/>
      <c r="B482">
        <v>51</v>
      </c>
      <c r="C482">
        <v>26</v>
      </c>
      <c r="D482">
        <v>32</v>
      </c>
      <c r="E482">
        <v>10</v>
      </c>
      <c r="F482">
        <v>783</v>
      </c>
      <c r="G482">
        <v>912</v>
      </c>
      <c r="H482">
        <v>90</v>
      </c>
    </row>
    <row r="483" spans="1:8">
      <c r="A483" s="6"/>
      <c r="B483">
        <v>52</v>
      </c>
      <c r="C483">
        <v>25</v>
      </c>
      <c r="D483">
        <v>30</v>
      </c>
      <c r="E483">
        <v>10</v>
      </c>
      <c r="F483">
        <v>695</v>
      </c>
      <c r="G483">
        <v>816</v>
      </c>
      <c r="H483">
        <v>90</v>
      </c>
    </row>
    <row r="484" spans="1:8">
      <c r="A484" s="6"/>
      <c r="B484">
        <v>53</v>
      </c>
      <c r="C484">
        <v>25</v>
      </c>
      <c r="D484">
        <v>35</v>
      </c>
      <c r="E484">
        <v>10</v>
      </c>
      <c r="F484">
        <v>883</v>
      </c>
      <c r="G484">
        <v>998</v>
      </c>
      <c r="H484">
        <v>90</v>
      </c>
    </row>
    <row r="485" spans="1:8">
      <c r="A485" s="6"/>
      <c r="B485">
        <v>54</v>
      </c>
      <c r="C485">
        <v>44</v>
      </c>
      <c r="D485">
        <v>5</v>
      </c>
      <c r="E485">
        <v>20</v>
      </c>
      <c r="F485">
        <v>255</v>
      </c>
      <c r="G485">
        <v>378</v>
      </c>
      <c r="H485">
        <v>90</v>
      </c>
    </row>
    <row r="486" spans="1:8">
      <c r="A486" s="6"/>
      <c r="B486">
        <v>55</v>
      </c>
      <c r="C486">
        <v>42</v>
      </c>
      <c r="D486">
        <v>10</v>
      </c>
      <c r="E486">
        <v>40</v>
      </c>
      <c r="F486">
        <v>150</v>
      </c>
      <c r="G486">
        <v>293</v>
      </c>
      <c r="H486">
        <v>90</v>
      </c>
    </row>
    <row r="487" spans="1:8">
      <c r="A487" s="6"/>
      <c r="B487">
        <v>56</v>
      </c>
      <c r="C487">
        <v>42</v>
      </c>
      <c r="D487">
        <v>15</v>
      </c>
      <c r="E487">
        <v>10</v>
      </c>
      <c r="F487">
        <v>63</v>
      </c>
      <c r="G487">
        <v>190</v>
      </c>
      <c r="H487">
        <v>90</v>
      </c>
    </row>
    <row r="488" spans="1:8">
      <c r="A488" s="6"/>
      <c r="B488">
        <v>57</v>
      </c>
      <c r="C488">
        <v>40</v>
      </c>
      <c r="D488">
        <v>5</v>
      </c>
      <c r="E488">
        <v>30</v>
      </c>
      <c r="F488">
        <v>359</v>
      </c>
      <c r="G488">
        <v>462</v>
      </c>
      <c r="H488">
        <v>90</v>
      </c>
    </row>
    <row r="489" spans="1:8">
      <c r="A489" s="6"/>
      <c r="B489">
        <v>58</v>
      </c>
      <c r="C489">
        <v>40</v>
      </c>
      <c r="D489">
        <v>15</v>
      </c>
      <c r="E489">
        <v>40</v>
      </c>
      <c r="F489">
        <v>35</v>
      </c>
      <c r="G489">
        <v>140</v>
      </c>
      <c r="H489">
        <v>90</v>
      </c>
    </row>
    <row r="490" spans="1:8">
      <c r="A490" s="6"/>
      <c r="B490">
        <v>59</v>
      </c>
      <c r="C490">
        <v>38</v>
      </c>
      <c r="D490">
        <v>5</v>
      </c>
      <c r="E490">
        <v>30</v>
      </c>
      <c r="F490">
        <v>439</v>
      </c>
      <c r="G490">
        <v>566</v>
      </c>
      <c r="H490">
        <v>90</v>
      </c>
    </row>
    <row r="491" spans="1:8">
      <c r="A491" s="6"/>
      <c r="B491">
        <v>60</v>
      </c>
      <c r="C491">
        <v>38</v>
      </c>
      <c r="D491">
        <v>15</v>
      </c>
      <c r="E491">
        <v>10</v>
      </c>
      <c r="F491">
        <v>607</v>
      </c>
      <c r="G491">
        <v>784</v>
      </c>
      <c r="H491">
        <v>90</v>
      </c>
    </row>
    <row r="492" spans="1:8">
      <c r="A492" s="6"/>
      <c r="B492">
        <v>61</v>
      </c>
      <c r="C492">
        <v>35</v>
      </c>
      <c r="D492">
        <v>5</v>
      </c>
      <c r="E492">
        <v>20</v>
      </c>
      <c r="F492">
        <v>529</v>
      </c>
      <c r="G492">
        <v>662</v>
      </c>
      <c r="H492">
        <v>90</v>
      </c>
    </row>
    <row r="493" spans="1:8">
      <c r="A493" s="6"/>
      <c r="B493">
        <v>62</v>
      </c>
      <c r="C493">
        <v>50</v>
      </c>
      <c r="D493">
        <v>30</v>
      </c>
      <c r="E493">
        <v>10</v>
      </c>
      <c r="F493">
        <v>491</v>
      </c>
      <c r="G493">
        <v>650</v>
      </c>
      <c r="H493">
        <v>90</v>
      </c>
    </row>
    <row r="494" spans="1:8">
      <c r="A494" s="6"/>
      <c r="B494">
        <v>63</v>
      </c>
      <c r="C494">
        <v>50</v>
      </c>
      <c r="D494">
        <v>35</v>
      </c>
      <c r="E494">
        <v>20</v>
      </c>
      <c r="F494">
        <v>235</v>
      </c>
      <c r="G494">
        <v>344</v>
      </c>
      <c r="H494">
        <v>90</v>
      </c>
    </row>
    <row r="495" spans="1:8">
      <c r="A495" s="6"/>
      <c r="B495">
        <v>64</v>
      </c>
      <c r="C495">
        <v>50</v>
      </c>
      <c r="D495">
        <v>40</v>
      </c>
      <c r="E495">
        <v>50</v>
      </c>
      <c r="F495">
        <v>147</v>
      </c>
      <c r="G495">
        <v>242</v>
      </c>
      <c r="H495">
        <v>90</v>
      </c>
    </row>
    <row r="496" spans="1:8">
      <c r="A496" s="6"/>
      <c r="B496">
        <v>65</v>
      </c>
      <c r="C496">
        <v>48</v>
      </c>
      <c r="D496">
        <v>30</v>
      </c>
      <c r="E496">
        <v>10</v>
      </c>
      <c r="F496">
        <v>601</v>
      </c>
      <c r="G496">
        <v>724</v>
      </c>
      <c r="H496">
        <v>90</v>
      </c>
    </row>
    <row r="497" spans="1:8">
      <c r="A497" s="6"/>
      <c r="B497">
        <v>66</v>
      </c>
      <c r="C497">
        <v>48</v>
      </c>
      <c r="D497">
        <v>40</v>
      </c>
      <c r="E497">
        <v>10</v>
      </c>
      <c r="F497">
        <v>50</v>
      </c>
      <c r="G497">
        <v>155</v>
      </c>
      <c r="H497">
        <v>90</v>
      </c>
    </row>
    <row r="498" spans="1:8">
      <c r="A498" s="6"/>
      <c r="B498">
        <v>67</v>
      </c>
      <c r="C498">
        <v>47</v>
      </c>
      <c r="D498">
        <v>35</v>
      </c>
      <c r="E498">
        <v>10</v>
      </c>
      <c r="F498">
        <v>802</v>
      </c>
      <c r="G498">
        <v>899</v>
      </c>
      <c r="H498">
        <v>90</v>
      </c>
    </row>
    <row r="499" spans="1:8">
      <c r="A499" s="6"/>
      <c r="B499">
        <v>68</v>
      </c>
      <c r="C499">
        <v>47</v>
      </c>
      <c r="D499">
        <v>40</v>
      </c>
      <c r="E499">
        <v>10</v>
      </c>
      <c r="F499">
        <v>12</v>
      </c>
      <c r="G499">
        <v>143</v>
      </c>
      <c r="H499">
        <v>90</v>
      </c>
    </row>
    <row r="500" spans="1:8">
      <c r="A500" s="6"/>
      <c r="B500">
        <v>69</v>
      </c>
      <c r="C500">
        <v>45</v>
      </c>
      <c r="D500">
        <v>30</v>
      </c>
      <c r="E500">
        <v>10</v>
      </c>
      <c r="F500">
        <v>712</v>
      </c>
      <c r="G500">
        <v>799</v>
      </c>
      <c r="H500">
        <v>90</v>
      </c>
    </row>
    <row r="501" spans="1:8">
      <c r="A501" s="6"/>
      <c r="B501">
        <v>70</v>
      </c>
      <c r="C501">
        <v>45</v>
      </c>
      <c r="D501">
        <v>35</v>
      </c>
      <c r="E501">
        <v>10</v>
      </c>
      <c r="F501">
        <v>889</v>
      </c>
      <c r="G501">
        <v>996</v>
      </c>
      <c r="H501">
        <v>90</v>
      </c>
    </row>
    <row r="502" spans="1:8">
      <c r="A502" s="6"/>
      <c r="B502">
        <v>71</v>
      </c>
      <c r="C502">
        <v>95</v>
      </c>
      <c r="D502">
        <v>30</v>
      </c>
      <c r="E502">
        <v>30</v>
      </c>
      <c r="F502">
        <v>353</v>
      </c>
      <c r="G502">
        <v>490</v>
      </c>
      <c r="H502">
        <v>90</v>
      </c>
    </row>
    <row r="503" spans="1:8">
      <c r="A503" s="6"/>
      <c r="B503">
        <v>72</v>
      </c>
      <c r="C503">
        <v>95</v>
      </c>
      <c r="D503">
        <v>35</v>
      </c>
      <c r="E503">
        <v>20</v>
      </c>
      <c r="F503">
        <v>260</v>
      </c>
      <c r="G503">
        <v>393</v>
      </c>
      <c r="H503">
        <v>90</v>
      </c>
    </row>
    <row r="504" spans="1:8">
      <c r="A504" s="6"/>
      <c r="B504">
        <v>73</v>
      </c>
      <c r="C504">
        <v>53</v>
      </c>
      <c r="D504">
        <v>30</v>
      </c>
      <c r="E504">
        <v>10</v>
      </c>
      <c r="F504">
        <v>422</v>
      </c>
      <c r="G504">
        <v>533</v>
      </c>
      <c r="H504">
        <v>90</v>
      </c>
    </row>
    <row r="505" spans="1:8">
      <c r="A505" s="6"/>
      <c r="B505">
        <v>74</v>
      </c>
      <c r="C505">
        <v>92</v>
      </c>
      <c r="D505">
        <v>30</v>
      </c>
      <c r="E505">
        <v>10</v>
      </c>
      <c r="F505">
        <v>442</v>
      </c>
      <c r="G505">
        <v>587</v>
      </c>
      <c r="H505">
        <v>90</v>
      </c>
    </row>
    <row r="506" spans="1:8">
      <c r="A506" s="6"/>
      <c r="B506">
        <v>75</v>
      </c>
      <c r="C506">
        <v>53</v>
      </c>
      <c r="D506">
        <v>35</v>
      </c>
      <c r="E506">
        <v>50</v>
      </c>
      <c r="F506">
        <v>323</v>
      </c>
      <c r="G506">
        <v>442</v>
      </c>
      <c r="H506">
        <v>90</v>
      </c>
    </row>
    <row r="507" spans="1:8">
      <c r="A507" s="6"/>
      <c r="B507">
        <v>76</v>
      </c>
      <c r="C507">
        <v>45</v>
      </c>
      <c r="D507">
        <v>65</v>
      </c>
      <c r="E507">
        <v>20</v>
      </c>
      <c r="F507">
        <v>962</v>
      </c>
      <c r="G507">
        <v>1103</v>
      </c>
      <c r="H507">
        <v>90</v>
      </c>
    </row>
    <row r="508" spans="1:8">
      <c r="A508" s="6"/>
      <c r="B508">
        <v>77</v>
      </c>
      <c r="C508">
        <v>90</v>
      </c>
      <c r="D508">
        <v>35</v>
      </c>
      <c r="E508">
        <v>10</v>
      </c>
      <c r="F508">
        <v>175</v>
      </c>
      <c r="G508">
        <v>288</v>
      </c>
      <c r="H508">
        <v>90</v>
      </c>
    </row>
    <row r="509" spans="1:8">
      <c r="A509" s="6"/>
      <c r="B509">
        <v>78</v>
      </c>
      <c r="C509">
        <v>88</v>
      </c>
      <c r="D509">
        <v>30</v>
      </c>
      <c r="E509">
        <v>10</v>
      </c>
      <c r="F509">
        <v>539</v>
      </c>
      <c r="G509">
        <v>678</v>
      </c>
      <c r="H509">
        <v>90</v>
      </c>
    </row>
    <row r="510" spans="1:8">
      <c r="A510" s="6"/>
      <c r="B510">
        <v>79</v>
      </c>
      <c r="C510">
        <v>88</v>
      </c>
      <c r="D510">
        <v>35</v>
      </c>
      <c r="E510">
        <v>20</v>
      </c>
      <c r="F510">
        <v>78</v>
      </c>
      <c r="G510">
        <v>201</v>
      </c>
      <c r="H510">
        <v>90</v>
      </c>
    </row>
    <row r="511" spans="1:8">
      <c r="A511" s="6"/>
      <c r="B511">
        <v>80</v>
      </c>
      <c r="C511">
        <v>87</v>
      </c>
      <c r="D511">
        <v>30</v>
      </c>
      <c r="E511">
        <v>10</v>
      </c>
      <c r="F511">
        <v>636</v>
      </c>
      <c r="G511">
        <v>763</v>
      </c>
      <c r="H511">
        <v>90</v>
      </c>
    </row>
    <row r="512" spans="1:8">
      <c r="A512" s="6"/>
      <c r="B512">
        <v>81</v>
      </c>
      <c r="C512">
        <v>85</v>
      </c>
      <c r="D512">
        <v>25</v>
      </c>
      <c r="E512">
        <v>10</v>
      </c>
      <c r="F512">
        <v>744</v>
      </c>
      <c r="G512">
        <v>845</v>
      </c>
      <c r="H512">
        <v>90</v>
      </c>
    </row>
    <row r="513" spans="1:8">
      <c r="A513" s="6"/>
      <c r="B513">
        <v>82</v>
      </c>
      <c r="C513">
        <v>85</v>
      </c>
      <c r="D513">
        <v>35</v>
      </c>
      <c r="E513">
        <v>30</v>
      </c>
      <c r="F513">
        <v>47</v>
      </c>
      <c r="G513">
        <v>201</v>
      </c>
      <c r="H513">
        <v>90</v>
      </c>
    </row>
    <row r="514" spans="1:8">
      <c r="A514" s="6"/>
      <c r="B514">
        <v>83</v>
      </c>
      <c r="C514">
        <v>75</v>
      </c>
      <c r="D514">
        <v>55</v>
      </c>
      <c r="E514">
        <v>20</v>
      </c>
      <c r="F514">
        <v>344</v>
      </c>
      <c r="G514">
        <v>445</v>
      </c>
      <c r="H514">
        <v>90</v>
      </c>
    </row>
    <row r="515" spans="1:8">
      <c r="A515" s="6"/>
      <c r="B515">
        <v>84</v>
      </c>
      <c r="C515">
        <v>72</v>
      </c>
      <c r="D515">
        <v>55</v>
      </c>
      <c r="E515">
        <v>10</v>
      </c>
      <c r="F515">
        <v>228</v>
      </c>
      <c r="G515">
        <v>375</v>
      </c>
      <c r="H515">
        <v>90</v>
      </c>
    </row>
    <row r="516" spans="1:8">
      <c r="A516" s="6"/>
      <c r="B516">
        <v>85</v>
      </c>
      <c r="C516">
        <v>70</v>
      </c>
      <c r="D516">
        <v>58</v>
      </c>
      <c r="E516">
        <v>20</v>
      </c>
      <c r="F516">
        <v>425</v>
      </c>
      <c r="G516">
        <v>556</v>
      </c>
      <c r="H516">
        <v>90</v>
      </c>
    </row>
    <row r="517" spans="1:8">
      <c r="A517" s="6"/>
      <c r="B517">
        <v>86</v>
      </c>
      <c r="C517">
        <v>68</v>
      </c>
      <c r="D517">
        <v>60</v>
      </c>
      <c r="E517">
        <v>30</v>
      </c>
      <c r="F517">
        <v>527</v>
      </c>
      <c r="G517">
        <v>640</v>
      </c>
      <c r="H517">
        <v>90</v>
      </c>
    </row>
    <row r="518" spans="1:8">
      <c r="A518" s="6"/>
      <c r="B518">
        <v>87</v>
      </c>
      <c r="C518">
        <v>66</v>
      </c>
      <c r="D518">
        <v>55</v>
      </c>
      <c r="E518">
        <v>10</v>
      </c>
      <c r="F518">
        <v>141</v>
      </c>
      <c r="G518">
        <v>270</v>
      </c>
      <c r="H518">
        <v>90</v>
      </c>
    </row>
    <row r="519" spans="1:8">
      <c r="A519" s="6"/>
      <c r="B519">
        <v>88</v>
      </c>
      <c r="C519">
        <v>65</v>
      </c>
      <c r="D519">
        <v>55</v>
      </c>
      <c r="E519">
        <v>20</v>
      </c>
      <c r="F519">
        <v>56</v>
      </c>
      <c r="G519">
        <v>173</v>
      </c>
      <c r="H519">
        <v>90</v>
      </c>
    </row>
    <row r="520" spans="1:8">
      <c r="A520" s="6"/>
      <c r="B520">
        <v>89</v>
      </c>
      <c r="C520">
        <v>65</v>
      </c>
      <c r="D520">
        <v>60</v>
      </c>
      <c r="E520">
        <v>30</v>
      </c>
      <c r="F520">
        <v>614</v>
      </c>
      <c r="G520">
        <v>739</v>
      </c>
      <c r="H520">
        <v>90</v>
      </c>
    </row>
    <row r="521" spans="1:8">
      <c r="A521" s="6"/>
      <c r="B521">
        <v>90</v>
      </c>
      <c r="C521">
        <v>63</v>
      </c>
      <c r="D521">
        <v>58</v>
      </c>
      <c r="E521">
        <v>10</v>
      </c>
      <c r="F521">
        <v>705</v>
      </c>
      <c r="G521">
        <v>834</v>
      </c>
      <c r="H521">
        <v>90</v>
      </c>
    </row>
    <row r="522" spans="1:8">
      <c r="A522" s="6"/>
      <c r="B522">
        <v>91</v>
      </c>
      <c r="C522">
        <v>60</v>
      </c>
      <c r="D522">
        <v>55</v>
      </c>
      <c r="E522">
        <v>10</v>
      </c>
      <c r="F522">
        <v>20</v>
      </c>
      <c r="G522">
        <v>148</v>
      </c>
      <c r="H522">
        <v>90</v>
      </c>
    </row>
    <row r="523" spans="1:8">
      <c r="A523" s="6"/>
      <c r="B523">
        <v>92</v>
      </c>
      <c r="C523">
        <v>60</v>
      </c>
      <c r="D523">
        <v>60</v>
      </c>
      <c r="E523">
        <v>10</v>
      </c>
      <c r="F523">
        <v>809</v>
      </c>
      <c r="G523">
        <v>916</v>
      </c>
      <c r="H523">
        <v>90</v>
      </c>
    </row>
    <row r="524" spans="1:8">
      <c r="A524" s="6"/>
      <c r="B524">
        <v>93</v>
      </c>
      <c r="C524">
        <v>67</v>
      </c>
      <c r="D524">
        <v>85</v>
      </c>
      <c r="E524">
        <v>20</v>
      </c>
      <c r="F524">
        <v>331</v>
      </c>
      <c r="G524">
        <v>478</v>
      </c>
      <c r="H524">
        <v>90</v>
      </c>
    </row>
    <row r="525" spans="1:8">
      <c r="A525" s="6"/>
      <c r="B525">
        <v>94</v>
      </c>
      <c r="C525">
        <v>65</v>
      </c>
      <c r="D525">
        <v>85</v>
      </c>
      <c r="E525">
        <v>40</v>
      </c>
      <c r="F525">
        <v>453</v>
      </c>
      <c r="G525">
        <v>540</v>
      </c>
      <c r="H525">
        <v>90</v>
      </c>
    </row>
    <row r="526" spans="1:8">
      <c r="A526" s="6"/>
      <c r="B526">
        <v>95</v>
      </c>
      <c r="C526">
        <v>65</v>
      </c>
      <c r="D526">
        <v>82</v>
      </c>
      <c r="E526">
        <v>10</v>
      </c>
      <c r="F526">
        <v>260</v>
      </c>
      <c r="G526">
        <v>361</v>
      </c>
      <c r="H526">
        <v>90</v>
      </c>
    </row>
    <row r="527" spans="1:8">
      <c r="A527" s="6"/>
      <c r="B527">
        <v>96</v>
      </c>
      <c r="C527">
        <v>62</v>
      </c>
      <c r="D527">
        <v>80</v>
      </c>
      <c r="E527">
        <v>30</v>
      </c>
      <c r="F527">
        <v>174</v>
      </c>
      <c r="G527">
        <v>261</v>
      </c>
      <c r="H527">
        <v>90</v>
      </c>
    </row>
    <row r="528" spans="1:8">
      <c r="A528" s="6"/>
      <c r="B528">
        <v>97</v>
      </c>
      <c r="C528">
        <v>60</v>
      </c>
      <c r="D528">
        <v>80</v>
      </c>
      <c r="E528">
        <v>10</v>
      </c>
      <c r="F528">
        <v>64</v>
      </c>
      <c r="G528">
        <v>187</v>
      </c>
      <c r="H528">
        <v>90</v>
      </c>
    </row>
    <row r="529" spans="1:8">
      <c r="A529" s="6"/>
      <c r="B529">
        <v>98</v>
      </c>
      <c r="C529">
        <v>60</v>
      </c>
      <c r="D529">
        <v>85</v>
      </c>
      <c r="E529">
        <v>30</v>
      </c>
      <c r="F529">
        <v>531</v>
      </c>
      <c r="G529">
        <v>652</v>
      </c>
      <c r="H529">
        <v>90</v>
      </c>
    </row>
    <row r="530" spans="1:8">
      <c r="A530" s="6"/>
      <c r="B530">
        <v>99</v>
      </c>
      <c r="C530">
        <v>58</v>
      </c>
      <c r="D530">
        <v>75</v>
      </c>
      <c r="E530">
        <v>20</v>
      </c>
      <c r="F530">
        <v>30</v>
      </c>
      <c r="G530">
        <v>139</v>
      </c>
      <c r="H530">
        <v>90</v>
      </c>
    </row>
    <row r="531" spans="1:8">
      <c r="A531" s="6"/>
      <c r="B531">
        <v>100</v>
      </c>
      <c r="C531">
        <v>55</v>
      </c>
      <c r="D531">
        <v>80</v>
      </c>
      <c r="E531">
        <v>10</v>
      </c>
      <c r="F531">
        <v>705</v>
      </c>
      <c r="G531">
        <v>858</v>
      </c>
      <c r="H531">
        <v>90</v>
      </c>
    </row>
    <row r="532" spans="1:8">
      <c r="A532" s="6"/>
      <c r="B532">
        <v>101</v>
      </c>
      <c r="C532">
        <v>55</v>
      </c>
      <c r="D532">
        <v>85</v>
      </c>
      <c r="E532">
        <v>20</v>
      </c>
      <c r="F532">
        <v>608</v>
      </c>
      <c r="G532">
        <v>765</v>
      </c>
      <c r="H532">
        <v>90</v>
      </c>
    </row>
    <row r="536" spans="1:8" ht="17.399999999999999">
      <c r="A536" s="7" t="s">
        <v>41</v>
      </c>
    </row>
    <row r="537" spans="1:8">
      <c r="A537" s="4"/>
      <c r="B537" t="s">
        <v>32</v>
      </c>
      <c r="C537" t="s">
        <v>26</v>
      </c>
      <c r="D537" t="s">
        <v>27</v>
      </c>
      <c r="E537" t="s">
        <v>28</v>
      </c>
      <c r="F537" t="s">
        <v>29</v>
      </c>
      <c r="G537" t="s">
        <v>30</v>
      </c>
      <c r="H537" t="s">
        <v>31</v>
      </c>
    </row>
    <row r="538" spans="1:8">
      <c r="A538" s="6"/>
      <c r="B538">
        <v>1</v>
      </c>
      <c r="C538">
        <v>40</v>
      </c>
      <c r="D538">
        <v>50</v>
      </c>
      <c r="E538">
        <v>0</v>
      </c>
      <c r="F538">
        <v>0</v>
      </c>
      <c r="G538">
        <v>1236</v>
      </c>
      <c r="H538">
        <v>0</v>
      </c>
    </row>
    <row r="539" spans="1:8">
      <c r="A539" s="6"/>
      <c r="B539">
        <v>2</v>
      </c>
      <c r="C539">
        <v>45</v>
      </c>
      <c r="D539">
        <v>68</v>
      </c>
      <c r="E539">
        <v>10</v>
      </c>
      <c r="F539">
        <v>890</v>
      </c>
      <c r="G539">
        <v>989</v>
      </c>
      <c r="H539">
        <v>90</v>
      </c>
    </row>
    <row r="540" spans="1:8">
      <c r="A540" s="6"/>
      <c r="B540">
        <v>3</v>
      </c>
      <c r="C540">
        <v>45</v>
      </c>
      <c r="D540">
        <v>70</v>
      </c>
      <c r="E540">
        <v>30</v>
      </c>
      <c r="F540">
        <v>816</v>
      </c>
      <c r="G540">
        <v>879</v>
      </c>
      <c r="H540">
        <v>90</v>
      </c>
    </row>
    <row r="541" spans="1:8">
      <c r="A541" s="6"/>
      <c r="B541">
        <v>4</v>
      </c>
      <c r="C541">
        <v>42</v>
      </c>
      <c r="D541">
        <v>66</v>
      </c>
      <c r="E541">
        <v>10</v>
      </c>
      <c r="F541">
        <v>55</v>
      </c>
      <c r="G541">
        <v>156</v>
      </c>
      <c r="H541">
        <v>90</v>
      </c>
    </row>
    <row r="542" spans="1:8">
      <c r="A542" s="6"/>
      <c r="B542">
        <v>5</v>
      </c>
      <c r="C542">
        <v>42</v>
      </c>
      <c r="D542">
        <v>68</v>
      </c>
      <c r="E542">
        <v>10</v>
      </c>
      <c r="F542">
        <v>703</v>
      </c>
      <c r="G542">
        <v>806</v>
      </c>
      <c r="H542">
        <v>90</v>
      </c>
    </row>
    <row r="543" spans="1:8">
      <c r="A543" s="6"/>
      <c r="B543">
        <v>6</v>
      </c>
      <c r="C543">
        <v>42</v>
      </c>
      <c r="D543">
        <v>65</v>
      </c>
      <c r="E543">
        <v>10</v>
      </c>
      <c r="F543">
        <v>15</v>
      </c>
      <c r="G543">
        <v>60</v>
      </c>
      <c r="H543">
        <v>90</v>
      </c>
    </row>
    <row r="544" spans="1:8">
      <c r="A544" s="6"/>
      <c r="B544">
        <v>7</v>
      </c>
      <c r="C544">
        <v>40</v>
      </c>
      <c r="D544">
        <v>69</v>
      </c>
      <c r="E544">
        <v>20</v>
      </c>
      <c r="F544">
        <v>559</v>
      </c>
      <c r="G544">
        <v>764</v>
      </c>
      <c r="H544">
        <v>90</v>
      </c>
    </row>
    <row r="545" spans="1:8">
      <c r="A545" s="6"/>
      <c r="B545">
        <v>8</v>
      </c>
      <c r="C545">
        <v>40</v>
      </c>
      <c r="D545">
        <v>66</v>
      </c>
      <c r="E545">
        <v>20</v>
      </c>
      <c r="F545">
        <v>172</v>
      </c>
      <c r="G545">
        <v>223</v>
      </c>
      <c r="H545">
        <v>90</v>
      </c>
    </row>
    <row r="546" spans="1:8">
      <c r="A546" s="6"/>
      <c r="B546">
        <v>9</v>
      </c>
      <c r="C546">
        <v>38</v>
      </c>
      <c r="D546">
        <v>68</v>
      </c>
      <c r="E546">
        <v>20</v>
      </c>
      <c r="F546">
        <v>250</v>
      </c>
      <c r="G546">
        <v>329</v>
      </c>
      <c r="H546">
        <v>90</v>
      </c>
    </row>
    <row r="547" spans="1:8">
      <c r="A547" s="6"/>
      <c r="B547">
        <v>10</v>
      </c>
      <c r="C547">
        <v>38</v>
      </c>
      <c r="D547">
        <v>70</v>
      </c>
      <c r="E547">
        <v>10</v>
      </c>
      <c r="F547">
        <v>489</v>
      </c>
      <c r="G547">
        <v>650</v>
      </c>
      <c r="H547">
        <v>90</v>
      </c>
    </row>
    <row r="548" spans="1:8">
      <c r="A548" s="6"/>
      <c r="B548">
        <v>11</v>
      </c>
      <c r="C548">
        <v>35</v>
      </c>
      <c r="D548">
        <v>66</v>
      </c>
      <c r="E548">
        <v>10</v>
      </c>
      <c r="F548">
        <v>361</v>
      </c>
      <c r="G548">
        <v>406</v>
      </c>
      <c r="H548">
        <v>90</v>
      </c>
    </row>
    <row r="549" spans="1:8">
      <c r="A549" s="6"/>
      <c r="B549">
        <v>12</v>
      </c>
      <c r="C549">
        <v>35</v>
      </c>
      <c r="D549">
        <v>69</v>
      </c>
      <c r="E549">
        <v>10</v>
      </c>
      <c r="F549">
        <v>450</v>
      </c>
      <c r="G549">
        <v>503</v>
      </c>
      <c r="H549">
        <v>90</v>
      </c>
    </row>
    <row r="550" spans="1:8">
      <c r="A550" s="6"/>
      <c r="B550">
        <v>13</v>
      </c>
      <c r="C550">
        <v>25</v>
      </c>
      <c r="D550">
        <v>85</v>
      </c>
      <c r="E550">
        <v>20</v>
      </c>
      <c r="F550">
        <v>647</v>
      </c>
      <c r="G550">
        <v>726</v>
      </c>
      <c r="H550">
        <v>90</v>
      </c>
    </row>
    <row r="551" spans="1:8">
      <c r="A551" s="6"/>
      <c r="B551">
        <v>14</v>
      </c>
      <c r="C551">
        <v>22</v>
      </c>
      <c r="D551">
        <v>75</v>
      </c>
      <c r="E551">
        <v>30</v>
      </c>
      <c r="F551">
        <v>30</v>
      </c>
      <c r="G551">
        <v>95</v>
      </c>
      <c r="H551">
        <v>90</v>
      </c>
    </row>
    <row r="552" spans="1:8">
      <c r="A552" s="6"/>
      <c r="B552">
        <v>15</v>
      </c>
      <c r="C552">
        <v>22</v>
      </c>
      <c r="D552">
        <v>85</v>
      </c>
      <c r="E552">
        <v>10</v>
      </c>
      <c r="F552">
        <v>571</v>
      </c>
      <c r="G552">
        <v>616</v>
      </c>
      <c r="H552">
        <v>90</v>
      </c>
    </row>
    <row r="553" spans="1:8">
      <c r="A553" s="6"/>
      <c r="B553">
        <v>16</v>
      </c>
      <c r="C553">
        <v>20</v>
      </c>
      <c r="D553">
        <v>80</v>
      </c>
      <c r="E553">
        <v>40</v>
      </c>
      <c r="F553">
        <v>392</v>
      </c>
      <c r="G553">
        <v>421</v>
      </c>
      <c r="H553">
        <v>90</v>
      </c>
    </row>
    <row r="554" spans="1:8">
      <c r="A554" s="6"/>
      <c r="B554">
        <v>17</v>
      </c>
      <c r="C554">
        <v>20</v>
      </c>
      <c r="D554">
        <v>85</v>
      </c>
      <c r="E554">
        <v>40</v>
      </c>
      <c r="F554">
        <v>478</v>
      </c>
      <c r="G554">
        <v>525</v>
      </c>
      <c r="H554">
        <v>90</v>
      </c>
    </row>
    <row r="555" spans="1:8">
      <c r="A555" s="6"/>
      <c r="B555">
        <v>18</v>
      </c>
      <c r="C555">
        <v>18</v>
      </c>
      <c r="D555">
        <v>75</v>
      </c>
      <c r="E555">
        <v>20</v>
      </c>
      <c r="F555">
        <v>105</v>
      </c>
      <c r="G555">
        <v>142</v>
      </c>
      <c r="H555">
        <v>90</v>
      </c>
    </row>
    <row r="556" spans="1:8">
      <c r="A556" s="6"/>
      <c r="B556">
        <v>19</v>
      </c>
      <c r="C556">
        <v>15</v>
      </c>
      <c r="D556">
        <v>75</v>
      </c>
      <c r="E556">
        <v>20</v>
      </c>
      <c r="F556">
        <v>172</v>
      </c>
      <c r="G556">
        <v>261</v>
      </c>
      <c r="H556">
        <v>90</v>
      </c>
    </row>
    <row r="557" spans="1:8">
      <c r="A557" s="6"/>
      <c r="B557">
        <v>20</v>
      </c>
      <c r="C557">
        <v>15</v>
      </c>
      <c r="D557">
        <v>80</v>
      </c>
      <c r="E557">
        <v>10</v>
      </c>
      <c r="F557">
        <v>274</v>
      </c>
      <c r="G557">
        <v>349</v>
      </c>
      <c r="H557">
        <v>90</v>
      </c>
    </row>
    <row r="558" spans="1:8">
      <c r="A558" s="6"/>
      <c r="B558">
        <v>21</v>
      </c>
      <c r="C558">
        <v>30</v>
      </c>
      <c r="D558">
        <v>50</v>
      </c>
      <c r="E558">
        <v>10</v>
      </c>
      <c r="F558">
        <v>10</v>
      </c>
      <c r="G558">
        <v>77</v>
      </c>
      <c r="H558">
        <v>90</v>
      </c>
    </row>
    <row r="559" spans="1:8">
      <c r="A559" s="6"/>
      <c r="B559">
        <v>22</v>
      </c>
      <c r="C559">
        <v>30</v>
      </c>
      <c r="D559">
        <v>52</v>
      </c>
      <c r="E559">
        <v>20</v>
      </c>
      <c r="F559">
        <v>918</v>
      </c>
      <c r="G559">
        <v>961</v>
      </c>
      <c r="H559">
        <v>90</v>
      </c>
    </row>
    <row r="560" spans="1:8">
      <c r="A560" s="6"/>
      <c r="B560">
        <v>23</v>
      </c>
      <c r="C560">
        <v>28</v>
      </c>
      <c r="D560">
        <v>52</v>
      </c>
      <c r="E560">
        <v>20</v>
      </c>
      <c r="F560">
        <v>806</v>
      </c>
      <c r="G560">
        <v>889</v>
      </c>
      <c r="H560">
        <v>90</v>
      </c>
    </row>
    <row r="561" spans="1:8">
      <c r="A561" s="6"/>
      <c r="B561">
        <v>24</v>
      </c>
      <c r="C561">
        <v>28</v>
      </c>
      <c r="D561">
        <v>55</v>
      </c>
      <c r="E561">
        <v>10</v>
      </c>
      <c r="F561">
        <v>739</v>
      </c>
      <c r="G561">
        <v>770</v>
      </c>
      <c r="H561">
        <v>90</v>
      </c>
    </row>
    <row r="562" spans="1:8">
      <c r="A562" s="6"/>
      <c r="B562">
        <v>25</v>
      </c>
      <c r="C562">
        <v>25</v>
      </c>
      <c r="D562">
        <v>50</v>
      </c>
      <c r="E562">
        <v>10</v>
      </c>
      <c r="F562">
        <v>55</v>
      </c>
      <c r="G562">
        <v>154</v>
      </c>
      <c r="H562">
        <v>90</v>
      </c>
    </row>
    <row r="563" spans="1:8">
      <c r="A563" s="6"/>
      <c r="B563">
        <v>26</v>
      </c>
      <c r="C563">
        <v>25</v>
      </c>
      <c r="D563">
        <v>52</v>
      </c>
      <c r="E563">
        <v>40</v>
      </c>
      <c r="F563">
        <v>172</v>
      </c>
      <c r="G563">
        <v>221</v>
      </c>
      <c r="H563">
        <v>90</v>
      </c>
    </row>
    <row r="564" spans="1:8">
      <c r="A564" s="6"/>
      <c r="B564">
        <v>27</v>
      </c>
      <c r="C564">
        <v>25</v>
      </c>
      <c r="D564">
        <v>55</v>
      </c>
      <c r="E564">
        <v>10</v>
      </c>
      <c r="F564">
        <v>612</v>
      </c>
      <c r="G564">
        <v>711</v>
      </c>
      <c r="H564">
        <v>90</v>
      </c>
    </row>
    <row r="565" spans="1:8">
      <c r="A565" s="6"/>
      <c r="B565">
        <v>28</v>
      </c>
      <c r="C565">
        <v>23</v>
      </c>
      <c r="D565">
        <v>52</v>
      </c>
      <c r="E565">
        <v>10</v>
      </c>
      <c r="F565">
        <v>264</v>
      </c>
      <c r="G565">
        <v>313</v>
      </c>
      <c r="H565">
        <v>90</v>
      </c>
    </row>
    <row r="566" spans="1:8">
      <c r="A566" s="6"/>
      <c r="B566">
        <v>29</v>
      </c>
      <c r="C566">
        <v>23</v>
      </c>
      <c r="D566">
        <v>55</v>
      </c>
      <c r="E566">
        <v>20</v>
      </c>
      <c r="F566">
        <v>553</v>
      </c>
      <c r="G566">
        <v>586</v>
      </c>
      <c r="H566">
        <v>90</v>
      </c>
    </row>
    <row r="567" spans="1:8">
      <c r="A567" s="6"/>
      <c r="B567">
        <v>30</v>
      </c>
      <c r="C567">
        <v>20</v>
      </c>
      <c r="D567">
        <v>50</v>
      </c>
      <c r="E567">
        <v>10</v>
      </c>
      <c r="F567">
        <v>365</v>
      </c>
      <c r="G567">
        <v>398</v>
      </c>
      <c r="H567">
        <v>90</v>
      </c>
    </row>
    <row r="568" spans="1:8">
      <c r="A568" s="6"/>
      <c r="B568">
        <v>31</v>
      </c>
      <c r="C568">
        <v>20</v>
      </c>
      <c r="D568">
        <v>55</v>
      </c>
      <c r="E568">
        <v>10</v>
      </c>
      <c r="F568">
        <v>452</v>
      </c>
      <c r="G568">
        <v>501</v>
      </c>
      <c r="H568">
        <v>90</v>
      </c>
    </row>
    <row r="569" spans="1:8">
      <c r="A569" s="6"/>
      <c r="B569">
        <v>32</v>
      </c>
      <c r="C569">
        <v>10</v>
      </c>
      <c r="D569">
        <v>35</v>
      </c>
      <c r="E569">
        <v>20</v>
      </c>
      <c r="F569">
        <v>204</v>
      </c>
      <c r="G569">
        <v>233</v>
      </c>
      <c r="H569">
        <v>90</v>
      </c>
    </row>
    <row r="570" spans="1:8">
      <c r="A570" s="6"/>
      <c r="B570">
        <v>33</v>
      </c>
      <c r="C570">
        <v>10</v>
      </c>
      <c r="D570">
        <v>40</v>
      </c>
      <c r="E570">
        <v>30</v>
      </c>
      <c r="F570">
        <v>31</v>
      </c>
      <c r="G570">
        <v>189</v>
      </c>
      <c r="H570">
        <v>90</v>
      </c>
    </row>
    <row r="571" spans="1:8">
      <c r="A571" s="6"/>
      <c r="B571">
        <v>34</v>
      </c>
      <c r="C571">
        <v>8</v>
      </c>
      <c r="D571">
        <v>40</v>
      </c>
      <c r="E571">
        <v>40</v>
      </c>
      <c r="F571">
        <v>42</v>
      </c>
      <c r="G571">
        <v>203</v>
      </c>
      <c r="H571">
        <v>90</v>
      </c>
    </row>
    <row r="572" spans="1:8">
      <c r="A572" s="6"/>
      <c r="B572">
        <v>35</v>
      </c>
      <c r="C572">
        <v>8</v>
      </c>
      <c r="D572">
        <v>45</v>
      </c>
      <c r="E572">
        <v>20</v>
      </c>
      <c r="F572">
        <v>715</v>
      </c>
      <c r="G572">
        <v>852</v>
      </c>
      <c r="H572">
        <v>90</v>
      </c>
    </row>
    <row r="573" spans="1:8">
      <c r="A573" s="6"/>
      <c r="B573">
        <v>36</v>
      </c>
      <c r="C573">
        <v>5</v>
      </c>
      <c r="D573">
        <v>35</v>
      </c>
      <c r="E573">
        <v>10</v>
      </c>
      <c r="F573">
        <v>251</v>
      </c>
      <c r="G573">
        <v>376</v>
      </c>
      <c r="H573">
        <v>90</v>
      </c>
    </row>
    <row r="574" spans="1:8">
      <c r="A574" s="6"/>
      <c r="B574">
        <v>37</v>
      </c>
      <c r="C574">
        <v>5</v>
      </c>
      <c r="D574">
        <v>45</v>
      </c>
      <c r="E574">
        <v>10</v>
      </c>
      <c r="F574">
        <v>648</v>
      </c>
      <c r="G574">
        <v>733</v>
      </c>
      <c r="H574">
        <v>90</v>
      </c>
    </row>
    <row r="575" spans="1:8">
      <c r="A575" s="6"/>
      <c r="B575">
        <v>38</v>
      </c>
      <c r="C575">
        <v>2</v>
      </c>
      <c r="D575">
        <v>40</v>
      </c>
      <c r="E575">
        <v>20</v>
      </c>
      <c r="F575">
        <v>365</v>
      </c>
      <c r="G575">
        <v>452</v>
      </c>
      <c r="H575">
        <v>90</v>
      </c>
    </row>
    <row r="576" spans="1:8">
      <c r="A576" s="6"/>
      <c r="B576">
        <v>39</v>
      </c>
      <c r="C576">
        <v>0</v>
      </c>
      <c r="D576">
        <v>40</v>
      </c>
      <c r="E576">
        <v>30</v>
      </c>
      <c r="F576">
        <v>474</v>
      </c>
      <c r="G576">
        <v>527</v>
      </c>
      <c r="H576">
        <v>90</v>
      </c>
    </row>
    <row r="577" spans="1:8">
      <c r="A577" s="6"/>
      <c r="B577">
        <v>40</v>
      </c>
      <c r="C577">
        <v>0</v>
      </c>
      <c r="D577">
        <v>45</v>
      </c>
      <c r="E577">
        <v>20</v>
      </c>
      <c r="F577">
        <v>541</v>
      </c>
      <c r="G577">
        <v>650</v>
      </c>
      <c r="H577">
        <v>90</v>
      </c>
    </row>
    <row r="578" spans="1:8">
      <c r="A578" s="6"/>
      <c r="B578">
        <v>41</v>
      </c>
      <c r="C578">
        <v>35</v>
      </c>
      <c r="D578">
        <v>30</v>
      </c>
      <c r="E578">
        <v>10</v>
      </c>
      <c r="F578">
        <v>240</v>
      </c>
      <c r="G578">
        <v>345</v>
      </c>
      <c r="H578">
        <v>90</v>
      </c>
    </row>
    <row r="579" spans="1:8">
      <c r="A579" s="6"/>
      <c r="B579">
        <v>42</v>
      </c>
      <c r="C579">
        <v>35</v>
      </c>
      <c r="D579">
        <v>32</v>
      </c>
      <c r="E579">
        <v>10</v>
      </c>
      <c r="F579">
        <v>123</v>
      </c>
      <c r="G579">
        <v>278</v>
      </c>
      <c r="H579">
        <v>90</v>
      </c>
    </row>
    <row r="580" spans="1:8">
      <c r="A580" s="6"/>
      <c r="B580">
        <v>43</v>
      </c>
      <c r="C580">
        <v>33</v>
      </c>
      <c r="D580">
        <v>32</v>
      </c>
      <c r="E580">
        <v>20</v>
      </c>
      <c r="F580">
        <v>19</v>
      </c>
      <c r="G580">
        <v>225</v>
      </c>
      <c r="H580">
        <v>90</v>
      </c>
    </row>
    <row r="581" spans="1:8">
      <c r="A581" s="6"/>
      <c r="B581">
        <v>44</v>
      </c>
      <c r="C581">
        <v>33</v>
      </c>
      <c r="D581">
        <v>35</v>
      </c>
      <c r="E581">
        <v>10</v>
      </c>
      <c r="F581">
        <v>16</v>
      </c>
      <c r="G581">
        <v>153</v>
      </c>
      <c r="H581">
        <v>90</v>
      </c>
    </row>
    <row r="582" spans="1:8">
      <c r="A582" s="6"/>
      <c r="B582">
        <v>45</v>
      </c>
      <c r="C582">
        <v>32</v>
      </c>
      <c r="D582">
        <v>30</v>
      </c>
      <c r="E582">
        <v>10</v>
      </c>
      <c r="F582">
        <v>338</v>
      </c>
      <c r="G582">
        <v>433</v>
      </c>
      <c r="H582">
        <v>90</v>
      </c>
    </row>
    <row r="583" spans="1:8">
      <c r="A583" s="6"/>
      <c r="B583">
        <v>46</v>
      </c>
      <c r="C583">
        <v>30</v>
      </c>
      <c r="D583">
        <v>30</v>
      </c>
      <c r="E583">
        <v>10</v>
      </c>
      <c r="F583">
        <v>513</v>
      </c>
      <c r="G583">
        <v>628</v>
      </c>
      <c r="H583">
        <v>90</v>
      </c>
    </row>
    <row r="584" spans="1:8">
      <c r="A584" s="6"/>
      <c r="B584">
        <v>47</v>
      </c>
      <c r="C584">
        <v>30</v>
      </c>
      <c r="D584">
        <v>32</v>
      </c>
      <c r="E584">
        <v>30</v>
      </c>
      <c r="F584">
        <v>415</v>
      </c>
      <c r="G584">
        <v>542</v>
      </c>
      <c r="H584">
        <v>90</v>
      </c>
    </row>
    <row r="585" spans="1:8">
      <c r="A585" s="6"/>
      <c r="B585">
        <v>48</v>
      </c>
      <c r="C585">
        <v>30</v>
      </c>
      <c r="D585">
        <v>35</v>
      </c>
      <c r="E585">
        <v>10</v>
      </c>
      <c r="F585">
        <v>872</v>
      </c>
      <c r="G585">
        <v>1127</v>
      </c>
      <c r="H585">
        <v>90</v>
      </c>
    </row>
    <row r="586" spans="1:8">
      <c r="A586" s="6"/>
      <c r="B586">
        <v>49</v>
      </c>
      <c r="C586">
        <v>28</v>
      </c>
      <c r="D586">
        <v>30</v>
      </c>
      <c r="E586">
        <v>10</v>
      </c>
      <c r="F586">
        <v>599</v>
      </c>
      <c r="G586">
        <v>726</v>
      </c>
      <c r="H586">
        <v>90</v>
      </c>
    </row>
    <row r="587" spans="1:8">
      <c r="A587" s="6"/>
      <c r="B587">
        <v>50</v>
      </c>
      <c r="C587">
        <v>28</v>
      </c>
      <c r="D587">
        <v>35</v>
      </c>
      <c r="E587">
        <v>10</v>
      </c>
      <c r="F587">
        <v>917</v>
      </c>
      <c r="G587">
        <v>1126</v>
      </c>
      <c r="H587">
        <v>90</v>
      </c>
    </row>
    <row r="588" spans="1:8">
      <c r="A588" s="6"/>
      <c r="B588">
        <v>51</v>
      </c>
      <c r="C588">
        <v>26</v>
      </c>
      <c r="D588">
        <v>32</v>
      </c>
      <c r="E588">
        <v>10</v>
      </c>
      <c r="F588">
        <v>779</v>
      </c>
      <c r="G588">
        <v>916</v>
      </c>
      <c r="H588">
        <v>90</v>
      </c>
    </row>
    <row r="589" spans="1:8">
      <c r="A589" s="6"/>
      <c r="B589">
        <v>52</v>
      </c>
      <c r="C589">
        <v>25</v>
      </c>
      <c r="D589">
        <v>30</v>
      </c>
      <c r="E589">
        <v>10</v>
      </c>
      <c r="F589">
        <v>695</v>
      </c>
      <c r="G589">
        <v>816</v>
      </c>
      <c r="H589">
        <v>90</v>
      </c>
    </row>
    <row r="590" spans="1:8">
      <c r="A590" s="6"/>
      <c r="B590">
        <v>53</v>
      </c>
      <c r="C590">
        <v>25</v>
      </c>
      <c r="D590">
        <v>35</v>
      </c>
      <c r="E590">
        <v>10</v>
      </c>
      <c r="F590">
        <v>857</v>
      </c>
      <c r="G590">
        <v>1024</v>
      </c>
      <c r="H590">
        <v>90</v>
      </c>
    </row>
    <row r="591" spans="1:8">
      <c r="A591" s="6"/>
      <c r="B591">
        <v>54</v>
      </c>
      <c r="C591">
        <v>44</v>
      </c>
      <c r="D591">
        <v>5</v>
      </c>
      <c r="E591">
        <v>20</v>
      </c>
      <c r="F591">
        <v>221</v>
      </c>
      <c r="G591">
        <v>412</v>
      </c>
      <c r="H591">
        <v>90</v>
      </c>
    </row>
    <row r="592" spans="1:8">
      <c r="A592" s="6"/>
      <c r="B592">
        <v>55</v>
      </c>
      <c r="C592">
        <v>42</v>
      </c>
      <c r="D592">
        <v>10</v>
      </c>
      <c r="E592">
        <v>40</v>
      </c>
      <c r="F592">
        <v>96</v>
      </c>
      <c r="G592">
        <v>347</v>
      </c>
      <c r="H592">
        <v>90</v>
      </c>
    </row>
    <row r="593" spans="1:8">
      <c r="A593" s="6"/>
      <c r="B593">
        <v>56</v>
      </c>
      <c r="C593">
        <v>42</v>
      </c>
      <c r="D593">
        <v>15</v>
      </c>
      <c r="E593">
        <v>10</v>
      </c>
      <c r="F593">
        <v>35</v>
      </c>
      <c r="G593">
        <v>233</v>
      </c>
      <c r="H593">
        <v>90</v>
      </c>
    </row>
    <row r="594" spans="1:8">
      <c r="A594" s="6"/>
      <c r="B594">
        <v>57</v>
      </c>
      <c r="C594">
        <v>40</v>
      </c>
      <c r="D594">
        <v>5</v>
      </c>
      <c r="E594">
        <v>30</v>
      </c>
      <c r="F594">
        <v>347</v>
      </c>
      <c r="G594">
        <v>474</v>
      </c>
      <c r="H594">
        <v>90</v>
      </c>
    </row>
    <row r="595" spans="1:8">
      <c r="A595" s="6"/>
      <c r="B595">
        <v>58</v>
      </c>
      <c r="C595">
        <v>40</v>
      </c>
      <c r="D595">
        <v>15</v>
      </c>
      <c r="E595">
        <v>40</v>
      </c>
      <c r="F595">
        <v>35</v>
      </c>
      <c r="G595">
        <v>172</v>
      </c>
      <c r="H595">
        <v>90</v>
      </c>
    </row>
    <row r="596" spans="1:8">
      <c r="A596" s="6"/>
      <c r="B596">
        <v>59</v>
      </c>
      <c r="C596">
        <v>38</v>
      </c>
      <c r="D596">
        <v>5</v>
      </c>
      <c r="E596">
        <v>30</v>
      </c>
      <c r="F596">
        <v>403</v>
      </c>
      <c r="G596">
        <v>602</v>
      </c>
      <c r="H596">
        <v>90</v>
      </c>
    </row>
    <row r="597" spans="1:8">
      <c r="A597" s="6"/>
      <c r="B597">
        <v>60</v>
      </c>
      <c r="C597">
        <v>38</v>
      </c>
      <c r="D597">
        <v>15</v>
      </c>
      <c r="E597">
        <v>10</v>
      </c>
      <c r="F597">
        <v>521</v>
      </c>
      <c r="G597">
        <v>870</v>
      </c>
      <c r="H597">
        <v>90</v>
      </c>
    </row>
    <row r="598" spans="1:8">
      <c r="A598" s="6"/>
      <c r="B598">
        <v>61</v>
      </c>
      <c r="C598">
        <v>35</v>
      </c>
      <c r="D598">
        <v>5</v>
      </c>
      <c r="E598">
        <v>20</v>
      </c>
      <c r="F598">
        <v>487</v>
      </c>
      <c r="G598">
        <v>704</v>
      </c>
      <c r="H598">
        <v>90</v>
      </c>
    </row>
    <row r="599" spans="1:8">
      <c r="A599" s="6"/>
      <c r="B599">
        <v>62</v>
      </c>
      <c r="C599">
        <v>50</v>
      </c>
      <c r="D599">
        <v>30</v>
      </c>
      <c r="E599">
        <v>10</v>
      </c>
      <c r="F599">
        <v>422</v>
      </c>
      <c r="G599">
        <v>719</v>
      </c>
      <c r="H599">
        <v>90</v>
      </c>
    </row>
    <row r="600" spans="1:8">
      <c r="A600" s="6"/>
      <c r="B600">
        <v>63</v>
      </c>
      <c r="C600">
        <v>50</v>
      </c>
      <c r="D600">
        <v>35</v>
      </c>
      <c r="E600">
        <v>20</v>
      </c>
      <c r="F600">
        <v>217</v>
      </c>
      <c r="G600">
        <v>362</v>
      </c>
      <c r="H600">
        <v>90</v>
      </c>
    </row>
    <row r="601" spans="1:8">
      <c r="A601" s="6"/>
      <c r="B601">
        <v>64</v>
      </c>
      <c r="C601">
        <v>50</v>
      </c>
      <c r="D601">
        <v>40</v>
      </c>
      <c r="E601">
        <v>50</v>
      </c>
      <c r="F601">
        <v>142</v>
      </c>
      <c r="G601">
        <v>247</v>
      </c>
      <c r="H601">
        <v>90</v>
      </c>
    </row>
    <row r="602" spans="1:8">
      <c r="A602" s="6"/>
      <c r="B602">
        <v>65</v>
      </c>
      <c r="C602">
        <v>48</v>
      </c>
      <c r="D602">
        <v>30</v>
      </c>
      <c r="E602">
        <v>10</v>
      </c>
      <c r="F602">
        <v>567</v>
      </c>
      <c r="G602">
        <v>758</v>
      </c>
      <c r="H602">
        <v>90</v>
      </c>
    </row>
    <row r="603" spans="1:8">
      <c r="A603" s="6"/>
      <c r="B603">
        <v>66</v>
      </c>
      <c r="C603">
        <v>48</v>
      </c>
      <c r="D603">
        <v>40</v>
      </c>
      <c r="E603">
        <v>10</v>
      </c>
      <c r="F603">
        <v>34</v>
      </c>
      <c r="G603">
        <v>171</v>
      </c>
      <c r="H603">
        <v>90</v>
      </c>
    </row>
    <row r="604" spans="1:8">
      <c r="A604" s="6"/>
      <c r="B604">
        <v>67</v>
      </c>
      <c r="C604">
        <v>47</v>
      </c>
      <c r="D604">
        <v>35</v>
      </c>
      <c r="E604">
        <v>10</v>
      </c>
      <c r="F604">
        <v>794</v>
      </c>
      <c r="G604">
        <v>907</v>
      </c>
      <c r="H604">
        <v>90</v>
      </c>
    </row>
    <row r="605" spans="1:8">
      <c r="A605" s="6"/>
      <c r="B605">
        <v>68</v>
      </c>
      <c r="C605">
        <v>47</v>
      </c>
      <c r="D605">
        <v>40</v>
      </c>
      <c r="E605">
        <v>10</v>
      </c>
      <c r="F605">
        <v>12</v>
      </c>
      <c r="G605">
        <v>226</v>
      </c>
      <c r="H605">
        <v>90</v>
      </c>
    </row>
    <row r="606" spans="1:8">
      <c r="A606" s="6"/>
      <c r="B606">
        <v>69</v>
      </c>
      <c r="C606">
        <v>45</v>
      </c>
      <c r="D606">
        <v>30</v>
      </c>
      <c r="E606">
        <v>10</v>
      </c>
      <c r="F606">
        <v>716</v>
      </c>
      <c r="G606">
        <v>795</v>
      </c>
      <c r="H606">
        <v>90</v>
      </c>
    </row>
    <row r="607" spans="1:8">
      <c r="A607" s="6"/>
      <c r="B607">
        <v>70</v>
      </c>
      <c r="C607">
        <v>45</v>
      </c>
      <c r="D607">
        <v>35</v>
      </c>
      <c r="E607">
        <v>10</v>
      </c>
      <c r="F607">
        <v>873</v>
      </c>
      <c r="G607">
        <v>1012</v>
      </c>
      <c r="H607">
        <v>90</v>
      </c>
    </row>
    <row r="608" spans="1:8">
      <c r="A608" s="6"/>
      <c r="B608">
        <v>71</v>
      </c>
      <c r="C608">
        <v>95</v>
      </c>
      <c r="D608">
        <v>30</v>
      </c>
      <c r="E608">
        <v>30</v>
      </c>
      <c r="F608">
        <v>266</v>
      </c>
      <c r="G608">
        <v>577</v>
      </c>
      <c r="H608">
        <v>90</v>
      </c>
    </row>
    <row r="609" spans="1:8">
      <c r="A609" s="6"/>
      <c r="B609">
        <v>72</v>
      </c>
      <c r="C609">
        <v>95</v>
      </c>
      <c r="D609">
        <v>35</v>
      </c>
      <c r="E609">
        <v>20</v>
      </c>
      <c r="F609">
        <v>181</v>
      </c>
      <c r="G609">
        <v>472</v>
      </c>
      <c r="H609">
        <v>90</v>
      </c>
    </row>
    <row r="610" spans="1:8">
      <c r="A610" s="6"/>
      <c r="B610">
        <v>73</v>
      </c>
      <c r="C610">
        <v>53</v>
      </c>
      <c r="D610">
        <v>30</v>
      </c>
      <c r="E610">
        <v>10</v>
      </c>
      <c r="F610">
        <v>402</v>
      </c>
      <c r="G610">
        <v>553</v>
      </c>
      <c r="H610">
        <v>90</v>
      </c>
    </row>
    <row r="611" spans="1:8">
      <c r="A611" s="6"/>
      <c r="B611">
        <v>74</v>
      </c>
      <c r="C611">
        <v>92</v>
      </c>
      <c r="D611">
        <v>30</v>
      </c>
      <c r="E611">
        <v>10</v>
      </c>
      <c r="F611">
        <v>345</v>
      </c>
      <c r="G611">
        <v>684</v>
      </c>
      <c r="H611">
        <v>90</v>
      </c>
    </row>
    <row r="612" spans="1:8">
      <c r="A612" s="6"/>
      <c r="B612">
        <v>75</v>
      </c>
      <c r="C612">
        <v>53</v>
      </c>
      <c r="D612">
        <v>35</v>
      </c>
      <c r="E612">
        <v>50</v>
      </c>
      <c r="F612">
        <v>294</v>
      </c>
      <c r="G612">
        <v>471</v>
      </c>
      <c r="H612">
        <v>90</v>
      </c>
    </row>
    <row r="613" spans="1:8">
      <c r="A613" s="6"/>
      <c r="B613">
        <v>76</v>
      </c>
      <c r="C613">
        <v>45</v>
      </c>
      <c r="D613">
        <v>65</v>
      </c>
      <c r="E613">
        <v>20</v>
      </c>
      <c r="F613">
        <v>951</v>
      </c>
      <c r="G613">
        <v>1114</v>
      </c>
      <c r="H613">
        <v>90</v>
      </c>
    </row>
    <row r="614" spans="1:8">
      <c r="A614" s="6"/>
      <c r="B614">
        <v>77</v>
      </c>
      <c r="C614">
        <v>90</v>
      </c>
      <c r="D614">
        <v>35</v>
      </c>
      <c r="E614">
        <v>10</v>
      </c>
      <c r="F614">
        <v>153</v>
      </c>
      <c r="G614">
        <v>310</v>
      </c>
      <c r="H614">
        <v>90</v>
      </c>
    </row>
    <row r="615" spans="1:8">
      <c r="A615" s="6"/>
      <c r="B615">
        <v>78</v>
      </c>
      <c r="C615">
        <v>88</v>
      </c>
      <c r="D615">
        <v>30</v>
      </c>
      <c r="E615">
        <v>10</v>
      </c>
      <c r="F615">
        <v>450</v>
      </c>
      <c r="G615">
        <v>767</v>
      </c>
      <c r="H615">
        <v>90</v>
      </c>
    </row>
    <row r="616" spans="1:8">
      <c r="A616" s="6"/>
      <c r="B616">
        <v>79</v>
      </c>
      <c r="C616">
        <v>88</v>
      </c>
      <c r="D616">
        <v>35</v>
      </c>
      <c r="E616">
        <v>20</v>
      </c>
      <c r="F616">
        <v>50</v>
      </c>
      <c r="G616">
        <v>237</v>
      </c>
      <c r="H616">
        <v>90</v>
      </c>
    </row>
    <row r="617" spans="1:8">
      <c r="A617" s="6"/>
      <c r="B617">
        <v>80</v>
      </c>
      <c r="C617">
        <v>87</v>
      </c>
      <c r="D617">
        <v>30</v>
      </c>
      <c r="E617">
        <v>10</v>
      </c>
      <c r="F617">
        <v>567</v>
      </c>
      <c r="G617">
        <v>832</v>
      </c>
      <c r="H617">
        <v>90</v>
      </c>
    </row>
    <row r="618" spans="1:8">
      <c r="A618" s="6"/>
      <c r="B618">
        <v>81</v>
      </c>
      <c r="C618">
        <v>85</v>
      </c>
      <c r="D618">
        <v>25</v>
      </c>
      <c r="E618">
        <v>10</v>
      </c>
      <c r="F618">
        <v>713</v>
      </c>
      <c r="G618">
        <v>876</v>
      </c>
      <c r="H618">
        <v>90</v>
      </c>
    </row>
    <row r="619" spans="1:8">
      <c r="A619" s="6"/>
      <c r="B619">
        <v>82</v>
      </c>
      <c r="C619">
        <v>85</v>
      </c>
      <c r="D619">
        <v>35</v>
      </c>
      <c r="E619">
        <v>30</v>
      </c>
      <c r="F619">
        <v>47</v>
      </c>
      <c r="G619">
        <v>331</v>
      </c>
      <c r="H619">
        <v>90</v>
      </c>
    </row>
    <row r="620" spans="1:8">
      <c r="A620" s="6"/>
      <c r="B620">
        <v>83</v>
      </c>
      <c r="C620">
        <v>75</v>
      </c>
      <c r="D620">
        <v>55</v>
      </c>
      <c r="E620">
        <v>20</v>
      </c>
      <c r="F620">
        <v>311</v>
      </c>
      <c r="G620">
        <v>478</v>
      </c>
      <c r="H620">
        <v>90</v>
      </c>
    </row>
    <row r="621" spans="1:8">
      <c r="A621" s="6"/>
      <c r="B621">
        <v>84</v>
      </c>
      <c r="C621">
        <v>72</v>
      </c>
      <c r="D621">
        <v>55</v>
      </c>
      <c r="E621">
        <v>10</v>
      </c>
      <c r="F621">
        <v>127</v>
      </c>
      <c r="G621">
        <v>476</v>
      </c>
      <c r="H621">
        <v>90</v>
      </c>
    </row>
    <row r="622" spans="1:8">
      <c r="A622" s="6"/>
      <c r="B622">
        <v>85</v>
      </c>
      <c r="C622">
        <v>70</v>
      </c>
      <c r="D622">
        <v>58</v>
      </c>
      <c r="E622">
        <v>20</v>
      </c>
      <c r="F622">
        <v>349</v>
      </c>
      <c r="G622">
        <v>632</v>
      </c>
      <c r="H622">
        <v>90</v>
      </c>
    </row>
    <row r="623" spans="1:8">
      <c r="A623" s="6"/>
      <c r="B623">
        <v>86</v>
      </c>
      <c r="C623">
        <v>68</v>
      </c>
      <c r="D623">
        <v>60</v>
      </c>
      <c r="E623">
        <v>30</v>
      </c>
      <c r="F623">
        <v>476</v>
      </c>
      <c r="G623">
        <v>691</v>
      </c>
      <c r="H623">
        <v>90</v>
      </c>
    </row>
    <row r="624" spans="1:8">
      <c r="A624" s="6"/>
      <c r="B624">
        <v>87</v>
      </c>
      <c r="C624">
        <v>66</v>
      </c>
      <c r="D624">
        <v>55</v>
      </c>
      <c r="E624">
        <v>10</v>
      </c>
      <c r="F624">
        <v>67</v>
      </c>
      <c r="G624">
        <v>344</v>
      </c>
      <c r="H624">
        <v>90</v>
      </c>
    </row>
    <row r="625" spans="1:8">
      <c r="A625" s="6"/>
      <c r="B625">
        <v>88</v>
      </c>
      <c r="C625">
        <v>65</v>
      </c>
      <c r="D625">
        <v>55</v>
      </c>
      <c r="E625">
        <v>20</v>
      </c>
      <c r="F625">
        <v>25</v>
      </c>
      <c r="G625">
        <v>256</v>
      </c>
      <c r="H625">
        <v>90</v>
      </c>
    </row>
    <row r="626" spans="1:8">
      <c r="A626" s="6"/>
      <c r="B626">
        <v>89</v>
      </c>
      <c r="C626">
        <v>65</v>
      </c>
      <c r="D626">
        <v>60</v>
      </c>
      <c r="E626">
        <v>30</v>
      </c>
      <c r="F626">
        <v>546</v>
      </c>
      <c r="G626">
        <v>807</v>
      </c>
      <c r="H626">
        <v>90</v>
      </c>
    </row>
    <row r="627" spans="1:8">
      <c r="A627" s="6"/>
      <c r="B627">
        <v>90</v>
      </c>
      <c r="C627">
        <v>63</v>
      </c>
      <c r="D627">
        <v>58</v>
      </c>
      <c r="E627">
        <v>10</v>
      </c>
      <c r="F627">
        <v>630</v>
      </c>
      <c r="G627">
        <v>909</v>
      </c>
      <c r="H627">
        <v>90</v>
      </c>
    </row>
    <row r="628" spans="1:8">
      <c r="A628" s="6"/>
      <c r="B628">
        <v>91</v>
      </c>
      <c r="C628">
        <v>60</v>
      </c>
      <c r="D628">
        <v>55</v>
      </c>
      <c r="E628">
        <v>10</v>
      </c>
      <c r="F628">
        <v>20</v>
      </c>
      <c r="G628">
        <v>293</v>
      </c>
      <c r="H628">
        <v>90</v>
      </c>
    </row>
    <row r="629" spans="1:8">
      <c r="A629" s="6"/>
      <c r="B629">
        <v>92</v>
      </c>
      <c r="C629">
        <v>60</v>
      </c>
      <c r="D629">
        <v>60</v>
      </c>
      <c r="E629">
        <v>10</v>
      </c>
      <c r="F629">
        <v>769</v>
      </c>
      <c r="G629">
        <v>956</v>
      </c>
      <c r="H629">
        <v>90</v>
      </c>
    </row>
    <row r="630" spans="1:8">
      <c r="A630" s="6"/>
      <c r="B630">
        <v>93</v>
      </c>
      <c r="C630">
        <v>67</v>
      </c>
      <c r="D630">
        <v>85</v>
      </c>
      <c r="E630">
        <v>20</v>
      </c>
      <c r="F630">
        <v>229</v>
      </c>
      <c r="G630">
        <v>580</v>
      </c>
      <c r="H630">
        <v>90</v>
      </c>
    </row>
    <row r="631" spans="1:8">
      <c r="A631" s="6"/>
      <c r="B631">
        <v>94</v>
      </c>
      <c r="C631">
        <v>65</v>
      </c>
      <c r="D631">
        <v>85</v>
      </c>
      <c r="E631">
        <v>40</v>
      </c>
      <c r="F631">
        <v>442</v>
      </c>
      <c r="G631">
        <v>551</v>
      </c>
      <c r="H631">
        <v>90</v>
      </c>
    </row>
    <row r="632" spans="1:8">
      <c r="A632" s="6"/>
      <c r="B632">
        <v>95</v>
      </c>
      <c r="C632">
        <v>65</v>
      </c>
      <c r="D632">
        <v>82</v>
      </c>
      <c r="E632">
        <v>10</v>
      </c>
      <c r="F632">
        <v>227</v>
      </c>
      <c r="G632">
        <v>394</v>
      </c>
      <c r="H632">
        <v>90</v>
      </c>
    </row>
    <row r="633" spans="1:8">
      <c r="A633" s="6"/>
      <c r="B633">
        <v>96</v>
      </c>
      <c r="C633">
        <v>62</v>
      </c>
      <c r="D633">
        <v>80</v>
      </c>
      <c r="E633">
        <v>30</v>
      </c>
      <c r="F633">
        <v>163</v>
      </c>
      <c r="G633">
        <v>272</v>
      </c>
      <c r="H633">
        <v>90</v>
      </c>
    </row>
    <row r="634" spans="1:8">
      <c r="A634" s="6"/>
      <c r="B634">
        <v>97</v>
      </c>
      <c r="C634">
        <v>60</v>
      </c>
      <c r="D634">
        <v>80</v>
      </c>
      <c r="E634">
        <v>10</v>
      </c>
      <c r="F634">
        <v>36</v>
      </c>
      <c r="G634">
        <v>291</v>
      </c>
      <c r="H634">
        <v>90</v>
      </c>
    </row>
    <row r="635" spans="1:8">
      <c r="A635" s="6"/>
      <c r="B635">
        <v>98</v>
      </c>
      <c r="C635">
        <v>60</v>
      </c>
      <c r="D635">
        <v>85</v>
      </c>
      <c r="E635">
        <v>30</v>
      </c>
      <c r="F635">
        <v>469</v>
      </c>
      <c r="G635">
        <v>714</v>
      </c>
      <c r="H635">
        <v>90</v>
      </c>
    </row>
    <row r="636" spans="1:8">
      <c r="A636" s="6"/>
      <c r="B636">
        <v>99</v>
      </c>
      <c r="C636">
        <v>58</v>
      </c>
      <c r="D636">
        <v>75</v>
      </c>
      <c r="E636">
        <v>20</v>
      </c>
      <c r="F636">
        <v>30</v>
      </c>
      <c r="G636">
        <v>227</v>
      </c>
      <c r="H636">
        <v>90</v>
      </c>
    </row>
    <row r="637" spans="1:8">
      <c r="A637" s="6"/>
      <c r="B637">
        <v>100</v>
      </c>
      <c r="C637">
        <v>55</v>
      </c>
      <c r="D637">
        <v>80</v>
      </c>
      <c r="E637">
        <v>10</v>
      </c>
      <c r="F637">
        <v>595</v>
      </c>
      <c r="G637">
        <v>968</v>
      </c>
      <c r="H637">
        <v>90</v>
      </c>
    </row>
    <row r="638" spans="1:8">
      <c r="A638" s="6"/>
      <c r="B638">
        <v>101</v>
      </c>
      <c r="C638">
        <v>55</v>
      </c>
      <c r="D638">
        <v>85</v>
      </c>
      <c r="E638">
        <v>20</v>
      </c>
      <c r="F638">
        <v>493</v>
      </c>
      <c r="G638">
        <v>880</v>
      </c>
      <c r="H638">
        <v>90</v>
      </c>
    </row>
    <row r="642" spans="1:8" ht="17.399999999999999">
      <c r="A642" s="7" t="s">
        <v>42</v>
      </c>
    </row>
    <row r="643" spans="1:8">
      <c r="A643" s="4"/>
      <c r="B643" t="s">
        <v>32</v>
      </c>
      <c r="C643" t="s">
        <v>26</v>
      </c>
      <c r="D643" t="s">
        <v>27</v>
      </c>
      <c r="E643" t="s">
        <v>28</v>
      </c>
      <c r="F643" t="s">
        <v>29</v>
      </c>
      <c r="G643" t="s">
        <v>30</v>
      </c>
      <c r="H643" t="s">
        <v>31</v>
      </c>
    </row>
    <row r="644" spans="1:8">
      <c r="A644" s="6"/>
      <c r="B644">
        <v>1</v>
      </c>
      <c r="C644">
        <v>40</v>
      </c>
      <c r="D644">
        <v>50</v>
      </c>
      <c r="E644">
        <v>0</v>
      </c>
      <c r="F644">
        <v>0</v>
      </c>
      <c r="G644">
        <v>1236</v>
      </c>
      <c r="H644">
        <v>0</v>
      </c>
    </row>
    <row r="645" spans="1:8">
      <c r="A645" s="6"/>
      <c r="B645">
        <v>2</v>
      </c>
      <c r="C645">
        <v>45</v>
      </c>
      <c r="D645">
        <v>68</v>
      </c>
      <c r="E645">
        <v>10</v>
      </c>
      <c r="F645">
        <v>850</v>
      </c>
      <c r="G645">
        <v>1030</v>
      </c>
      <c r="H645">
        <v>90</v>
      </c>
    </row>
    <row r="646" spans="1:8">
      <c r="A646" s="6"/>
      <c r="B646">
        <v>3</v>
      </c>
      <c r="C646">
        <v>45</v>
      </c>
      <c r="D646">
        <v>70</v>
      </c>
      <c r="E646">
        <v>30</v>
      </c>
      <c r="F646">
        <v>758</v>
      </c>
      <c r="G646">
        <v>938</v>
      </c>
      <c r="H646">
        <v>90</v>
      </c>
    </row>
    <row r="647" spans="1:8">
      <c r="A647" s="6"/>
      <c r="B647">
        <v>4</v>
      </c>
      <c r="C647">
        <v>42</v>
      </c>
      <c r="D647">
        <v>66</v>
      </c>
      <c r="E647">
        <v>10</v>
      </c>
      <c r="F647">
        <v>16</v>
      </c>
      <c r="G647">
        <v>196</v>
      </c>
      <c r="H647">
        <v>90</v>
      </c>
    </row>
    <row r="648" spans="1:8">
      <c r="A648" s="6"/>
      <c r="B648">
        <v>5</v>
      </c>
      <c r="C648">
        <v>42</v>
      </c>
      <c r="D648">
        <v>68</v>
      </c>
      <c r="E648">
        <v>10</v>
      </c>
      <c r="F648">
        <v>665</v>
      </c>
      <c r="G648">
        <v>845</v>
      </c>
      <c r="H648">
        <v>90</v>
      </c>
    </row>
    <row r="649" spans="1:8">
      <c r="A649" s="6"/>
      <c r="B649">
        <v>6</v>
      </c>
      <c r="C649">
        <v>42</v>
      </c>
      <c r="D649">
        <v>65</v>
      </c>
      <c r="E649">
        <v>10</v>
      </c>
      <c r="F649">
        <v>15</v>
      </c>
      <c r="G649">
        <v>195</v>
      </c>
      <c r="H649">
        <v>90</v>
      </c>
    </row>
    <row r="650" spans="1:8">
      <c r="A650" s="6"/>
      <c r="B650">
        <v>7</v>
      </c>
      <c r="C650">
        <v>40</v>
      </c>
      <c r="D650">
        <v>69</v>
      </c>
      <c r="E650">
        <v>20</v>
      </c>
      <c r="F650">
        <v>572</v>
      </c>
      <c r="G650">
        <v>752</v>
      </c>
      <c r="H650">
        <v>90</v>
      </c>
    </row>
    <row r="651" spans="1:8">
      <c r="A651" s="6"/>
      <c r="B651">
        <v>8</v>
      </c>
      <c r="C651">
        <v>40</v>
      </c>
      <c r="D651">
        <v>66</v>
      </c>
      <c r="E651">
        <v>20</v>
      </c>
      <c r="F651">
        <v>108</v>
      </c>
      <c r="G651">
        <v>288</v>
      </c>
      <c r="H651">
        <v>90</v>
      </c>
    </row>
    <row r="652" spans="1:8">
      <c r="A652" s="6"/>
      <c r="B652">
        <v>9</v>
      </c>
      <c r="C652">
        <v>38</v>
      </c>
      <c r="D652">
        <v>68</v>
      </c>
      <c r="E652">
        <v>20</v>
      </c>
      <c r="F652">
        <v>200</v>
      </c>
      <c r="G652">
        <v>380</v>
      </c>
      <c r="H652">
        <v>90</v>
      </c>
    </row>
    <row r="653" spans="1:8">
      <c r="A653" s="6"/>
      <c r="B653">
        <v>10</v>
      </c>
      <c r="C653">
        <v>38</v>
      </c>
      <c r="D653">
        <v>70</v>
      </c>
      <c r="E653">
        <v>10</v>
      </c>
      <c r="F653">
        <v>480</v>
      </c>
      <c r="G653">
        <v>660</v>
      </c>
      <c r="H653">
        <v>90</v>
      </c>
    </row>
    <row r="654" spans="1:8">
      <c r="A654" s="6"/>
      <c r="B654">
        <v>11</v>
      </c>
      <c r="C654">
        <v>35</v>
      </c>
      <c r="D654">
        <v>66</v>
      </c>
      <c r="E654">
        <v>10</v>
      </c>
      <c r="F654">
        <v>294</v>
      </c>
      <c r="G654">
        <v>474</v>
      </c>
      <c r="H654">
        <v>90</v>
      </c>
    </row>
    <row r="655" spans="1:8">
      <c r="A655" s="6"/>
      <c r="B655">
        <v>12</v>
      </c>
      <c r="C655">
        <v>35</v>
      </c>
      <c r="D655">
        <v>69</v>
      </c>
      <c r="E655">
        <v>10</v>
      </c>
      <c r="F655">
        <v>387</v>
      </c>
      <c r="G655">
        <v>567</v>
      </c>
      <c r="H655">
        <v>90</v>
      </c>
    </row>
    <row r="656" spans="1:8">
      <c r="A656" s="6"/>
      <c r="B656">
        <v>13</v>
      </c>
      <c r="C656">
        <v>25</v>
      </c>
      <c r="D656">
        <v>85</v>
      </c>
      <c r="E656">
        <v>20</v>
      </c>
      <c r="F656">
        <v>597</v>
      </c>
      <c r="G656">
        <v>777</v>
      </c>
      <c r="H656">
        <v>90</v>
      </c>
    </row>
    <row r="657" spans="1:8">
      <c r="A657" s="6"/>
      <c r="B657">
        <v>14</v>
      </c>
      <c r="C657">
        <v>22</v>
      </c>
      <c r="D657">
        <v>75</v>
      </c>
      <c r="E657">
        <v>30</v>
      </c>
      <c r="F657">
        <v>30</v>
      </c>
      <c r="G657">
        <v>210</v>
      </c>
      <c r="H657">
        <v>90</v>
      </c>
    </row>
    <row r="658" spans="1:8">
      <c r="A658" s="6"/>
      <c r="B658">
        <v>15</v>
      </c>
      <c r="C658">
        <v>22</v>
      </c>
      <c r="D658">
        <v>85</v>
      </c>
      <c r="E658">
        <v>10</v>
      </c>
      <c r="F658">
        <v>504</v>
      </c>
      <c r="G658">
        <v>684</v>
      </c>
      <c r="H658">
        <v>90</v>
      </c>
    </row>
    <row r="659" spans="1:8">
      <c r="A659" s="6"/>
      <c r="B659">
        <v>16</v>
      </c>
      <c r="C659">
        <v>20</v>
      </c>
      <c r="D659">
        <v>80</v>
      </c>
      <c r="E659">
        <v>40</v>
      </c>
      <c r="F659">
        <v>317</v>
      </c>
      <c r="G659">
        <v>497</v>
      </c>
      <c r="H659">
        <v>90</v>
      </c>
    </row>
    <row r="660" spans="1:8">
      <c r="A660" s="6"/>
      <c r="B660">
        <v>17</v>
      </c>
      <c r="C660">
        <v>20</v>
      </c>
      <c r="D660">
        <v>85</v>
      </c>
      <c r="E660">
        <v>40</v>
      </c>
      <c r="F660">
        <v>412</v>
      </c>
      <c r="G660">
        <v>592</v>
      </c>
      <c r="H660">
        <v>90</v>
      </c>
    </row>
    <row r="661" spans="1:8">
      <c r="A661" s="6"/>
      <c r="B661">
        <v>18</v>
      </c>
      <c r="C661">
        <v>18</v>
      </c>
      <c r="D661">
        <v>75</v>
      </c>
      <c r="E661">
        <v>20</v>
      </c>
      <c r="F661">
        <v>34</v>
      </c>
      <c r="G661">
        <v>214</v>
      </c>
      <c r="H661">
        <v>90</v>
      </c>
    </row>
    <row r="662" spans="1:8">
      <c r="A662" s="6"/>
      <c r="B662">
        <v>19</v>
      </c>
      <c r="C662">
        <v>15</v>
      </c>
      <c r="D662">
        <v>75</v>
      </c>
      <c r="E662">
        <v>20</v>
      </c>
      <c r="F662">
        <v>127</v>
      </c>
      <c r="G662">
        <v>307</v>
      </c>
      <c r="H662">
        <v>90</v>
      </c>
    </row>
    <row r="663" spans="1:8">
      <c r="A663" s="6"/>
      <c r="B663">
        <v>20</v>
      </c>
      <c r="C663">
        <v>15</v>
      </c>
      <c r="D663">
        <v>80</v>
      </c>
      <c r="E663">
        <v>10</v>
      </c>
      <c r="F663">
        <v>222</v>
      </c>
      <c r="G663">
        <v>402</v>
      </c>
      <c r="H663">
        <v>90</v>
      </c>
    </row>
    <row r="664" spans="1:8">
      <c r="A664" s="6"/>
      <c r="B664">
        <v>21</v>
      </c>
      <c r="C664">
        <v>30</v>
      </c>
      <c r="D664">
        <v>50</v>
      </c>
      <c r="E664">
        <v>10</v>
      </c>
      <c r="F664">
        <v>10</v>
      </c>
      <c r="G664">
        <v>190</v>
      </c>
      <c r="H664">
        <v>90</v>
      </c>
    </row>
    <row r="665" spans="1:8">
      <c r="A665" s="6"/>
      <c r="B665">
        <v>22</v>
      </c>
      <c r="C665">
        <v>30</v>
      </c>
      <c r="D665">
        <v>52</v>
      </c>
      <c r="E665">
        <v>20</v>
      </c>
      <c r="F665">
        <v>850</v>
      </c>
      <c r="G665">
        <v>1030</v>
      </c>
      <c r="H665">
        <v>90</v>
      </c>
    </row>
    <row r="666" spans="1:8">
      <c r="A666" s="6"/>
      <c r="B666">
        <v>23</v>
      </c>
      <c r="C666">
        <v>28</v>
      </c>
      <c r="D666">
        <v>52</v>
      </c>
      <c r="E666">
        <v>20</v>
      </c>
      <c r="F666">
        <v>758</v>
      </c>
      <c r="G666">
        <v>938</v>
      </c>
      <c r="H666">
        <v>90</v>
      </c>
    </row>
    <row r="667" spans="1:8">
      <c r="A667" s="6"/>
      <c r="B667">
        <v>24</v>
      </c>
      <c r="C667">
        <v>28</v>
      </c>
      <c r="D667">
        <v>55</v>
      </c>
      <c r="E667">
        <v>10</v>
      </c>
      <c r="F667">
        <v>665</v>
      </c>
      <c r="G667">
        <v>845</v>
      </c>
      <c r="H667">
        <v>90</v>
      </c>
    </row>
    <row r="668" spans="1:8">
      <c r="A668" s="6"/>
      <c r="B668">
        <v>25</v>
      </c>
      <c r="C668">
        <v>25</v>
      </c>
      <c r="D668">
        <v>50</v>
      </c>
      <c r="E668">
        <v>10</v>
      </c>
      <c r="F668">
        <v>15</v>
      </c>
      <c r="G668">
        <v>195</v>
      </c>
      <c r="H668">
        <v>90</v>
      </c>
    </row>
    <row r="669" spans="1:8">
      <c r="A669" s="6"/>
      <c r="B669">
        <v>26</v>
      </c>
      <c r="C669">
        <v>25</v>
      </c>
      <c r="D669">
        <v>52</v>
      </c>
      <c r="E669">
        <v>40</v>
      </c>
      <c r="F669">
        <v>107</v>
      </c>
      <c r="G669">
        <v>287</v>
      </c>
      <c r="H669">
        <v>90</v>
      </c>
    </row>
    <row r="670" spans="1:8">
      <c r="A670" s="6"/>
      <c r="B670">
        <v>27</v>
      </c>
      <c r="C670">
        <v>25</v>
      </c>
      <c r="D670">
        <v>55</v>
      </c>
      <c r="E670">
        <v>10</v>
      </c>
      <c r="F670">
        <v>572</v>
      </c>
      <c r="G670">
        <v>752</v>
      </c>
      <c r="H670">
        <v>90</v>
      </c>
    </row>
    <row r="671" spans="1:8">
      <c r="A671" s="6"/>
      <c r="B671">
        <v>28</v>
      </c>
      <c r="C671">
        <v>23</v>
      </c>
      <c r="D671">
        <v>52</v>
      </c>
      <c r="E671">
        <v>10</v>
      </c>
      <c r="F671">
        <v>199</v>
      </c>
      <c r="G671">
        <v>379</v>
      </c>
      <c r="H671">
        <v>90</v>
      </c>
    </row>
    <row r="672" spans="1:8">
      <c r="A672" s="6"/>
      <c r="B672">
        <v>29</v>
      </c>
      <c r="C672">
        <v>23</v>
      </c>
      <c r="D672">
        <v>55</v>
      </c>
      <c r="E672">
        <v>20</v>
      </c>
      <c r="F672">
        <v>480</v>
      </c>
      <c r="G672">
        <v>660</v>
      </c>
      <c r="H672">
        <v>90</v>
      </c>
    </row>
    <row r="673" spans="1:8">
      <c r="A673" s="6"/>
      <c r="B673">
        <v>30</v>
      </c>
      <c r="C673">
        <v>20</v>
      </c>
      <c r="D673">
        <v>50</v>
      </c>
      <c r="E673">
        <v>10</v>
      </c>
      <c r="F673">
        <v>292</v>
      </c>
      <c r="G673">
        <v>472</v>
      </c>
      <c r="H673">
        <v>90</v>
      </c>
    </row>
    <row r="674" spans="1:8">
      <c r="A674" s="6"/>
      <c r="B674">
        <v>31</v>
      </c>
      <c r="C674">
        <v>20</v>
      </c>
      <c r="D674">
        <v>55</v>
      </c>
      <c r="E674">
        <v>10</v>
      </c>
      <c r="F674">
        <v>387</v>
      </c>
      <c r="G674">
        <v>567</v>
      </c>
      <c r="H674">
        <v>90</v>
      </c>
    </row>
    <row r="675" spans="1:8">
      <c r="A675" s="6"/>
      <c r="B675">
        <v>32</v>
      </c>
      <c r="C675">
        <v>10</v>
      </c>
      <c r="D675">
        <v>35</v>
      </c>
      <c r="E675">
        <v>20</v>
      </c>
      <c r="F675">
        <v>129</v>
      </c>
      <c r="G675">
        <v>309</v>
      </c>
      <c r="H675">
        <v>90</v>
      </c>
    </row>
    <row r="676" spans="1:8">
      <c r="A676" s="6"/>
      <c r="B676">
        <v>33</v>
      </c>
      <c r="C676">
        <v>10</v>
      </c>
      <c r="D676">
        <v>40</v>
      </c>
      <c r="E676">
        <v>30</v>
      </c>
      <c r="F676">
        <v>31</v>
      </c>
      <c r="G676">
        <v>211</v>
      </c>
      <c r="H676">
        <v>90</v>
      </c>
    </row>
    <row r="677" spans="1:8">
      <c r="A677" s="6"/>
      <c r="B677">
        <v>34</v>
      </c>
      <c r="C677">
        <v>8</v>
      </c>
      <c r="D677">
        <v>40</v>
      </c>
      <c r="E677">
        <v>40</v>
      </c>
      <c r="F677">
        <v>33</v>
      </c>
      <c r="G677">
        <v>213</v>
      </c>
      <c r="H677">
        <v>90</v>
      </c>
    </row>
    <row r="678" spans="1:8">
      <c r="A678" s="6"/>
      <c r="B678">
        <v>35</v>
      </c>
      <c r="C678">
        <v>8</v>
      </c>
      <c r="D678">
        <v>45</v>
      </c>
      <c r="E678">
        <v>20</v>
      </c>
      <c r="F678">
        <v>694</v>
      </c>
      <c r="G678">
        <v>874</v>
      </c>
      <c r="H678">
        <v>90</v>
      </c>
    </row>
    <row r="679" spans="1:8">
      <c r="A679" s="6"/>
      <c r="B679">
        <v>36</v>
      </c>
      <c r="C679">
        <v>5</v>
      </c>
      <c r="D679">
        <v>35</v>
      </c>
      <c r="E679">
        <v>10</v>
      </c>
      <c r="F679">
        <v>224</v>
      </c>
      <c r="G679">
        <v>404</v>
      </c>
      <c r="H679">
        <v>90</v>
      </c>
    </row>
    <row r="680" spans="1:8">
      <c r="A680" s="6"/>
      <c r="B680">
        <v>37</v>
      </c>
      <c r="C680">
        <v>5</v>
      </c>
      <c r="D680">
        <v>45</v>
      </c>
      <c r="E680">
        <v>10</v>
      </c>
      <c r="F680">
        <v>601</v>
      </c>
      <c r="G680">
        <v>781</v>
      </c>
      <c r="H680">
        <v>90</v>
      </c>
    </row>
    <row r="681" spans="1:8">
      <c r="A681" s="6"/>
      <c r="B681">
        <v>38</v>
      </c>
      <c r="C681">
        <v>2</v>
      </c>
      <c r="D681">
        <v>40</v>
      </c>
      <c r="E681">
        <v>20</v>
      </c>
      <c r="F681">
        <v>319</v>
      </c>
      <c r="G681">
        <v>499</v>
      </c>
      <c r="H681">
        <v>90</v>
      </c>
    </row>
    <row r="682" spans="1:8">
      <c r="A682" s="6"/>
      <c r="B682">
        <v>39</v>
      </c>
      <c r="C682">
        <v>0</v>
      </c>
      <c r="D682">
        <v>40</v>
      </c>
      <c r="E682">
        <v>30</v>
      </c>
      <c r="F682">
        <v>411</v>
      </c>
      <c r="G682">
        <v>591</v>
      </c>
      <c r="H682">
        <v>90</v>
      </c>
    </row>
    <row r="683" spans="1:8">
      <c r="A683" s="6"/>
      <c r="B683">
        <v>40</v>
      </c>
      <c r="C683">
        <v>0</v>
      </c>
      <c r="D683">
        <v>45</v>
      </c>
      <c r="E683">
        <v>20</v>
      </c>
      <c r="F683">
        <v>506</v>
      </c>
      <c r="G683">
        <v>686</v>
      </c>
      <c r="H683">
        <v>90</v>
      </c>
    </row>
    <row r="684" spans="1:8">
      <c r="A684" s="6"/>
      <c r="B684">
        <v>41</v>
      </c>
      <c r="C684">
        <v>35</v>
      </c>
      <c r="D684">
        <v>30</v>
      </c>
      <c r="E684">
        <v>10</v>
      </c>
      <c r="F684">
        <v>203</v>
      </c>
      <c r="G684">
        <v>383</v>
      </c>
      <c r="H684">
        <v>90</v>
      </c>
    </row>
    <row r="685" spans="1:8">
      <c r="A685" s="6"/>
      <c r="B685">
        <v>42</v>
      </c>
      <c r="C685">
        <v>35</v>
      </c>
      <c r="D685">
        <v>32</v>
      </c>
      <c r="E685">
        <v>10</v>
      </c>
      <c r="F685">
        <v>111</v>
      </c>
      <c r="G685">
        <v>291</v>
      </c>
      <c r="H685">
        <v>90</v>
      </c>
    </row>
    <row r="686" spans="1:8">
      <c r="A686" s="6"/>
      <c r="B686">
        <v>43</v>
      </c>
      <c r="C686">
        <v>33</v>
      </c>
      <c r="D686">
        <v>32</v>
      </c>
      <c r="E686">
        <v>20</v>
      </c>
      <c r="F686">
        <v>19</v>
      </c>
      <c r="G686">
        <v>199</v>
      </c>
      <c r="H686">
        <v>90</v>
      </c>
    </row>
    <row r="687" spans="1:8">
      <c r="A687" s="6"/>
      <c r="B687">
        <v>44</v>
      </c>
      <c r="C687">
        <v>33</v>
      </c>
      <c r="D687">
        <v>35</v>
      </c>
      <c r="E687">
        <v>10</v>
      </c>
      <c r="F687">
        <v>16</v>
      </c>
      <c r="G687">
        <v>196</v>
      </c>
      <c r="H687">
        <v>90</v>
      </c>
    </row>
    <row r="688" spans="1:8">
      <c r="A688" s="6"/>
      <c r="B688">
        <v>45</v>
      </c>
      <c r="C688">
        <v>32</v>
      </c>
      <c r="D688">
        <v>30</v>
      </c>
      <c r="E688">
        <v>10</v>
      </c>
      <c r="F688">
        <v>296</v>
      </c>
      <c r="G688">
        <v>476</v>
      </c>
      <c r="H688">
        <v>90</v>
      </c>
    </row>
    <row r="689" spans="1:8">
      <c r="A689" s="6"/>
      <c r="B689">
        <v>46</v>
      </c>
      <c r="C689">
        <v>30</v>
      </c>
      <c r="D689">
        <v>30</v>
      </c>
      <c r="E689">
        <v>10</v>
      </c>
      <c r="F689">
        <v>481</v>
      </c>
      <c r="G689">
        <v>661</v>
      </c>
      <c r="H689">
        <v>90</v>
      </c>
    </row>
    <row r="690" spans="1:8">
      <c r="A690" s="6"/>
      <c r="B690">
        <v>47</v>
      </c>
      <c r="C690">
        <v>30</v>
      </c>
      <c r="D690">
        <v>32</v>
      </c>
      <c r="E690">
        <v>30</v>
      </c>
      <c r="F690">
        <v>389</v>
      </c>
      <c r="G690">
        <v>569</v>
      </c>
      <c r="H690">
        <v>90</v>
      </c>
    </row>
    <row r="691" spans="1:8">
      <c r="A691" s="6"/>
      <c r="B691">
        <v>48</v>
      </c>
      <c r="C691">
        <v>30</v>
      </c>
      <c r="D691">
        <v>35</v>
      </c>
      <c r="E691">
        <v>10</v>
      </c>
      <c r="F691">
        <v>947</v>
      </c>
      <c r="G691">
        <v>1127</v>
      </c>
      <c r="H691">
        <v>90</v>
      </c>
    </row>
    <row r="692" spans="1:8">
      <c r="A692" s="6"/>
      <c r="B692">
        <v>49</v>
      </c>
      <c r="C692">
        <v>28</v>
      </c>
      <c r="D692">
        <v>30</v>
      </c>
      <c r="E692">
        <v>10</v>
      </c>
      <c r="F692">
        <v>573</v>
      </c>
      <c r="G692">
        <v>753</v>
      </c>
      <c r="H692">
        <v>90</v>
      </c>
    </row>
    <row r="693" spans="1:8">
      <c r="A693" s="6"/>
      <c r="B693">
        <v>50</v>
      </c>
      <c r="C693">
        <v>28</v>
      </c>
      <c r="D693">
        <v>35</v>
      </c>
      <c r="E693">
        <v>10</v>
      </c>
      <c r="F693">
        <v>944</v>
      </c>
      <c r="G693">
        <v>1124</v>
      </c>
      <c r="H693">
        <v>90</v>
      </c>
    </row>
    <row r="694" spans="1:8">
      <c r="A694" s="6"/>
      <c r="B694">
        <v>51</v>
      </c>
      <c r="C694">
        <v>26</v>
      </c>
      <c r="D694">
        <v>32</v>
      </c>
      <c r="E694">
        <v>10</v>
      </c>
      <c r="F694">
        <v>758</v>
      </c>
      <c r="G694">
        <v>938</v>
      </c>
      <c r="H694">
        <v>90</v>
      </c>
    </row>
    <row r="695" spans="1:8">
      <c r="A695" s="6"/>
      <c r="B695">
        <v>52</v>
      </c>
      <c r="C695">
        <v>25</v>
      </c>
      <c r="D695">
        <v>30</v>
      </c>
      <c r="E695">
        <v>10</v>
      </c>
      <c r="F695">
        <v>666</v>
      </c>
      <c r="G695">
        <v>846</v>
      </c>
      <c r="H695">
        <v>90</v>
      </c>
    </row>
    <row r="696" spans="1:8">
      <c r="A696" s="6"/>
      <c r="B696">
        <v>53</v>
      </c>
      <c r="C696">
        <v>25</v>
      </c>
      <c r="D696">
        <v>35</v>
      </c>
      <c r="E696">
        <v>10</v>
      </c>
      <c r="F696">
        <v>851</v>
      </c>
      <c r="G696">
        <v>1031</v>
      </c>
      <c r="H696">
        <v>90</v>
      </c>
    </row>
    <row r="697" spans="1:8">
      <c r="A697" s="6"/>
      <c r="B697">
        <v>54</v>
      </c>
      <c r="C697">
        <v>44</v>
      </c>
      <c r="D697">
        <v>5</v>
      </c>
      <c r="E697">
        <v>20</v>
      </c>
      <c r="F697">
        <v>227</v>
      </c>
      <c r="G697">
        <v>407</v>
      </c>
      <c r="H697">
        <v>90</v>
      </c>
    </row>
    <row r="698" spans="1:8">
      <c r="A698" s="6"/>
      <c r="B698">
        <v>55</v>
      </c>
      <c r="C698">
        <v>42</v>
      </c>
      <c r="D698">
        <v>10</v>
      </c>
      <c r="E698">
        <v>40</v>
      </c>
      <c r="F698">
        <v>132</v>
      </c>
      <c r="G698">
        <v>312</v>
      </c>
      <c r="H698">
        <v>90</v>
      </c>
    </row>
    <row r="699" spans="1:8">
      <c r="A699" s="6"/>
      <c r="B699">
        <v>56</v>
      </c>
      <c r="C699">
        <v>42</v>
      </c>
      <c r="D699">
        <v>15</v>
      </c>
      <c r="E699">
        <v>10</v>
      </c>
      <c r="F699">
        <v>37</v>
      </c>
      <c r="G699">
        <v>217</v>
      </c>
      <c r="H699">
        <v>90</v>
      </c>
    </row>
    <row r="700" spans="1:8">
      <c r="A700" s="6"/>
      <c r="B700">
        <v>57</v>
      </c>
      <c r="C700">
        <v>40</v>
      </c>
      <c r="D700">
        <v>5</v>
      </c>
      <c r="E700">
        <v>30</v>
      </c>
      <c r="F700">
        <v>321</v>
      </c>
      <c r="G700">
        <v>501</v>
      </c>
      <c r="H700">
        <v>90</v>
      </c>
    </row>
    <row r="701" spans="1:8">
      <c r="A701" s="6"/>
      <c r="B701">
        <v>58</v>
      </c>
      <c r="C701">
        <v>40</v>
      </c>
      <c r="D701">
        <v>15</v>
      </c>
      <c r="E701">
        <v>40</v>
      </c>
      <c r="F701">
        <v>35</v>
      </c>
      <c r="G701">
        <v>215</v>
      </c>
      <c r="H701">
        <v>90</v>
      </c>
    </row>
    <row r="702" spans="1:8">
      <c r="A702" s="6"/>
      <c r="B702">
        <v>59</v>
      </c>
      <c r="C702">
        <v>38</v>
      </c>
      <c r="D702">
        <v>5</v>
      </c>
      <c r="E702">
        <v>30</v>
      </c>
      <c r="F702">
        <v>413</v>
      </c>
      <c r="G702">
        <v>593</v>
      </c>
      <c r="H702">
        <v>90</v>
      </c>
    </row>
    <row r="703" spans="1:8">
      <c r="A703" s="6"/>
      <c r="B703">
        <v>60</v>
      </c>
      <c r="C703">
        <v>38</v>
      </c>
      <c r="D703">
        <v>15</v>
      </c>
      <c r="E703">
        <v>10</v>
      </c>
      <c r="F703">
        <v>606</v>
      </c>
      <c r="G703">
        <v>786</v>
      </c>
      <c r="H703">
        <v>90</v>
      </c>
    </row>
    <row r="704" spans="1:8">
      <c r="A704" s="6"/>
      <c r="B704">
        <v>61</v>
      </c>
      <c r="C704">
        <v>35</v>
      </c>
      <c r="D704">
        <v>5</v>
      </c>
      <c r="E704">
        <v>20</v>
      </c>
      <c r="F704">
        <v>506</v>
      </c>
      <c r="G704">
        <v>686</v>
      </c>
      <c r="H704">
        <v>90</v>
      </c>
    </row>
    <row r="705" spans="1:8">
      <c r="A705" s="6"/>
      <c r="B705">
        <v>62</v>
      </c>
      <c r="C705">
        <v>50</v>
      </c>
      <c r="D705">
        <v>30</v>
      </c>
      <c r="E705">
        <v>10</v>
      </c>
      <c r="F705">
        <v>481</v>
      </c>
      <c r="G705">
        <v>661</v>
      </c>
      <c r="H705">
        <v>90</v>
      </c>
    </row>
    <row r="706" spans="1:8">
      <c r="A706" s="6"/>
      <c r="B706">
        <v>63</v>
      </c>
      <c r="C706">
        <v>50</v>
      </c>
      <c r="D706">
        <v>35</v>
      </c>
      <c r="E706">
        <v>20</v>
      </c>
      <c r="F706">
        <v>200</v>
      </c>
      <c r="G706">
        <v>380</v>
      </c>
      <c r="H706">
        <v>90</v>
      </c>
    </row>
    <row r="707" spans="1:8">
      <c r="A707" s="6"/>
      <c r="B707">
        <v>64</v>
      </c>
      <c r="C707">
        <v>50</v>
      </c>
      <c r="D707">
        <v>40</v>
      </c>
      <c r="E707">
        <v>50</v>
      </c>
      <c r="F707">
        <v>105</v>
      </c>
      <c r="G707">
        <v>285</v>
      </c>
      <c r="H707">
        <v>90</v>
      </c>
    </row>
    <row r="708" spans="1:8">
      <c r="A708" s="6"/>
      <c r="B708">
        <v>65</v>
      </c>
      <c r="C708">
        <v>48</v>
      </c>
      <c r="D708">
        <v>30</v>
      </c>
      <c r="E708">
        <v>10</v>
      </c>
      <c r="F708">
        <v>573</v>
      </c>
      <c r="G708">
        <v>753</v>
      </c>
      <c r="H708">
        <v>90</v>
      </c>
    </row>
    <row r="709" spans="1:8">
      <c r="A709" s="6"/>
      <c r="B709">
        <v>66</v>
      </c>
      <c r="C709">
        <v>48</v>
      </c>
      <c r="D709">
        <v>40</v>
      </c>
      <c r="E709">
        <v>10</v>
      </c>
      <c r="F709">
        <v>13</v>
      </c>
      <c r="G709">
        <v>193</v>
      </c>
      <c r="H709">
        <v>90</v>
      </c>
    </row>
    <row r="710" spans="1:8">
      <c r="A710" s="6"/>
      <c r="B710">
        <v>67</v>
      </c>
      <c r="C710">
        <v>47</v>
      </c>
      <c r="D710">
        <v>35</v>
      </c>
      <c r="E710">
        <v>10</v>
      </c>
      <c r="F710">
        <v>761</v>
      </c>
      <c r="G710">
        <v>941</v>
      </c>
      <c r="H710">
        <v>90</v>
      </c>
    </row>
    <row r="711" spans="1:8">
      <c r="A711" s="6"/>
      <c r="B711">
        <v>68</v>
      </c>
      <c r="C711">
        <v>47</v>
      </c>
      <c r="D711">
        <v>40</v>
      </c>
      <c r="E711">
        <v>10</v>
      </c>
      <c r="F711">
        <v>12</v>
      </c>
      <c r="G711">
        <v>192</v>
      </c>
      <c r="H711">
        <v>90</v>
      </c>
    </row>
    <row r="712" spans="1:8">
      <c r="A712" s="6"/>
      <c r="B712">
        <v>69</v>
      </c>
      <c r="C712">
        <v>45</v>
      </c>
      <c r="D712">
        <v>30</v>
      </c>
      <c r="E712">
        <v>10</v>
      </c>
      <c r="F712">
        <v>666</v>
      </c>
      <c r="G712">
        <v>846</v>
      </c>
      <c r="H712">
        <v>90</v>
      </c>
    </row>
    <row r="713" spans="1:8">
      <c r="A713" s="6"/>
      <c r="B713">
        <v>70</v>
      </c>
      <c r="C713">
        <v>45</v>
      </c>
      <c r="D713">
        <v>35</v>
      </c>
      <c r="E713">
        <v>10</v>
      </c>
      <c r="F713">
        <v>853</v>
      </c>
      <c r="G713">
        <v>1033</v>
      </c>
      <c r="H713">
        <v>90</v>
      </c>
    </row>
    <row r="714" spans="1:8">
      <c r="A714" s="6"/>
      <c r="B714">
        <v>71</v>
      </c>
      <c r="C714">
        <v>95</v>
      </c>
      <c r="D714">
        <v>30</v>
      </c>
      <c r="E714">
        <v>30</v>
      </c>
      <c r="F714">
        <v>332</v>
      </c>
      <c r="G714">
        <v>512</v>
      </c>
      <c r="H714">
        <v>90</v>
      </c>
    </row>
    <row r="715" spans="1:8">
      <c r="A715" s="6"/>
      <c r="B715">
        <v>72</v>
      </c>
      <c r="C715">
        <v>95</v>
      </c>
      <c r="D715">
        <v>35</v>
      </c>
      <c r="E715">
        <v>20</v>
      </c>
      <c r="F715">
        <v>237</v>
      </c>
      <c r="G715">
        <v>417</v>
      </c>
      <c r="H715">
        <v>90</v>
      </c>
    </row>
    <row r="716" spans="1:8">
      <c r="A716" s="6"/>
      <c r="B716">
        <v>73</v>
      </c>
      <c r="C716">
        <v>53</v>
      </c>
      <c r="D716">
        <v>30</v>
      </c>
      <c r="E716">
        <v>10</v>
      </c>
      <c r="F716">
        <v>388</v>
      </c>
      <c r="G716">
        <v>568</v>
      </c>
      <c r="H716">
        <v>90</v>
      </c>
    </row>
    <row r="717" spans="1:8">
      <c r="A717" s="6"/>
      <c r="B717">
        <v>74</v>
      </c>
      <c r="C717">
        <v>92</v>
      </c>
      <c r="D717">
        <v>30</v>
      </c>
      <c r="E717">
        <v>10</v>
      </c>
      <c r="F717">
        <v>425</v>
      </c>
      <c r="G717">
        <v>605</v>
      </c>
      <c r="H717">
        <v>90</v>
      </c>
    </row>
    <row r="718" spans="1:8">
      <c r="A718" s="6"/>
      <c r="B718">
        <v>75</v>
      </c>
      <c r="C718">
        <v>53</v>
      </c>
      <c r="D718">
        <v>35</v>
      </c>
      <c r="E718">
        <v>50</v>
      </c>
      <c r="F718">
        <v>293</v>
      </c>
      <c r="G718">
        <v>473</v>
      </c>
      <c r="H718">
        <v>90</v>
      </c>
    </row>
    <row r="719" spans="1:8">
      <c r="A719" s="6"/>
      <c r="B719">
        <v>76</v>
      </c>
      <c r="C719">
        <v>45</v>
      </c>
      <c r="D719">
        <v>65</v>
      </c>
      <c r="E719">
        <v>20</v>
      </c>
      <c r="F719">
        <v>943</v>
      </c>
      <c r="G719">
        <v>1123</v>
      </c>
      <c r="H719">
        <v>90</v>
      </c>
    </row>
    <row r="720" spans="1:8">
      <c r="A720" s="6"/>
      <c r="B720">
        <v>77</v>
      </c>
      <c r="C720">
        <v>90</v>
      </c>
      <c r="D720">
        <v>35</v>
      </c>
      <c r="E720">
        <v>10</v>
      </c>
      <c r="F720">
        <v>142</v>
      </c>
      <c r="G720">
        <v>322</v>
      </c>
      <c r="H720">
        <v>90</v>
      </c>
    </row>
    <row r="721" spans="1:8">
      <c r="A721" s="6"/>
      <c r="B721">
        <v>78</v>
      </c>
      <c r="C721">
        <v>88</v>
      </c>
      <c r="D721">
        <v>30</v>
      </c>
      <c r="E721">
        <v>10</v>
      </c>
      <c r="F721">
        <v>519</v>
      </c>
      <c r="G721">
        <v>699</v>
      </c>
      <c r="H721">
        <v>90</v>
      </c>
    </row>
    <row r="722" spans="1:8">
      <c r="A722" s="6"/>
      <c r="B722">
        <v>79</v>
      </c>
      <c r="C722">
        <v>88</v>
      </c>
      <c r="D722">
        <v>35</v>
      </c>
      <c r="E722">
        <v>20</v>
      </c>
      <c r="F722">
        <v>50</v>
      </c>
      <c r="G722">
        <v>230</v>
      </c>
      <c r="H722">
        <v>90</v>
      </c>
    </row>
    <row r="723" spans="1:8">
      <c r="A723" s="6"/>
      <c r="B723">
        <v>80</v>
      </c>
      <c r="C723">
        <v>87</v>
      </c>
      <c r="D723">
        <v>30</v>
      </c>
      <c r="E723">
        <v>10</v>
      </c>
      <c r="F723">
        <v>610</v>
      </c>
      <c r="G723">
        <v>790</v>
      </c>
      <c r="H723">
        <v>90</v>
      </c>
    </row>
    <row r="724" spans="1:8">
      <c r="A724" s="6"/>
      <c r="B724">
        <v>81</v>
      </c>
      <c r="C724">
        <v>85</v>
      </c>
      <c r="D724">
        <v>25</v>
      </c>
      <c r="E724">
        <v>10</v>
      </c>
      <c r="F724">
        <v>705</v>
      </c>
      <c r="G724">
        <v>885</v>
      </c>
      <c r="H724">
        <v>90</v>
      </c>
    </row>
    <row r="725" spans="1:8">
      <c r="A725" s="6"/>
      <c r="B725">
        <v>82</v>
      </c>
      <c r="C725">
        <v>85</v>
      </c>
      <c r="D725">
        <v>35</v>
      </c>
      <c r="E725">
        <v>30</v>
      </c>
      <c r="F725">
        <v>47</v>
      </c>
      <c r="G725">
        <v>227</v>
      </c>
      <c r="H725">
        <v>90</v>
      </c>
    </row>
    <row r="726" spans="1:8">
      <c r="A726" s="6"/>
      <c r="B726">
        <v>83</v>
      </c>
      <c r="C726">
        <v>75</v>
      </c>
      <c r="D726">
        <v>55</v>
      </c>
      <c r="E726">
        <v>20</v>
      </c>
      <c r="F726">
        <v>305</v>
      </c>
      <c r="G726">
        <v>485</v>
      </c>
      <c r="H726">
        <v>90</v>
      </c>
    </row>
    <row r="727" spans="1:8">
      <c r="A727" s="6"/>
      <c r="B727">
        <v>84</v>
      </c>
      <c r="C727">
        <v>72</v>
      </c>
      <c r="D727">
        <v>55</v>
      </c>
      <c r="E727">
        <v>10</v>
      </c>
      <c r="F727">
        <v>212</v>
      </c>
      <c r="G727">
        <v>392</v>
      </c>
      <c r="H727">
        <v>90</v>
      </c>
    </row>
    <row r="728" spans="1:8">
      <c r="A728" s="6"/>
      <c r="B728">
        <v>85</v>
      </c>
      <c r="C728">
        <v>70</v>
      </c>
      <c r="D728">
        <v>58</v>
      </c>
      <c r="E728">
        <v>20</v>
      </c>
      <c r="F728">
        <v>401</v>
      </c>
      <c r="G728">
        <v>581</v>
      </c>
      <c r="H728">
        <v>90</v>
      </c>
    </row>
    <row r="729" spans="1:8">
      <c r="A729" s="6"/>
      <c r="B729">
        <v>86</v>
      </c>
      <c r="C729">
        <v>68</v>
      </c>
      <c r="D729">
        <v>60</v>
      </c>
      <c r="E729">
        <v>30</v>
      </c>
      <c r="F729">
        <v>494</v>
      </c>
      <c r="G729">
        <v>674</v>
      </c>
      <c r="H729">
        <v>90</v>
      </c>
    </row>
    <row r="730" spans="1:8">
      <c r="A730" s="6"/>
      <c r="B730">
        <v>87</v>
      </c>
      <c r="C730">
        <v>66</v>
      </c>
      <c r="D730">
        <v>55</v>
      </c>
      <c r="E730">
        <v>10</v>
      </c>
      <c r="F730">
        <v>116</v>
      </c>
      <c r="G730">
        <v>296</v>
      </c>
      <c r="H730">
        <v>90</v>
      </c>
    </row>
    <row r="731" spans="1:8">
      <c r="A731" s="6"/>
      <c r="B731">
        <v>88</v>
      </c>
      <c r="C731">
        <v>65</v>
      </c>
      <c r="D731">
        <v>55</v>
      </c>
      <c r="E731">
        <v>20</v>
      </c>
      <c r="F731">
        <v>25</v>
      </c>
      <c r="G731">
        <v>205</v>
      </c>
      <c r="H731">
        <v>90</v>
      </c>
    </row>
    <row r="732" spans="1:8">
      <c r="A732" s="6"/>
      <c r="B732">
        <v>89</v>
      </c>
      <c r="C732">
        <v>65</v>
      </c>
      <c r="D732">
        <v>60</v>
      </c>
      <c r="E732">
        <v>30</v>
      </c>
      <c r="F732">
        <v>587</v>
      </c>
      <c r="G732">
        <v>767</v>
      </c>
      <c r="H732">
        <v>90</v>
      </c>
    </row>
    <row r="733" spans="1:8">
      <c r="A733" s="6"/>
      <c r="B733">
        <v>90</v>
      </c>
      <c r="C733">
        <v>63</v>
      </c>
      <c r="D733">
        <v>58</v>
      </c>
      <c r="E733">
        <v>10</v>
      </c>
      <c r="F733">
        <v>680</v>
      </c>
      <c r="G733">
        <v>860</v>
      </c>
      <c r="H733">
        <v>90</v>
      </c>
    </row>
    <row r="734" spans="1:8">
      <c r="A734" s="6"/>
      <c r="B734">
        <v>91</v>
      </c>
      <c r="C734">
        <v>60</v>
      </c>
      <c r="D734">
        <v>55</v>
      </c>
      <c r="E734">
        <v>10</v>
      </c>
      <c r="F734">
        <v>20</v>
      </c>
      <c r="G734">
        <v>200</v>
      </c>
      <c r="H734">
        <v>90</v>
      </c>
    </row>
    <row r="735" spans="1:8">
      <c r="A735" s="6"/>
      <c r="B735">
        <v>92</v>
      </c>
      <c r="C735">
        <v>60</v>
      </c>
      <c r="D735">
        <v>60</v>
      </c>
      <c r="E735">
        <v>10</v>
      </c>
      <c r="F735">
        <v>773</v>
      </c>
      <c r="G735">
        <v>953</v>
      </c>
      <c r="H735">
        <v>90</v>
      </c>
    </row>
    <row r="736" spans="1:8">
      <c r="A736" s="6"/>
      <c r="B736">
        <v>93</v>
      </c>
      <c r="C736">
        <v>67</v>
      </c>
      <c r="D736">
        <v>85</v>
      </c>
      <c r="E736">
        <v>20</v>
      </c>
      <c r="F736">
        <v>315</v>
      </c>
      <c r="G736">
        <v>495</v>
      </c>
      <c r="H736">
        <v>90</v>
      </c>
    </row>
    <row r="737" spans="1:8">
      <c r="A737" s="6"/>
      <c r="B737">
        <v>94</v>
      </c>
      <c r="C737">
        <v>65</v>
      </c>
      <c r="D737">
        <v>85</v>
      </c>
      <c r="E737">
        <v>40</v>
      </c>
      <c r="F737">
        <v>407</v>
      </c>
      <c r="G737">
        <v>587</v>
      </c>
      <c r="H737">
        <v>90</v>
      </c>
    </row>
    <row r="738" spans="1:8">
      <c r="A738" s="6"/>
      <c r="B738">
        <v>95</v>
      </c>
      <c r="C738">
        <v>65</v>
      </c>
      <c r="D738">
        <v>82</v>
      </c>
      <c r="E738">
        <v>10</v>
      </c>
      <c r="F738">
        <v>221</v>
      </c>
      <c r="G738">
        <v>401</v>
      </c>
      <c r="H738">
        <v>90</v>
      </c>
    </row>
    <row r="739" spans="1:8">
      <c r="A739" s="6"/>
      <c r="B739">
        <v>96</v>
      </c>
      <c r="C739">
        <v>62</v>
      </c>
      <c r="D739">
        <v>80</v>
      </c>
      <c r="E739">
        <v>30</v>
      </c>
      <c r="F739">
        <v>128</v>
      </c>
      <c r="G739">
        <v>308</v>
      </c>
      <c r="H739">
        <v>90</v>
      </c>
    </row>
    <row r="740" spans="1:8">
      <c r="A740" s="6"/>
      <c r="B740">
        <v>97</v>
      </c>
      <c r="C740">
        <v>60</v>
      </c>
      <c r="D740">
        <v>80</v>
      </c>
      <c r="E740">
        <v>10</v>
      </c>
      <c r="F740">
        <v>36</v>
      </c>
      <c r="G740">
        <v>216</v>
      </c>
      <c r="H740">
        <v>90</v>
      </c>
    </row>
    <row r="741" spans="1:8">
      <c r="A741" s="6"/>
      <c r="B741">
        <v>98</v>
      </c>
      <c r="C741">
        <v>60</v>
      </c>
      <c r="D741">
        <v>85</v>
      </c>
      <c r="E741">
        <v>30</v>
      </c>
      <c r="F741">
        <v>502</v>
      </c>
      <c r="G741">
        <v>682</v>
      </c>
      <c r="H741">
        <v>90</v>
      </c>
    </row>
    <row r="742" spans="1:8">
      <c r="A742" s="6"/>
      <c r="B742">
        <v>99</v>
      </c>
      <c r="C742">
        <v>58</v>
      </c>
      <c r="D742">
        <v>75</v>
      </c>
      <c r="E742">
        <v>20</v>
      </c>
      <c r="F742">
        <v>30</v>
      </c>
      <c r="G742">
        <v>210</v>
      </c>
      <c r="H742">
        <v>90</v>
      </c>
    </row>
    <row r="743" spans="1:8">
      <c r="A743" s="6"/>
      <c r="B743">
        <v>100</v>
      </c>
      <c r="C743">
        <v>55</v>
      </c>
      <c r="D743">
        <v>80</v>
      </c>
      <c r="E743">
        <v>10</v>
      </c>
      <c r="F743">
        <v>692</v>
      </c>
      <c r="G743">
        <v>872</v>
      </c>
      <c r="H743">
        <v>90</v>
      </c>
    </row>
    <row r="744" spans="1:8">
      <c r="A744" s="6"/>
      <c r="B744">
        <v>101</v>
      </c>
      <c r="C744">
        <v>55</v>
      </c>
      <c r="D744">
        <v>85</v>
      </c>
      <c r="E744">
        <v>20</v>
      </c>
      <c r="F744">
        <v>597</v>
      </c>
      <c r="G744">
        <v>777</v>
      </c>
      <c r="H744">
        <v>90</v>
      </c>
    </row>
    <row r="748" spans="1:8" ht="17.399999999999999">
      <c r="A748" s="7" t="s">
        <v>43</v>
      </c>
    </row>
    <row r="749" spans="1:8">
      <c r="A749" s="4"/>
      <c r="B749" t="s">
        <v>32</v>
      </c>
      <c r="C749" t="s">
        <v>26</v>
      </c>
      <c r="D749" t="s">
        <v>27</v>
      </c>
      <c r="E749" t="s">
        <v>28</v>
      </c>
      <c r="F749" t="s">
        <v>29</v>
      </c>
      <c r="G749" t="s">
        <v>30</v>
      </c>
      <c r="H749" t="s">
        <v>31</v>
      </c>
    </row>
    <row r="750" spans="1:8">
      <c r="A750" s="6"/>
      <c r="B750">
        <v>1</v>
      </c>
      <c r="C750">
        <v>40</v>
      </c>
      <c r="D750">
        <v>50</v>
      </c>
      <c r="E750">
        <v>0</v>
      </c>
      <c r="F750">
        <v>0</v>
      </c>
      <c r="G750">
        <v>1236</v>
      </c>
      <c r="H750">
        <v>0</v>
      </c>
    </row>
    <row r="751" spans="1:8">
      <c r="A751" s="6"/>
      <c r="B751">
        <v>2</v>
      </c>
      <c r="C751">
        <v>45</v>
      </c>
      <c r="D751">
        <v>68</v>
      </c>
      <c r="E751">
        <v>10</v>
      </c>
      <c r="F751">
        <v>830</v>
      </c>
      <c r="G751">
        <v>1049</v>
      </c>
      <c r="H751">
        <v>90</v>
      </c>
    </row>
    <row r="752" spans="1:8">
      <c r="A752" s="6"/>
      <c r="B752">
        <v>3</v>
      </c>
      <c r="C752">
        <v>45</v>
      </c>
      <c r="D752">
        <v>70</v>
      </c>
      <c r="E752">
        <v>30</v>
      </c>
      <c r="F752">
        <v>756</v>
      </c>
      <c r="G752">
        <v>939</v>
      </c>
      <c r="H752">
        <v>90</v>
      </c>
    </row>
    <row r="753" spans="1:8">
      <c r="A753" s="6"/>
      <c r="B753">
        <v>4</v>
      </c>
      <c r="C753">
        <v>42</v>
      </c>
      <c r="D753">
        <v>66</v>
      </c>
      <c r="E753">
        <v>10</v>
      </c>
      <c r="F753">
        <v>16</v>
      </c>
      <c r="G753">
        <v>336</v>
      </c>
      <c r="H753">
        <v>90</v>
      </c>
    </row>
    <row r="754" spans="1:8">
      <c r="A754" s="6"/>
      <c r="B754">
        <v>5</v>
      </c>
      <c r="C754">
        <v>42</v>
      </c>
      <c r="D754">
        <v>68</v>
      </c>
      <c r="E754">
        <v>10</v>
      </c>
      <c r="F754">
        <v>643</v>
      </c>
      <c r="G754">
        <v>866</v>
      </c>
      <c r="H754">
        <v>90</v>
      </c>
    </row>
    <row r="755" spans="1:8">
      <c r="A755" s="6"/>
      <c r="B755">
        <v>6</v>
      </c>
      <c r="C755">
        <v>42</v>
      </c>
      <c r="D755">
        <v>65</v>
      </c>
      <c r="E755">
        <v>10</v>
      </c>
      <c r="F755">
        <v>15</v>
      </c>
      <c r="G755">
        <v>226</v>
      </c>
      <c r="H755">
        <v>90</v>
      </c>
    </row>
    <row r="756" spans="1:8">
      <c r="A756" s="6"/>
      <c r="B756">
        <v>7</v>
      </c>
      <c r="C756">
        <v>40</v>
      </c>
      <c r="D756">
        <v>69</v>
      </c>
      <c r="E756">
        <v>20</v>
      </c>
      <c r="F756">
        <v>499</v>
      </c>
      <c r="G756">
        <v>824</v>
      </c>
      <c r="H756">
        <v>90</v>
      </c>
    </row>
    <row r="757" spans="1:8">
      <c r="A757" s="6"/>
      <c r="B757">
        <v>8</v>
      </c>
      <c r="C757">
        <v>40</v>
      </c>
      <c r="D757">
        <v>66</v>
      </c>
      <c r="E757">
        <v>20</v>
      </c>
      <c r="F757">
        <v>87</v>
      </c>
      <c r="G757">
        <v>308</v>
      </c>
      <c r="H757">
        <v>90</v>
      </c>
    </row>
    <row r="758" spans="1:8">
      <c r="A758" s="6"/>
      <c r="B758">
        <v>9</v>
      </c>
      <c r="C758">
        <v>38</v>
      </c>
      <c r="D758">
        <v>68</v>
      </c>
      <c r="E758">
        <v>20</v>
      </c>
      <c r="F758">
        <v>150</v>
      </c>
      <c r="G758">
        <v>429</v>
      </c>
      <c r="H758">
        <v>90</v>
      </c>
    </row>
    <row r="759" spans="1:8">
      <c r="A759" s="6"/>
      <c r="B759">
        <v>10</v>
      </c>
      <c r="C759">
        <v>38</v>
      </c>
      <c r="D759">
        <v>70</v>
      </c>
      <c r="E759">
        <v>10</v>
      </c>
      <c r="F759">
        <v>429</v>
      </c>
      <c r="G759">
        <v>710</v>
      </c>
      <c r="H759">
        <v>90</v>
      </c>
    </row>
    <row r="760" spans="1:8">
      <c r="A760" s="6"/>
      <c r="B760">
        <v>11</v>
      </c>
      <c r="C760">
        <v>35</v>
      </c>
      <c r="D760">
        <v>66</v>
      </c>
      <c r="E760">
        <v>10</v>
      </c>
      <c r="F760">
        <v>279</v>
      </c>
      <c r="G760">
        <v>488</v>
      </c>
      <c r="H760">
        <v>90</v>
      </c>
    </row>
    <row r="761" spans="1:8">
      <c r="A761" s="6"/>
      <c r="B761">
        <v>12</v>
      </c>
      <c r="C761">
        <v>35</v>
      </c>
      <c r="D761">
        <v>69</v>
      </c>
      <c r="E761">
        <v>10</v>
      </c>
      <c r="F761">
        <v>363</v>
      </c>
      <c r="G761">
        <v>590</v>
      </c>
      <c r="H761">
        <v>90</v>
      </c>
    </row>
    <row r="762" spans="1:8">
      <c r="A762" s="6"/>
      <c r="B762">
        <v>13</v>
      </c>
      <c r="C762">
        <v>25</v>
      </c>
      <c r="D762">
        <v>85</v>
      </c>
      <c r="E762">
        <v>20</v>
      </c>
      <c r="F762">
        <v>547</v>
      </c>
      <c r="G762">
        <v>826</v>
      </c>
      <c r="H762">
        <v>90</v>
      </c>
    </row>
    <row r="763" spans="1:8">
      <c r="A763" s="6"/>
      <c r="B763">
        <v>14</v>
      </c>
      <c r="C763">
        <v>22</v>
      </c>
      <c r="D763">
        <v>75</v>
      </c>
      <c r="E763">
        <v>30</v>
      </c>
      <c r="F763">
        <v>30</v>
      </c>
      <c r="G763">
        <v>280</v>
      </c>
      <c r="H763">
        <v>90</v>
      </c>
    </row>
    <row r="764" spans="1:8">
      <c r="A764" s="6"/>
      <c r="B764">
        <v>15</v>
      </c>
      <c r="C764">
        <v>22</v>
      </c>
      <c r="D764">
        <v>85</v>
      </c>
      <c r="E764">
        <v>10</v>
      </c>
      <c r="F764">
        <v>489</v>
      </c>
      <c r="G764">
        <v>698</v>
      </c>
      <c r="H764">
        <v>90</v>
      </c>
    </row>
    <row r="765" spans="1:8">
      <c r="A765" s="6"/>
      <c r="B765">
        <v>16</v>
      </c>
      <c r="C765">
        <v>20</v>
      </c>
      <c r="D765">
        <v>80</v>
      </c>
      <c r="E765">
        <v>40</v>
      </c>
      <c r="F765">
        <v>318</v>
      </c>
      <c r="G765">
        <v>495</v>
      </c>
      <c r="H765">
        <v>90</v>
      </c>
    </row>
    <row r="766" spans="1:8">
      <c r="A766" s="6"/>
      <c r="B766">
        <v>17</v>
      </c>
      <c r="C766">
        <v>20</v>
      </c>
      <c r="D766">
        <v>85</v>
      </c>
      <c r="E766">
        <v>40</v>
      </c>
      <c r="F766">
        <v>394</v>
      </c>
      <c r="G766">
        <v>609</v>
      </c>
      <c r="H766">
        <v>90</v>
      </c>
    </row>
    <row r="767" spans="1:8">
      <c r="A767" s="6"/>
      <c r="B767">
        <v>18</v>
      </c>
      <c r="C767">
        <v>18</v>
      </c>
      <c r="D767">
        <v>75</v>
      </c>
      <c r="E767">
        <v>20</v>
      </c>
      <c r="F767">
        <v>33</v>
      </c>
      <c r="G767">
        <v>226</v>
      </c>
      <c r="H767">
        <v>90</v>
      </c>
    </row>
    <row r="768" spans="1:8">
      <c r="A768" s="6"/>
      <c r="B768">
        <v>19</v>
      </c>
      <c r="C768">
        <v>15</v>
      </c>
      <c r="D768">
        <v>75</v>
      </c>
      <c r="E768">
        <v>20</v>
      </c>
      <c r="F768">
        <v>68</v>
      </c>
      <c r="G768">
        <v>365</v>
      </c>
      <c r="H768">
        <v>90</v>
      </c>
    </row>
    <row r="769" spans="1:8">
      <c r="A769" s="6"/>
      <c r="B769">
        <v>20</v>
      </c>
      <c r="C769">
        <v>15</v>
      </c>
      <c r="D769">
        <v>80</v>
      </c>
      <c r="E769">
        <v>10</v>
      </c>
      <c r="F769">
        <v>176</v>
      </c>
      <c r="G769">
        <v>447</v>
      </c>
      <c r="H769">
        <v>90</v>
      </c>
    </row>
    <row r="770" spans="1:8">
      <c r="A770" s="6"/>
      <c r="B770">
        <v>21</v>
      </c>
      <c r="C770">
        <v>30</v>
      </c>
      <c r="D770">
        <v>50</v>
      </c>
      <c r="E770">
        <v>10</v>
      </c>
      <c r="F770">
        <v>10</v>
      </c>
      <c r="G770">
        <v>265</v>
      </c>
      <c r="H770">
        <v>90</v>
      </c>
    </row>
    <row r="771" spans="1:8">
      <c r="A771" s="6"/>
      <c r="B771">
        <v>22</v>
      </c>
      <c r="C771">
        <v>30</v>
      </c>
      <c r="D771">
        <v>52</v>
      </c>
      <c r="E771">
        <v>20</v>
      </c>
      <c r="F771">
        <v>836</v>
      </c>
      <c r="G771">
        <v>1043</v>
      </c>
      <c r="H771">
        <v>90</v>
      </c>
    </row>
    <row r="772" spans="1:8">
      <c r="A772" s="6"/>
      <c r="B772">
        <v>23</v>
      </c>
      <c r="C772">
        <v>28</v>
      </c>
      <c r="D772">
        <v>52</v>
      </c>
      <c r="E772">
        <v>20</v>
      </c>
      <c r="F772">
        <v>704</v>
      </c>
      <c r="G772">
        <v>991</v>
      </c>
      <c r="H772">
        <v>90</v>
      </c>
    </row>
    <row r="773" spans="1:8">
      <c r="A773" s="6"/>
      <c r="B773">
        <v>24</v>
      </c>
      <c r="C773">
        <v>28</v>
      </c>
      <c r="D773">
        <v>55</v>
      </c>
      <c r="E773">
        <v>10</v>
      </c>
      <c r="F773">
        <v>664</v>
      </c>
      <c r="G773">
        <v>845</v>
      </c>
      <c r="H773">
        <v>90</v>
      </c>
    </row>
    <row r="774" spans="1:8">
      <c r="A774" s="6"/>
      <c r="B774">
        <v>25</v>
      </c>
      <c r="C774">
        <v>25</v>
      </c>
      <c r="D774">
        <v>50</v>
      </c>
      <c r="E774">
        <v>10</v>
      </c>
      <c r="F774">
        <v>15</v>
      </c>
      <c r="G774">
        <v>333</v>
      </c>
      <c r="H774">
        <v>90</v>
      </c>
    </row>
    <row r="775" spans="1:8">
      <c r="A775" s="6"/>
      <c r="B775">
        <v>26</v>
      </c>
      <c r="C775">
        <v>25</v>
      </c>
      <c r="D775">
        <v>52</v>
      </c>
      <c r="E775">
        <v>40</v>
      </c>
      <c r="F775">
        <v>88</v>
      </c>
      <c r="G775">
        <v>305</v>
      </c>
      <c r="H775">
        <v>90</v>
      </c>
    </row>
    <row r="776" spans="1:8">
      <c r="A776" s="6"/>
      <c r="B776">
        <v>27</v>
      </c>
      <c r="C776">
        <v>25</v>
      </c>
      <c r="D776">
        <v>55</v>
      </c>
      <c r="E776">
        <v>10</v>
      </c>
      <c r="F776">
        <v>502</v>
      </c>
      <c r="G776">
        <v>821</v>
      </c>
      <c r="H776">
        <v>90</v>
      </c>
    </row>
    <row r="777" spans="1:8">
      <c r="A777" s="6"/>
      <c r="B777">
        <v>28</v>
      </c>
      <c r="C777">
        <v>23</v>
      </c>
      <c r="D777">
        <v>52</v>
      </c>
      <c r="E777">
        <v>10</v>
      </c>
      <c r="F777">
        <v>179</v>
      </c>
      <c r="G777">
        <v>398</v>
      </c>
      <c r="H777">
        <v>90</v>
      </c>
    </row>
    <row r="778" spans="1:8">
      <c r="A778" s="6"/>
      <c r="B778">
        <v>29</v>
      </c>
      <c r="C778">
        <v>23</v>
      </c>
      <c r="D778">
        <v>55</v>
      </c>
      <c r="E778">
        <v>20</v>
      </c>
      <c r="F778">
        <v>476</v>
      </c>
      <c r="G778">
        <v>663</v>
      </c>
      <c r="H778">
        <v>90</v>
      </c>
    </row>
    <row r="779" spans="1:8">
      <c r="A779" s="6"/>
      <c r="B779">
        <v>30</v>
      </c>
      <c r="C779">
        <v>20</v>
      </c>
      <c r="D779">
        <v>50</v>
      </c>
      <c r="E779">
        <v>10</v>
      </c>
      <c r="F779">
        <v>288</v>
      </c>
      <c r="G779">
        <v>475</v>
      </c>
      <c r="H779">
        <v>90</v>
      </c>
    </row>
    <row r="780" spans="1:8">
      <c r="A780" s="6"/>
      <c r="B780">
        <v>31</v>
      </c>
      <c r="C780">
        <v>20</v>
      </c>
      <c r="D780">
        <v>55</v>
      </c>
      <c r="E780">
        <v>10</v>
      </c>
      <c r="F780">
        <v>368</v>
      </c>
      <c r="G780">
        <v>585</v>
      </c>
      <c r="H780">
        <v>90</v>
      </c>
    </row>
    <row r="781" spans="1:8">
      <c r="A781" s="6"/>
      <c r="B781">
        <v>32</v>
      </c>
      <c r="C781">
        <v>10</v>
      </c>
      <c r="D781">
        <v>35</v>
      </c>
      <c r="E781">
        <v>20</v>
      </c>
      <c r="F781">
        <v>144</v>
      </c>
      <c r="G781">
        <v>293</v>
      </c>
      <c r="H781">
        <v>90</v>
      </c>
    </row>
    <row r="782" spans="1:8">
      <c r="A782" s="6"/>
      <c r="B782">
        <v>33</v>
      </c>
      <c r="C782">
        <v>10</v>
      </c>
      <c r="D782">
        <v>40</v>
      </c>
      <c r="E782">
        <v>30</v>
      </c>
      <c r="F782">
        <v>31</v>
      </c>
      <c r="G782">
        <v>309</v>
      </c>
      <c r="H782">
        <v>90</v>
      </c>
    </row>
    <row r="783" spans="1:8">
      <c r="A783" s="6"/>
      <c r="B783">
        <v>34</v>
      </c>
      <c r="C783">
        <v>8</v>
      </c>
      <c r="D783">
        <v>40</v>
      </c>
      <c r="E783">
        <v>40</v>
      </c>
      <c r="F783">
        <v>33</v>
      </c>
      <c r="G783">
        <v>313</v>
      </c>
      <c r="H783">
        <v>90</v>
      </c>
    </row>
    <row r="784" spans="1:8">
      <c r="A784" s="6"/>
      <c r="B784">
        <v>35</v>
      </c>
      <c r="C784">
        <v>8</v>
      </c>
      <c r="D784">
        <v>45</v>
      </c>
      <c r="E784">
        <v>20</v>
      </c>
      <c r="F784">
        <v>655</v>
      </c>
      <c r="G784">
        <v>912</v>
      </c>
      <c r="H784">
        <v>90</v>
      </c>
    </row>
    <row r="785" spans="1:8">
      <c r="A785" s="6"/>
      <c r="B785">
        <v>36</v>
      </c>
      <c r="C785">
        <v>5</v>
      </c>
      <c r="D785">
        <v>35</v>
      </c>
      <c r="E785">
        <v>10</v>
      </c>
      <c r="F785">
        <v>191</v>
      </c>
      <c r="G785">
        <v>436</v>
      </c>
      <c r="H785">
        <v>90</v>
      </c>
    </row>
    <row r="786" spans="1:8">
      <c r="A786" s="6"/>
      <c r="B786">
        <v>37</v>
      </c>
      <c r="C786">
        <v>5</v>
      </c>
      <c r="D786">
        <v>45</v>
      </c>
      <c r="E786">
        <v>10</v>
      </c>
      <c r="F786">
        <v>588</v>
      </c>
      <c r="G786">
        <v>793</v>
      </c>
      <c r="H786">
        <v>90</v>
      </c>
    </row>
    <row r="787" spans="1:8">
      <c r="A787" s="6"/>
      <c r="B787">
        <v>38</v>
      </c>
      <c r="C787">
        <v>2</v>
      </c>
      <c r="D787">
        <v>40</v>
      </c>
      <c r="E787">
        <v>20</v>
      </c>
      <c r="F787">
        <v>305</v>
      </c>
      <c r="G787">
        <v>512</v>
      </c>
      <c r="H787">
        <v>90</v>
      </c>
    </row>
    <row r="788" spans="1:8">
      <c r="A788" s="6"/>
      <c r="B788">
        <v>39</v>
      </c>
      <c r="C788">
        <v>0</v>
      </c>
      <c r="D788">
        <v>40</v>
      </c>
      <c r="E788">
        <v>30</v>
      </c>
      <c r="F788">
        <v>414</v>
      </c>
      <c r="G788">
        <v>587</v>
      </c>
      <c r="H788">
        <v>90</v>
      </c>
    </row>
    <row r="789" spans="1:8">
      <c r="A789" s="6"/>
      <c r="B789">
        <v>40</v>
      </c>
      <c r="C789">
        <v>0</v>
      </c>
      <c r="D789">
        <v>45</v>
      </c>
      <c r="E789">
        <v>20</v>
      </c>
      <c r="F789">
        <v>481</v>
      </c>
      <c r="G789">
        <v>710</v>
      </c>
      <c r="H789">
        <v>90</v>
      </c>
    </row>
    <row r="790" spans="1:8">
      <c r="A790" s="6"/>
      <c r="B790">
        <v>41</v>
      </c>
      <c r="C790">
        <v>35</v>
      </c>
      <c r="D790">
        <v>30</v>
      </c>
      <c r="E790">
        <v>10</v>
      </c>
      <c r="F790">
        <v>180</v>
      </c>
      <c r="G790">
        <v>405</v>
      </c>
      <c r="H790">
        <v>90</v>
      </c>
    </row>
    <row r="791" spans="1:8">
      <c r="A791" s="6"/>
      <c r="B791">
        <v>42</v>
      </c>
      <c r="C791">
        <v>35</v>
      </c>
      <c r="D791">
        <v>32</v>
      </c>
      <c r="E791">
        <v>10</v>
      </c>
      <c r="F791">
        <v>63</v>
      </c>
      <c r="G791">
        <v>338</v>
      </c>
      <c r="H791">
        <v>90</v>
      </c>
    </row>
    <row r="792" spans="1:8">
      <c r="A792" s="6"/>
      <c r="B792">
        <v>43</v>
      </c>
      <c r="C792">
        <v>33</v>
      </c>
      <c r="D792">
        <v>32</v>
      </c>
      <c r="E792">
        <v>20</v>
      </c>
      <c r="F792">
        <v>19</v>
      </c>
      <c r="G792">
        <v>345</v>
      </c>
      <c r="H792">
        <v>90</v>
      </c>
    </row>
    <row r="793" spans="1:8">
      <c r="A793" s="6"/>
      <c r="B793">
        <v>44</v>
      </c>
      <c r="C793">
        <v>33</v>
      </c>
      <c r="D793">
        <v>35</v>
      </c>
      <c r="E793">
        <v>10</v>
      </c>
      <c r="F793">
        <v>16</v>
      </c>
      <c r="G793">
        <v>273</v>
      </c>
      <c r="H793">
        <v>90</v>
      </c>
    </row>
    <row r="794" spans="1:8">
      <c r="A794" s="6"/>
      <c r="B794">
        <v>45</v>
      </c>
      <c r="C794">
        <v>32</v>
      </c>
      <c r="D794">
        <v>30</v>
      </c>
      <c r="E794">
        <v>10</v>
      </c>
      <c r="F794">
        <v>278</v>
      </c>
      <c r="G794">
        <v>493</v>
      </c>
      <c r="H794">
        <v>90</v>
      </c>
    </row>
    <row r="795" spans="1:8">
      <c r="A795" s="6"/>
      <c r="B795">
        <v>46</v>
      </c>
      <c r="C795">
        <v>30</v>
      </c>
      <c r="D795">
        <v>30</v>
      </c>
      <c r="E795">
        <v>10</v>
      </c>
      <c r="F795">
        <v>453</v>
      </c>
      <c r="G795">
        <v>688</v>
      </c>
      <c r="H795">
        <v>90</v>
      </c>
    </row>
    <row r="796" spans="1:8">
      <c r="A796" s="6"/>
      <c r="B796">
        <v>47</v>
      </c>
      <c r="C796">
        <v>30</v>
      </c>
      <c r="D796">
        <v>32</v>
      </c>
      <c r="E796">
        <v>30</v>
      </c>
      <c r="F796">
        <v>355</v>
      </c>
      <c r="G796">
        <v>602</v>
      </c>
      <c r="H796">
        <v>90</v>
      </c>
    </row>
    <row r="797" spans="1:8">
      <c r="A797" s="6"/>
      <c r="B797">
        <v>48</v>
      </c>
      <c r="C797">
        <v>30</v>
      </c>
      <c r="D797">
        <v>35</v>
      </c>
      <c r="E797">
        <v>10</v>
      </c>
      <c r="F797">
        <v>837</v>
      </c>
      <c r="G797">
        <v>1127</v>
      </c>
      <c r="H797">
        <v>90</v>
      </c>
    </row>
    <row r="798" spans="1:8">
      <c r="A798" s="6"/>
      <c r="B798">
        <v>49</v>
      </c>
      <c r="C798">
        <v>28</v>
      </c>
      <c r="D798">
        <v>30</v>
      </c>
      <c r="E798">
        <v>10</v>
      </c>
      <c r="F798">
        <v>539</v>
      </c>
      <c r="G798">
        <v>786</v>
      </c>
      <c r="H798">
        <v>90</v>
      </c>
    </row>
    <row r="799" spans="1:8">
      <c r="A799" s="6"/>
      <c r="B799">
        <v>50</v>
      </c>
      <c r="C799">
        <v>28</v>
      </c>
      <c r="D799">
        <v>35</v>
      </c>
      <c r="E799">
        <v>10</v>
      </c>
      <c r="F799">
        <v>867</v>
      </c>
      <c r="G799">
        <v>1126</v>
      </c>
      <c r="H799">
        <v>90</v>
      </c>
    </row>
    <row r="800" spans="1:8">
      <c r="A800" s="6"/>
      <c r="B800">
        <v>51</v>
      </c>
      <c r="C800">
        <v>26</v>
      </c>
      <c r="D800">
        <v>32</v>
      </c>
      <c r="E800">
        <v>10</v>
      </c>
      <c r="F800">
        <v>719</v>
      </c>
      <c r="G800">
        <v>976</v>
      </c>
      <c r="H800">
        <v>90</v>
      </c>
    </row>
    <row r="801" spans="1:8">
      <c r="A801" s="6"/>
      <c r="B801">
        <v>52</v>
      </c>
      <c r="C801">
        <v>25</v>
      </c>
      <c r="D801">
        <v>30</v>
      </c>
      <c r="E801">
        <v>10</v>
      </c>
      <c r="F801">
        <v>635</v>
      </c>
      <c r="G801">
        <v>876</v>
      </c>
      <c r="H801">
        <v>90</v>
      </c>
    </row>
    <row r="802" spans="1:8">
      <c r="A802" s="6"/>
      <c r="B802">
        <v>53</v>
      </c>
      <c r="C802">
        <v>25</v>
      </c>
      <c r="D802">
        <v>35</v>
      </c>
      <c r="E802">
        <v>10</v>
      </c>
      <c r="F802">
        <v>825</v>
      </c>
      <c r="G802">
        <v>1056</v>
      </c>
      <c r="H802">
        <v>90</v>
      </c>
    </row>
    <row r="803" spans="1:8">
      <c r="A803" s="6"/>
      <c r="B803">
        <v>54</v>
      </c>
      <c r="C803">
        <v>44</v>
      </c>
      <c r="D803">
        <v>5</v>
      </c>
      <c r="E803">
        <v>20</v>
      </c>
      <c r="F803">
        <v>193</v>
      </c>
      <c r="G803">
        <v>440</v>
      </c>
      <c r="H803">
        <v>90</v>
      </c>
    </row>
    <row r="804" spans="1:8">
      <c r="A804" s="6"/>
      <c r="B804">
        <v>55</v>
      </c>
      <c r="C804">
        <v>42</v>
      </c>
      <c r="D804">
        <v>10</v>
      </c>
      <c r="E804">
        <v>40</v>
      </c>
      <c r="F804">
        <v>78</v>
      </c>
      <c r="G804">
        <v>365</v>
      </c>
      <c r="H804">
        <v>90</v>
      </c>
    </row>
    <row r="805" spans="1:8">
      <c r="A805" s="6"/>
      <c r="B805">
        <v>56</v>
      </c>
      <c r="C805">
        <v>42</v>
      </c>
      <c r="D805">
        <v>15</v>
      </c>
      <c r="E805">
        <v>10</v>
      </c>
      <c r="F805">
        <v>35</v>
      </c>
      <c r="G805">
        <v>287</v>
      </c>
      <c r="H805">
        <v>90</v>
      </c>
    </row>
    <row r="806" spans="1:8">
      <c r="A806" s="6"/>
      <c r="B806">
        <v>57</v>
      </c>
      <c r="C806">
        <v>40</v>
      </c>
      <c r="D806">
        <v>5</v>
      </c>
      <c r="E806">
        <v>30</v>
      </c>
      <c r="F806">
        <v>308</v>
      </c>
      <c r="G806">
        <v>513</v>
      </c>
      <c r="H806">
        <v>90</v>
      </c>
    </row>
    <row r="807" spans="1:8">
      <c r="A807" s="6"/>
      <c r="B807">
        <v>58</v>
      </c>
      <c r="C807">
        <v>40</v>
      </c>
      <c r="D807">
        <v>15</v>
      </c>
      <c r="E807">
        <v>40</v>
      </c>
      <c r="F807">
        <v>35</v>
      </c>
      <c r="G807">
        <v>246</v>
      </c>
      <c r="H807">
        <v>90</v>
      </c>
    </row>
    <row r="808" spans="1:8">
      <c r="A808" s="6"/>
      <c r="B808">
        <v>59</v>
      </c>
      <c r="C808">
        <v>38</v>
      </c>
      <c r="D808">
        <v>5</v>
      </c>
      <c r="E808">
        <v>30</v>
      </c>
      <c r="F808">
        <v>376</v>
      </c>
      <c r="G808">
        <v>629</v>
      </c>
      <c r="H808">
        <v>90</v>
      </c>
    </row>
    <row r="809" spans="1:8">
      <c r="A809" s="6"/>
      <c r="B809">
        <v>60</v>
      </c>
      <c r="C809">
        <v>38</v>
      </c>
      <c r="D809">
        <v>15</v>
      </c>
      <c r="E809">
        <v>10</v>
      </c>
      <c r="F809">
        <v>519</v>
      </c>
      <c r="G809">
        <v>872</v>
      </c>
      <c r="H809">
        <v>90</v>
      </c>
    </row>
    <row r="810" spans="1:8">
      <c r="A810" s="6"/>
      <c r="B810">
        <v>61</v>
      </c>
      <c r="C810">
        <v>35</v>
      </c>
      <c r="D810">
        <v>5</v>
      </c>
      <c r="E810">
        <v>20</v>
      </c>
      <c r="F810">
        <v>463</v>
      </c>
      <c r="G810">
        <v>728</v>
      </c>
      <c r="H810">
        <v>90</v>
      </c>
    </row>
    <row r="811" spans="1:8">
      <c r="A811" s="6"/>
      <c r="B811">
        <v>62</v>
      </c>
      <c r="C811">
        <v>50</v>
      </c>
      <c r="D811">
        <v>30</v>
      </c>
      <c r="E811">
        <v>10</v>
      </c>
      <c r="F811">
        <v>412</v>
      </c>
      <c r="G811">
        <v>729</v>
      </c>
      <c r="H811">
        <v>90</v>
      </c>
    </row>
    <row r="812" spans="1:8">
      <c r="A812" s="6"/>
      <c r="B812">
        <v>63</v>
      </c>
      <c r="C812">
        <v>50</v>
      </c>
      <c r="D812">
        <v>35</v>
      </c>
      <c r="E812">
        <v>20</v>
      </c>
      <c r="F812">
        <v>181</v>
      </c>
      <c r="G812">
        <v>398</v>
      </c>
      <c r="H812">
        <v>90</v>
      </c>
    </row>
    <row r="813" spans="1:8">
      <c r="A813" s="6"/>
      <c r="B813">
        <v>64</v>
      </c>
      <c r="C813">
        <v>50</v>
      </c>
      <c r="D813">
        <v>40</v>
      </c>
      <c r="E813">
        <v>50</v>
      </c>
      <c r="F813">
        <v>100</v>
      </c>
      <c r="G813">
        <v>289</v>
      </c>
      <c r="H813">
        <v>90</v>
      </c>
    </row>
    <row r="814" spans="1:8">
      <c r="A814" s="6"/>
      <c r="B814">
        <v>65</v>
      </c>
      <c r="C814">
        <v>48</v>
      </c>
      <c r="D814">
        <v>30</v>
      </c>
      <c r="E814">
        <v>10</v>
      </c>
      <c r="F814">
        <v>539</v>
      </c>
      <c r="G814">
        <v>786</v>
      </c>
      <c r="H814">
        <v>90</v>
      </c>
    </row>
    <row r="815" spans="1:8">
      <c r="A815" s="6"/>
      <c r="B815">
        <v>66</v>
      </c>
      <c r="C815">
        <v>48</v>
      </c>
      <c r="D815">
        <v>40</v>
      </c>
      <c r="E815">
        <v>10</v>
      </c>
      <c r="F815">
        <v>12</v>
      </c>
      <c r="G815">
        <v>223</v>
      </c>
      <c r="H815">
        <v>90</v>
      </c>
    </row>
    <row r="816" spans="1:8">
      <c r="A816" s="6"/>
      <c r="B816">
        <v>67</v>
      </c>
      <c r="C816">
        <v>47</v>
      </c>
      <c r="D816">
        <v>35</v>
      </c>
      <c r="E816">
        <v>10</v>
      </c>
      <c r="F816">
        <v>753</v>
      </c>
      <c r="G816">
        <v>948</v>
      </c>
      <c r="H816">
        <v>90</v>
      </c>
    </row>
    <row r="817" spans="1:8">
      <c r="A817" s="6"/>
      <c r="B817">
        <v>68</v>
      </c>
      <c r="C817">
        <v>47</v>
      </c>
      <c r="D817">
        <v>40</v>
      </c>
      <c r="E817">
        <v>10</v>
      </c>
      <c r="F817">
        <v>12</v>
      </c>
      <c r="G817">
        <v>275</v>
      </c>
      <c r="H817">
        <v>90</v>
      </c>
    </row>
    <row r="818" spans="1:8">
      <c r="A818" s="6"/>
      <c r="B818">
        <v>69</v>
      </c>
      <c r="C818">
        <v>45</v>
      </c>
      <c r="D818">
        <v>30</v>
      </c>
      <c r="E818">
        <v>10</v>
      </c>
      <c r="F818">
        <v>669</v>
      </c>
      <c r="G818">
        <v>842</v>
      </c>
      <c r="H818">
        <v>90</v>
      </c>
    </row>
    <row r="819" spans="1:8">
      <c r="A819" s="6"/>
      <c r="B819">
        <v>70</v>
      </c>
      <c r="C819">
        <v>45</v>
      </c>
      <c r="D819">
        <v>35</v>
      </c>
      <c r="E819">
        <v>10</v>
      </c>
      <c r="F819">
        <v>836</v>
      </c>
      <c r="G819">
        <v>1049</v>
      </c>
      <c r="H819">
        <v>90</v>
      </c>
    </row>
    <row r="820" spans="1:8">
      <c r="A820" s="6"/>
      <c r="B820">
        <v>71</v>
      </c>
      <c r="C820">
        <v>95</v>
      </c>
      <c r="D820">
        <v>30</v>
      </c>
      <c r="E820">
        <v>30</v>
      </c>
      <c r="F820">
        <v>284</v>
      </c>
      <c r="G820">
        <v>559</v>
      </c>
      <c r="H820">
        <v>90</v>
      </c>
    </row>
    <row r="821" spans="1:8">
      <c r="A821" s="6"/>
      <c r="B821">
        <v>72</v>
      </c>
      <c r="C821">
        <v>95</v>
      </c>
      <c r="D821">
        <v>35</v>
      </c>
      <c r="E821">
        <v>20</v>
      </c>
      <c r="F821">
        <v>194</v>
      </c>
      <c r="G821">
        <v>459</v>
      </c>
      <c r="H821">
        <v>90</v>
      </c>
    </row>
    <row r="822" spans="1:8">
      <c r="A822" s="6"/>
      <c r="B822">
        <v>73</v>
      </c>
      <c r="C822">
        <v>53</v>
      </c>
      <c r="D822">
        <v>30</v>
      </c>
      <c r="E822">
        <v>10</v>
      </c>
      <c r="F822">
        <v>367</v>
      </c>
      <c r="G822">
        <v>588</v>
      </c>
      <c r="H822">
        <v>90</v>
      </c>
    </row>
    <row r="823" spans="1:8">
      <c r="A823" s="6"/>
      <c r="B823">
        <v>74</v>
      </c>
      <c r="C823">
        <v>92</v>
      </c>
      <c r="D823">
        <v>30</v>
      </c>
      <c r="E823">
        <v>10</v>
      </c>
      <c r="F823">
        <v>370</v>
      </c>
      <c r="G823">
        <v>659</v>
      </c>
      <c r="H823">
        <v>90</v>
      </c>
    </row>
    <row r="824" spans="1:8">
      <c r="A824" s="6"/>
      <c r="B824">
        <v>75</v>
      </c>
      <c r="C824">
        <v>53</v>
      </c>
      <c r="D824">
        <v>35</v>
      </c>
      <c r="E824">
        <v>50</v>
      </c>
      <c r="F824">
        <v>263</v>
      </c>
      <c r="G824">
        <v>502</v>
      </c>
      <c r="H824">
        <v>90</v>
      </c>
    </row>
    <row r="825" spans="1:8">
      <c r="A825" s="6"/>
      <c r="B825">
        <v>76</v>
      </c>
      <c r="C825">
        <v>45</v>
      </c>
      <c r="D825">
        <v>65</v>
      </c>
      <c r="E825">
        <v>20</v>
      </c>
      <c r="F825">
        <v>847</v>
      </c>
      <c r="G825">
        <v>1130</v>
      </c>
      <c r="H825">
        <v>90</v>
      </c>
    </row>
    <row r="826" spans="1:8">
      <c r="A826" s="6"/>
      <c r="B826">
        <v>77</v>
      </c>
      <c r="C826">
        <v>90</v>
      </c>
      <c r="D826">
        <v>35</v>
      </c>
      <c r="E826">
        <v>10</v>
      </c>
      <c r="F826">
        <v>119</v>
      </c>
      <c r="G826">
        <v>344</v>
      </c>
      <c r="H826">
        <v>90</v>
      </c>
    </row>
    <row r="827" spans="1:8">
      <c r="A827" s="6"/>
      <c r="B827">
        <v>78</v>
      </c>
      <c r="C827">
        <v>88</v>
      </c>
      <c r="D827">
        <v>30</v>
      </c>
      <c r="E827">
        <v>10</v>
      </c>
      <c r="F827">
        <v>469</v>
      </c>
      <c r="G827">
        <v>748</v>
      </c>
      <c r="H827">
        <v>90</v>
      </c>
    </row>
    <row r="828" spans="1:8">
      <c r="A828" s="6"/>
      <c r="B828">
        <v>79</v>
      </c>
      <c r="C828">
        <v>88</v>
      </c>
      <c r="D828">
        <v>35</v>
      </c>
      <c r="E828">
        <v>20</v>
      </c>
      <c r="F828">
        <v>50</v>
      </c>
      <c r="G828">
        <v>295</v>
      </c>
      <c r="H828">
        <v>90</v>
      </c>
    </row>
    <row r="829" spans="1:8">
      <c r="A829" s="6"/>
      <c r="B829">
        <v>80</v>
      </c>
      <c r="C829">
        <v>87</v>
      </c>
      <c r="D829">
        <v>30</v>
      </c>
      <c r="E829">
        <v>10</v>
      </c>
      <c r="F829">
        <v>573</v>
      </c>
      <c r="G829">
        <v>826</v>
      </c>
      <c r="H829">
        <v>90</v>
      </c>
    </row>
    <row r="830" spans="1:8">
      <c r="A830" s="6"/>
      <c r="B830">
        <v>81</v>
      </c>
      <c r="C830">
        <v>85</v>
      </c>
      <c r="D830">
        <v>25</v>
      </c>
      <c r="E830">
        <v>10</v>
      </c>
      <c r="F830">
        <v>694</v>
      </c>
      <c r="G830">
        <v>895</v>
      </c>
      <c r="H830">
        <v>90</v>
      </c>
    </row>
    <row r="831" spans="1:8">
      <c r="A831" s="6"/>
      <c r="B831">
        <v>82</v>
      </c>
      <c r="C831">
        <v>85</v>
      </c>
      <c r="D831">
        <v>35</v>
      </c>
      <c r="E831">
        <v>30</v>
      </c>
      <c r="F831">
        <v>47</v>
      </c>
      <c r="G831">
        <v>356</v>
      </c>
      <c r="H831">
        <v>90</v>
      </c>
    </row>
    <row r="832" spans="1:8">
      <c r="A832" s="6"/>
      <c r="B832">
        <v>83</v>
      </c>
      <c r="C832">
        <v>75</v>
      </c>
      <c r="D832">
        <v>55</v>
      </c>
      <c r="E832">
        <v>20</v>
      </c>
      <c r="F832">
        <v>293</v>
      </c>
      <c r="G832">
        <v>496</v>
      </c>
      <c r="H832">
        <v>90</v>
      </c>
    </row>
    <row r="833" spans="1:8">
      <c r="A833" s="6"/>
      <c r="B833">
        <v>84</v>
      </c>
      <c r="C833">
        <v>72</v>
      </c>
      <c r="D833">
        <v>55</v>
      </c>
      <c r="E833">
        <v>10</v>
      </c>
      <c r="F833">
        <v>154</v>
      </c>
      <c r="G833">
        <v>449</v>
      </c>
      <c r="H833">
        <v>90</v>
      </c>
    </row>
    <row r="834" spans="1:8">
      <c r="A834" s="6"/>
      <c r="B834">
        <v>85</v>
      </c>
      <c r="C834">
        <v>70</v>
      </c>
      <c r="D834">
        <v>58</v>
      </c>
      <c r="E834">
        <v>20</v>
      </c>
      <c r="F834">
        <v>360</v>
      </c>
      <c r="G834">
        <v>621</v>
      </c>
      <c r="H834">
        <v>90</v>
      </c>
    </row>
    <row r="835" spans="1:8">
      <c r="A835" s="6"/>
      <c r="B835">
        <v>86</v>
      </c>
      <c r="C835">
        <v>68</v>
      </c>
      <c r="D835">
        <v>60</v>
      </c>
      <c r="E835">
        <v>30</v>
      </c>
      <c r="F835">
        <v>470</v>
      </c>
      <c r="G835">
        <v>697</v>
      </c>
      <c r="H835">
        <v>90</v>
      </c>
    </row>
    <row r="836" spans="1:8">
      <c r="A836" s="6"/>
      <c r="B836">
        <v>87</v>
      </c>
      <c r="C836">
        <v>66</v>
      </c>
      <c r="D836">
        <v>55</v>
      </c>
      <c r="E836">
        <v>10</v>
      </c>
      <c r="F836">
        <v>76</v>
      </c>
      <c r="G836">
        <v>335</v>
      </c>
      <c r="H836">
        <v>90</v>
      </c>
    </row>
    <row r="837" spans="1:8">
      <c r="A837" s="6"/>
      <c r="B837">
        <v>88</v>
      </c>
      <c r="C837">
        <v>65</v>
      </c>
      <c r="D837">
        <v>55</v>
      </c>
      <c r="E837">
        <v>20</v>
      </c>
      <c r="F837">
        <v>25</v>
      </c>
      <c r="G837">
        <v>260</v>
      </c>
      <c r="H837">
        <v>90</v>
      </c>
    </row>
    <row r="838" spans="1:8">
      <c r="A838" s="6"/>
      <c r="B838">
        <v>89</v>
      </c>
      <c r="C838">
        <v>65</v>
      </c>
      <c r="D838">
        <v>60</v>
      </c>
      <c r="E838">
        <v>30</v>
      </c>
      <c r="F838">
        <v>551</v>
      </c>
      <c r="G838">
        <v>802</v>
      </c>
      <c r="H838">
        <v>90</v>
      </c>
    </row>
    <row r="839" spans="1:8">
      <c r="A839" s="6"/>
      <c r="B839">
        <v>90</v>
      </c>
      <c r="C839">
        <v>63</v>
      </c>
      <c r="D839">
        <v>58</v>
      </c>
      <c r="E839">
        <v>10</v>
      </c>
      <c r="F839">
        <v>640</v>
      </c>
      <c r="G839">
        <v>899</v>
      </c>
      <c r="H839">
        <v>90</v>
      </c>
    </row>
    <row r="840" spans="1:8">
      <c r="A840" s="6"/>
      <c r="B840">
        <v>91</v>
      </c>
      <c r="C840">
        <v>60</v>
      </c>
      <c r="D840">
        <v>55</v>
      </c>
      <c r="E840">
        <v>10</v>
      </c>
      <c r="F840">
        <v>20</v>
      </c>
      <c r="G840">
        <v>276</v>
      </c>
      <c r="H840">
        <v>90</v>
      </c>
    </row>
    <row r="841" spans="1:8">
      <c r="A841" s="6"/>
      <c r="B841">
        <v>92</v>
      </c>
      <c r="C841">
        <v>60</v>
      </c>
      <c r="D841">
        <v>60</v>
      </c>
      <c r="E841">
        <v>10</v>
      </c>
      <c r="F841">
        <v>756</v>
      </c>
      <c r="G841">
        <v>969</v>
      </c>
      <c r="H841">
        <v>90</v>
      </c>
    </row>
    <row r="842" spans="1:8">
      <c r="A842" s="6"/>
      <c r="B842">
        <v>93</v>
      </c>
      <c r="C842">
        <v>67</v>
      </c>
      <c r="D842">
        <v>85</v>
      </c>
      <c r="E842">
        <v>20</v>
      </c>
      <c r="F842">
        <v>257</v>
      </c>
      <c r="G842">
        <v>552</v>
      </c>
      <c r="H842">
        <v>90</v>
      </c>
    </row>
    <row r="843" spans="1:8">
      <c r="A843" s="6"/>
      <c r="B843">
        <v>94</v>
      </c>
      <c r="C843">
        <v>65</v>
      </c>
      <c r="D843">
        <v>85</v>
      </c>
      <c r="E843">
        <v>40</v>
      </c>
      <c r="F843">
        <v>409</v>
      </c>
      <c r="G843">
        <v>584</v>
      </c>
      <c r="H843">
        <v>90</v>
      </c>
    </row>
    <row r="844" spans="1:8">
      <c r="A844" s="6"/>
      <c r="B844">
        <v>95</v>
      </c>
      <c r="C844">
        <v>65</v>
      </c>
      <c r="D844">
        <v>82</v>
      </c>
      <c r="E844">
        <v>10</v>
      </c>
      <c r="F844">
        <v>209</v>
      </c>
      <c r="G844">
        <v>412</v>
      </c>
      <c r="H844">
        <v>90</v>
      </c>
    </row>
    <row r="845" spans="1:8">
      <c r="A845" s="6"/>
      <c r="B845">
        <v>96</v>
      </c>
      <c r="C845">
        <v>62</v>
      </c>
      <c r="D845">
        <v>80</v>
      </c>
      <c r="E845">
        <v>30</v>
      </c>
      <c r="F845">
        <v>130</v>
      </c>
      <c r="G845">
        <v>305</v>
      </c>
      <c r="H845">
        <v>90</v>
      </c>
    </row>
    <row r="846" spans="1:8">
      <c r="A846" s="6"/>
      <c r="B846">
        <v>97</v>
      </c>
      <c r="C846">
        <v>60</v>
      </c>
      <c r="D846">
        <v>80</v>
      </c>
      <c r="E846">
        <v>10</v>
      </c>
      <c r="F846">
        <v>36</v>
      </c>
      <c r="G846">
        <v>283</v>
      </c>
      <c r="H846">
        <v>90</v>
      </c>
    </row>
    <row r="847" spans="1:8">
      <c r="A847" s="6"/>
      <c r="B847">
        <v>98</v>
      </c>
      <c r="C847">
        <v>60</v>
      </c>
      <c r="D847">
        <v>85</v>
      </c>
      <c r="E847">
        <v>30</v>
      </c>
      <c r="F847">
        <v>470</v>
      </c>
      <c r="G847">
        <v>713</v>
      </c>
      <c r="H847">
        <v>90</v>
      </c>
    </row>
    <row r="848" spans="1:8">
      <c r="A848" s="6"/>
      <c r="B848">
        <v>99</v>
      </c>
      <c r="C848">
        <v>58</v>
      </c>
      <c r="D848">
        <v>75</v>
      </c>
      <c r="E848">
        <v>20</v>
      </c>
      <c r="F848">
        <v>30</v>
      </c>
      <c r="G848">
        <v>248</v>
      </c>
      <c r="H848">
        <v>90</v>
      </c>
    </row>
    <row r="849" spans="1:8">
      <c r="A849" s="6"/>
      <c r="B849">
        <v>100</v>
      </c>
      <c r="C849">
        <v>55</v>
      </c>
      <c r="D849">
        <v>80</v>
      </c>
      <c r="E849">
        <v>10</v>
      </c>
      <c r="F849">
        <v>628</v>
      </c>
      <c r="G849">
        <v>935</v>
      </c>
      <c r="H849">
        <v>90</v>
      </c>
    </row>
    <row r="850" spans="1:8">
      <c r="A850" s="6"/>
      <c r="B850">
        <v>101</v>
      </c>
      <c r="C850">
        <v>55</v>
      </c>
      <c r="D850">
        <v>85</v>
      </c>
      <c r="E850">
        <v>20</v>
      </c>
      <c r="F850">
        <v>530</v>
      </c>
      <c r="G850">
        <v>843</v>
      </c>
      <c r="H850">
        <v>90</v>
      </c>
    </row>
    <row r="854" spans="1:8" ht="17.399999999999999">
      <c r="A854" s="7" t="s">
        <v>44</v>
      </c>
    </row>
    <row r="855" spans="1:8">
      <c r="A855" s="4"/>
      <c r="B855" t="s">
        <v>32</v>
      </c>
      <c r="C855" t="s">
        <v>26</v>
      </c>
      <c r="D855" t="s">
        <v>27</v>
      </c>
      <c r="E855" t="s">
        <v>28</v>
      </c>
      <c r="F855" t="s">
        <v>29</v>
      </c>
      <c r="G855" t="s">
        <v>30</v>
      </c>
      <c r="H855" t="s">
        <v>31</v>
      </c>
    </row>
    <row r="856" spans="1:8">
      <c r="A856" s="6"/>
      <c r="B856">
        <v>1</v>
      </c>
      <c r="C856">
        <v>40</v>
      </c>
      <c r="D856">
        <v>50</v>
      </c>
      <c r="E856">
        <v>0</v>
      </c>
      <c r="F856">
        <v>0</v>
      </c>
      <c r="G856">
        <v>1236</v>
      </c>
      <c r="H856">
        <v>0</v>
      </c>
    </row>
    <row r="857" spans="1:8">
      <c r="A857" s="6"/>
      <c r="B857">
        <v>2</v>
      </c>
      <c r="C857">
        <v>45</v>
      </c>
      <c r="D857">
        <v>68</v>
      </c>
      <c r="E857">
        <v>10</v>
      </c>
      <c r="F857">
        <v>760</v>
      </c>
      <c r="G857">
        <v>1120</v>
      </c>
      <c r="H857">
        <v>90</v>
      </c>
    </row>
    <row r="858" spans="1:8">
      <c r="A858" s="6"/>
      <c r="B858">
        <v>3</v>
      </c>
      <c r="C858">
        <v>45</v>
      </c>
      <c r="D858">
        <v>70</v>
      </c>
      <c r="E858">
        <v>30</v>
      </c>
      <c r="F858">
        <v>668</v>
      </c>
      <c r="G858">
        <v>1028</v>
      </c>
      <c r="H858">
        <v>90</v>
      </c>
    </row>
    <row r="859" spans="1:8">
      <c r="A859" s="6"/>
      <c r="B859">
        <v>4</v>
      </c>
      <c r="C859">
        <v>42</v>
      </c>
      <c r="D859">
        <v>66</v>
      </c>
      <c r="E859">
        <v>10</v>
      </c>
      <c r="F859">
        <v>16</v>
      </c>
      <c r="G859">
        <v>376</v>
      </c>
      <c r="H859">
        <v>90</v>
      </c>
    </row>
    <row r="860" spans="1:8">
      <c r="A860" s="6"/>
      <c r="B860">
        <v>5</v>
      </c>
      <c r="C860">
        <v>42</v>
      </c>
      <c r="D860">
        <v>68</v>
      </c>
      <c r="E860">
        <v>10</v>
      </c>
      <c r="F860">
        <v>575</v>
      </c>
      <c r="G860">
        <v>935</v>
      </c>
      <c r="H860">
        <v>90</v>
      </c>
    </row>
    <row r="861" spans="1:8">
      <c r="A861" s="6"/>
      <c r="B861">
        <v>6</v>
      </c>
      <c r="C861">
        <v>42</v>
      </c>
      <c r="D861">
        <v>65</v>
      </c>
      <c r="E861">
        <v>10</v>
      </c>
      <c r="F861">
        <v>15</v>
      </c>
      <c r="G861">
        <v>375</v>
      </c>
      <c r="H861">
        <v>90</v>
      </c>
    </row>
    <row r="862" spans="1:8">
      <c r="A862" s="6"/>
      <c r="B862">
        <v>7</v>
      </c>
      <c r="C862">
        <v>40</v>
      </c>
      <c r="D862">
        <v>69</v>
      </c>
      <c r="E862">
        <v>20</v>
      </c>
      <c r="F862">
        <v>482</v>
      </c>
      <c r="G862">
        <v>842</v>
      </c>
      <c r="H862">
        <v>90</v>
      </c>
    </row>
    <row r="863" spans="1:8">
      <c r="A863" s="6"/>
      <c r="B863">
        <v>8</v>
      </c>
      <c r="C863">
        <v>40</v>
      </c>
      <c r="D863">
        <v>66</v>
      </c>
      <c r="E863">
        <v>20</v>
      </c>
      <c r="F863">
        <v>18</v>
      </c>
      <c r="G863">
        <v>378</v>
      </c>
      <c r="H863">
        <v>90</v>
      </c>
    </row>
    <row r="864" spans="1:8">
      <c r="A864" s="6"/>
      <c r="B864">
        <v>9</v>
      </c>
      <c r="C864">
        <v>38</v>
      </c>
      <c r="D864">
        <v>68</v>
      </c>
      <c r="E864">
        <v>20</v>
      </c>
      <c r="F864">
        <v>110</v>
      </c>
      <c r="G864">
        <v>470</v>
      </c>
      <c r="H864">
        <v>90</v>
      </c>
    </row>
    <row r="865" spans="1:8">
      <c r="A865" s="6"/>
      <c r="B865">
        <v>10</v>
      </c>
      <c r="C865">
        <v>38</v>
      </c>
      <c r="D865">
        <v>70</v>
      </c>
      <c r="E865">
        <v>10</v>
      </c>
      <c r="F865">
        <v>390</v>
      </c>
      <c r="G865">
        <v>750</v>
      </c>
      <c r="H865">
        <v>90</v>
      </c>
    </row>
    <row r="866" spans="1:8">
      <c r="A866" s="6"/>
      <c r="B866">
        <v>11</v>
      </c>
      <c r="C866">
        <v>35</v>
      </c>
      <c r="D866">
        <v>66</v>
      </c>
      <c r="E866">
        <v>10</v>
      </c>
      <c r="F866">
        <v>204</v>
      </c>
      <c r="G866">
        <v>564</v>
      </c>
      <c r="H866">
        <v>90</v>
      </c>
    </row>
    <row r="867" spans="1:8">
      <c r="A867" s="6"/>
      <c r="B867">
        <v>12</v>
      </c>
      <c r="C867">
        <v>35</v>
      </c>
      <c r="D867">
        <v>69</v>
      </c>
      <c r="E867">
        <v>10</v>
      </c>
      <c r="F867">
        <v>297</v>
      </c>
      <c r="G867">
        <v>657</v>
      </c>
      <c r="H867">
        <v>90</v>
      </c>
    </row>
    <row r="868" spans="1:8">
      <c r="A868" s="6"/>
      <c r="B868">
        <v>13</v>
      </c>
      <c r="C868">
        <v>25</v>
      </c>
      <c r="D868">
        <v>85</v>
      </c>
      <c r="E868">
        <v>20</v>
      </c>
      <c r="F868">
        <v>507</v>
      </c>
      <c r="G868">
        <v>867</v>
      </c>
      <c r="H868">
        <v>90</v>
      </c>
    </row>
    <row r="869" spans="1:8">
      <c r="A869" s="6"/>
      <c r="B869">
        <v>14</v>
      </c>
      <c r="C869">
        <v>22</v>
      </c>
      <c r="D869">
        <v>75</v>
      </c>
      <c r="E869">
        <v>30</v>
      </c>
      <c r="F869">
        <v>30</v>
      </c>
      <c r="G869">
        <v>390</v>
      </c>
      <c r="H869">
        <v>90</v>
      </c>
    </row>
    <row r="870" spans="1:8">
      <c r="A870" s="6"/>
      <c r="B870">
        <v>15</v>
      </c>
      <c r="C870">
        <v>22</v>
      </c>
      <c r="D870">
        <v>85</v>
      </c>
      <c r="E870">
        <v>10</v>
      </c>
      <c r="F870">
        <v>414</v>
      </c>
      <c r="G870">
        <v>774</v>
      </c>
      <c r="H870">
        <v>90</v>
      </c>
    </row>
    <row r="871" spans="1:8">
      <c r="A871" s="6"/>
      <c r="B871">
        <v>16</v>
      </c>
      <c r="C871">
        <v>20</v>
      </c>
      <c r="D871">
        <v>80</v>
      </c>
      <c r="E871">
        <v>40</v>
      </c>
      <c r="F871">
        <v>227</v>
      </c>
      <c r="G871">
        <v>587</v>
      </c>
      <c r="H871">
        <v>90</v>
      </c>
    </row>
    <row r="872" spans="1:8">
      <c r="A872" s="6"/>
      <c r="B872">
        <v>17</v>
      </c>
      <c r="C872">
        <v>20</v>
      </c>
      <c r="D872">
        <v>85</v>
      </c>
      <c r="E872">
        <v>40</v>
      </c>
      <c r="F872">
        <v>322</v>
      </c>
      <c r="G872">
        <v>682</v>
      </c>
      <c r="H872">
        <v>90</v>
      </c>
    </row>
    <row r="873" spans="1:8">
      <c r="A873" s="6"/>
      <c r="B873">
        <v>18</v>
      </c>
      <c r="C873">
        <v>18</v>
      </c>
      <c r="D873">
        <v>75</v>
      </c>
      <c r="E873">
        <v>20</v>
      </c>
      <c r="F873">
        <v>33</v>
      </c>
      <c r="G873">
        <v>393</v>
      </c>
      <c r="H873">
        <v>90</v>
      </c>
    </row>
    <row r="874" spans="1:8">
      <c r="A874" s="6"/>
      <c r="B874">
        <v>19</v>
      </c>
      <c r="C874">
        <v>15</v>
      </c>
      <c r="D874">
        <v>75</v>
      </c>
      <c r="E874">
        <v>20</v>
      </c>
      <c r="F874">
        <v>37</v>
      </c>
      <c r="G874">
        <v>397</v>
      </c>
      <c r="H874">
        <v>90</v>
      </c>
    </row>
    <row r="875" spans="1:8">
      <c r="A875" s="6"/>
      <c r="B875">
        <v>20</v>
      </c>
      <c r="C875">
        <v>15</v>
      </c>
      <c r="D875">
        <v>80</v>
      </c>
      <c r="E875">
        <v>10</v>
      </c>
      <c r="F875">
        <v>132</v>
      </c>
      <c r="G875">
        <v>492</v>
      </c>
      <c r="H875">
        <v>90</v>
      </c>
    </row>
    <row r="876" spans="1:8">
      <c r="A876" s="6"/>
      <c r="B876">
        <v>21</v>
      </c>
      <c r="C876">
        <v>30</v>
      </c>
      <c r="D876">
        <v>50</v>
      </c>
      <c r="E876">
        <v>10</v>
      </c>
      <c r="F876">
        <v>10</v>
      </c>
      <c r="G876">
        <v>370</v>
      </c>
      <c r="H876">
        <v>90</v>
      </c>
    </row>
    <row r="877" spans="1:8">
      <c r="A877" s="6"/>
      <c r="B877">
        <v>22</v>
      </c>
      <c r="C877">
        <v>30</v>
      </c>
      <c r="D877">
        <v>52</v>
      </c>
      <c r="E877">
        <v>20</v>
      </c>
      <c r="F877">
        <v>760</v>
      </c>
      <c r="G877">
        <v>1120</v>
      </c>
      <c r="H877">
        <v>90</v>
      </c>
    </row>
    <row r="878" spans="1:8">
      <c r="A878" s="6"/>
      <c r="B878">
        <v>23</v>
      </c>
      <c r="C878">
        <v>28</v>
      </c>
      <c r="D878">
        <v>52</v>
      </c>
      <c r="E878">
        <v>20</v>
      </c>
      <c r="F878">
        <v>668</v>
      </c>
      <c r="G878">
        <v>1028</v>
      </c>
      <c r="H878">
        <v>90</v>
      </c>
    </row>
    <row r="879" spans="1:8">
      <c r="A879" s="6"/>
      <c r="B879">
        <v>24</v>
      </c>
      <c r="C879">
        <v>28</v>
      </c>
      <c r="D879">
        <v>55</v>
      </c>
      <c r="E879">
        <v>10</v>
      </c>
      <c r="F879">
        <v>575</v>
      </c>
      <c r="G879">
        <v>935</v>
      </c>
      <c r="H879">
        <v>90</v>
      </c>
    </row>
    <row r="880" spans="1:8">
      <c r="A880" s="6"/>
      <c r="B880">
        <v>25</v>
      </c>
      <c r="C880">
        <v>25</v>
      </c>
      <c r="D880">
        <v>50</v>
      </c>
      <c r="E880">
        <v>10</v>
      </c>
      <c r="F880">
        <v>15</v>
      </c>
      <c r="G880">
        <v>375</v>
      </c>
      <c r="H880">
        <v>90</v>
      </c>
    </row>
    <row r="881" spans="1:8">
      <c r="A881" s="6"/>
      <c r="B881">
        <v>26</v>
      </c>
      <c r="C881">
        <v>25</v>
      </c>
      <c r="D881">
        <v>52</v>
      </c>
      <c r="E881">
        <v>40</v>
      </c>
      <c r="F881">
        <v>17</v>
      </c>
      <c r="G881">
        <v>377</v>
      </c>
      <c r="H881">
        <v>90</v>
      </c>
    </row>
    <row r="882" spans="1:8">
      <c r="A882" s="6"/>
      <c r="B882">
        <v>27</v>
      </c>
      <c r="C882">
        <v>25</v>
      </c>
      <c r="D882">
        <v>55</v>
      </c>
      <c r="E882">
        <v>10</v>
      </c>
      <c r="F882">
        <v>482</v>
      </c>
      <c r="G882">
        <v>842</v>
      </c>
      <c r="H882">
        <v>90</v>
      </c>
    </row>
    <row r="883" spans="1:8">
      <c r="A883" s="6"/>
      <c r="B883">
        <v>28</v>
      </c>
      <c r="C883">
        <v>23</v>
      </c>
      <c r="D883">
        <v>52</v>
      </c>
      <c r="E883">
        <v>10</v>
      </c>
      <c r="F883">
        <v>109</v>
      </c>
      <c r="G883">
        <v>469</v>
      </c>
      <c r="H883">
        <v>90</v>
      </c>
    </row>
    <row r="884" spans="1:8">
      <c r="A884" s="6"/>
      <c r="B884">
        <v>29</v>
      </c>
      <c r="C884">
        <v>23</v>
      </c>
      <c r="D884">
        <v>55</v>
      </c>
      <c r="E884">
        <v>20</v>
      </c>
      <c r="F884">
        <v>390</v>
      </c>
      <c r="G884">
        <v>750</v>
      </c>
      <c r="H884">
        <v>90</v>
      </c>
    </row>
    <row r="885" spans="1:8">
      <c r="A885" s="6"/>
      <c r="B885">
        <v>30</v>
      </c>
      <c r="C885">
        <v>20</v>
      </c>
      <c r="D885">
        <v>50</v>
      </c>
      <c r="E885">
        <v>10</v>
      </c>
      <c r="F885">
        <v>202</v>
      </c>
      <c r="G885">
        <v>562</v>
      </c>
      <c r="H885">
        <v>90</v>
      </c>
    </row>
    <row r="886" spans="1:8">
      <c r="A886" s="6"/>
      <c r="B886">
        <v>31</v>
      </c>
      <c r="C886">
        <v>20</v>
      </c>
      <c r="D886">
        <v>55</v>
      </c>
      <c r="E886">
        <v>10</v>
      </c>
      <c r="F886">
        <v>297</v>
      </c>
      <c r="G886">
        <v>657</v>
      </c>
      <c r="H886">
        <v>90</v>
      </c>
    </row>
    <row r="887" spans="1:8">
      <c r="A887" s="6"/>
      <c r="B887">
        <v>32</v>
      </c>
      <c r="C887">
        <v>10</v>
      </c>
      <c r="D887">
        <v>35</v>
      </c>
      <c r="E887">
        <v>20</v>
      </c>
      <c r="F887">
        <v>39</v>
      </c>
      <c r="G887">
        <v>399</v>
      </c>
      <c r="H887">
        <v>90</v>
      </c>
    </row>
    <row r="888" spans="1:8">
      <c r="A888" s="6"/>
      <c r="B888">
        <v>33</v>
      </c>
      <c r="C888">
        <v>10</v>
      </c>
      <c r="D888">
        <v>40</v>
      </c>
      <c r="E888">
        <v>30</v>
      </c>
      <c r="F888">
        <v>31</v>
      </c>
      <c r="G888">
        <v>391</v>
      </c>
      <c r="H888">
        <v>90</v>
      </c>
    </row>
    <row r="889" spans="1:8">
      <c r="A889" s="6"/>
      <c r="B889">
        <v>34</v>
      </c>
      <c r="C889">
        <v>8</v>
      </c>
      <c r="D889">
        <v>40</v>
      </c>
      <c r="E889">
        <v>40</v>
      </c>
      <c r="F889">
        <v>33</v>
      </c>
      <c r="G889">
        <v>393</v>
      </c>
      <c r="H889">
        <v>90</v>
      </c>
    </row>
    <row r="890" spans="1:8">
      <c r="A890" s="6"/>
      <c r="B890">
        <v>35</v>
      </c>
      <c r="C890">
        <v>8</v>
      </c>
      <c r="D890">
        <v>45</v>
      </c>
      <c r="E890">
        <v>20</v>
      </c>
      <c r="F890">
        <v>604</v>
      </c>
      <c r="G890">
        <v>964</v>
      </c>
      <c r="H890">
        <v>90</v>
      </c>
    </row>
    <row r="891" spans="1:8">
      <c r="A891" s="6"/>
      <c r="B891">
        <v>36</v>
      </c>
      <c r="C891">
        <v>5</v>
      </c>
      <c r="D891">
        <v>35</v>
      </c>
      <c r="E891">
        <v>10</v>
      </c>
      <c r="F891">
        <v>134</v>
      </c>
      <c r="G891">
        <v>494</v>
      </c>
      <c r="H891">
        <v>90</v>
      </c>
    </row>
    <row r="892" spans="1:8">
      <c r="A892" s="6"/>
      <c r="B892">
        <v>37</v>
      </c>
      <c r="C892">
        <v>5</v>
      </c>
      <c r="D892">
        <v>45</v>
      </c>
      <c r="E892">
        <v>10</v>
      </c>
      <c r="F892">
        <v>511</v>
      </c>
      <c r="G892">
        <v>871</v>
      </c>
      <c r="H892">
        <v>90</v>
      </c>
    </row>
    <row r="893" spans="1:8">
      <c r="A893" s="6"/>
      <c r="B893">
        <v>38</v>
      </c>
      <c r="C893">
        <v>2</v>
      </c>
      <c r="D893">
        <v>40</v>
      </c>
      <c r="E893">
        <v>20</v>
      </c>
      <c r="F893">
        <v>229</v>
      </c>
      <c r="G893">
        <v>589</v>
      </c>
      <c r="H893">
        <v>90</v>
      </c>
    </row>
    <row r="894" spans="1:8">
      <c r="A894" s="6"/>
      <c r="B894">
        <v>39</v>
      </c>
      <c r="C894">
        <v>0</v>
      </c>
      <c r="D894">
        <v>40</v>
      </c>
      <c r="E894">
        <v>30</v>
      </c>
      <c r="F894">
        <v>321</v>
      </c>
      <c r="G894">
        <v>681</v>
      </c>
      <c r="H894">
        <v>90</v>
      </c>
    </row>
    <row r="895" spans="1:8">
      <c r="A895" s="6"/>
      <c r="B895">
        <v>40</v>
      </c>
      <c r="C895">
        <v>0</v>
      </c>
      <c r="D895">
        <v>45</v>
      </c>
      <c r="E895">
        <v>20</v>
      </c>
      <c r="F895">
        <v>416</v>
      </c>
      <c r="G895">
        <v>776</v>
      </c>
      <c r="H895">
        <v>90</v>
      </c>
    </row>
    <row r="896" spans="1:8">
      <c r="A896" s="6"/>
      <c r="B896">
        <v>41</v>
      </c>
      <c r="C896">
        <v>35</v>
      </c>
      <c r="D896">
        <v>30</v>
      </c>
      <c r="E896">
        <v>10</v>
      </c>
      <c r="F896">
        <v>113</v>
      </c>
      <c r="G896">
        <v>473</v>
      </c>
      <c r="H896">
        <v>90</v>
      </c>
    </row>
    <row r="897" spans="1:8">
      <c r="A897" s="6"/>
      <c r="B897">
        <v>42</v>
      </c>
      <c r="C897">
        <v>35</v>
      </c>
      <c r="D897">
        <v>32</v>
      </c>
      <c r="E897">
        <v>10</v>
      </c>
      <c r="F897">
        <v>21</v>
      </c>
      <c r="G897">
        <v>381</v>
      </c>
      <c r="H897">
        <v>90</v>
      </c>
    </row>
    <row r="898" spans="1:8">
      <c r="A898" s="6"/>
      <c r="B898">
        <v>43</v>
      </c>
      <c r="C898">
        <v>33</v>
      </c>
      <c r="D898">
        <v>32</v>
      </c>
      <c r="E898">
        <v>20</v>
      </c>
      <c r="F898">
        <v>19</v>
      </c>
      <c r="G898">
        <v>379</v>
      </c>
      <c r="H898">
        <v>90</v>
      </c>
    </row>
    <row r="899" spans="1:8">
      <c r="A899" s="6"/>
      <c r="B899">
        <v>44</v>
      </c>
      <c r="C899">
        <v>33</v>
      </c>
      <c r="D899">
        <v>35</v>
      </c>
      <c r="E899">
        <v>10</v>
      </c>
      <c r="F899">
        <v>16</v>
      </c>
      <c r="G899">
        <v>376</v>
      </c>
      <c r="H899">
        <v>90</v>
      </c>
    </row>
    <row r="900" spans="1:8">
      <c r="A900" s="6"/>
      <c r="B900">
        <v>45</v>
      </c>
      <c r="C900">
        <v>32</v>
      </c>
      <c r="D900">
        <v>30</v>
      </c>
      <c r="E900">
        <v>10</v>
      </c>
      <c r="F900">
        <v>206</v>
      </c>
      <c r="G900">
        <v>566</v>
      </c>
      <c r="H900">
        <v>90</v>
      </c>
    </row>
    <row r="901" spans="1:8">
      <c r="A901" s="6"/>
      <c r="B901">
        <v>46</v>
      </c>
      <c r="C901">
        <v>30</v>
      </c>
      <c r="D901">
        <v>30</v>
      </c>
      <c r="E901">
        <v>10</v>
      </c>
      <c r="F901">
        <v>391</v>
      </c>
      <c r="G901">
        <v>751</v>
      </c>
      <c r="H901">
        <v>90</v>
      </c>
    </row>
    <row r="902" spans="1:8">
      <c r="A902" s="6"/>
      <c r="B902">
        <v>47</v>
      </c>
      <c r="C902">
        <v>30</v>
      </c>
      <c r="D902">
        <v>32</v>
      </c>
      <c r="E902">
        <v>30</v>
      </c>
      <c r="F902">
        <v>299</v>
      </c>
      <c r="G902">
        <v>659</v>
      </c>
      <c r="H902">
        <v>90</v>
      </c>
    </row>
    <row r="903" spans="1:8">
      <c r="A903" s="6"/>
      <c r="B903">
        <v>48</v>
      </c>
      <c r="C903">
        <v>30</v>
      </c>
      <c r="D903">
        <v>35</v>
      </c>
      <c r="E903">
        <v>10</v>
      </c>
      <c r="F903">
        <v>767</v>
      </c>
      <c r="G903">
        <v>1127</v>
      </c>
      <c r="H903">
        <v>90</v>
      </c>
    </row>
    <row r="904" spans="1:8">
      <c r="A904" s="6"/>
      <c r="B904">
        <v>49</v>
      </c>
      <c r="C904">
        <v>28</v>
      </c>
      <c r="D904">
        <v>30</v>
      </c>
      <c r="E904">
        <v>10</v>
      </c>
      <c r="F904">
        <v>483</v>
      </c>
      <c r="G904">
        <v>843</v>
      </c>
      <c r="H904">
        <v>90</v>
      </c>
    </row>
    <row r="905" spans="1:8">
      <c r="A905" s="6"/>
      <c r="B905">
        <v>50</v>
      </c>
      <c r="C905">
        <v>28</v>
      </c>
      <c r="D905">
        <v>35</v>
      </c>
      <c r="E905">
        <v>10</v>
      </c>
      <c r="F905">
        <v>766</v>
      </c>
      <c r="G905">
        <v>1126</v>
      </c>
      <c r="H905">
        <v>90</v>
      </c>
    </row>
    <row r="906" spans="1:8">
      <c r="A906" s="6"/>
      <c r="B906">
        <v>51</v>
      </c>
      <c r="C906">
        <v>26</v>
      </c>
      <c r="D906">
        <v>32</v>
      </c>
      <c r="E906">
        <v>10</v>
      </c>
      <c r="F906">
        <v>668</v>
      </c>
      <c r="G906">
        <v>1028</v>
      </c>
      <c r="H906">
        <v>90</v>
      </c>
    </row>
    <row r="907" spans="1:8">
      <c r="A907" s="6"/>
      <c r="B907">
        <v>52</v>
      </c>
      <c r="C907">
        <v>25</v>
      </c>
      <c r="D907">
        <v>30</v>
      </c>
      <c r="E907">
        <v>10</v>
      </c>
      <c r="F907">
        <v>576</v>
      </c>
      <c r="G907">
        <v>936</v>
      </c>
      <c r="H907">
        <v>90</v>
      </c>
    </row>
    <row r="908" spans="1:8">
      <c r="A908" s="6"/>
      <c r="B908">
        <v>53</v>
      </c>
      <c r="C908">
        <v>25</v>
      </c>
      <c r="D908">
        <v>35</v>
      </c>
      <c r="E908">
        <v>10</v>
      </c>
      <c r="F908">
        <v>761</v>
      </c>
      <c r="G908">
        <v>1121</v>
      </c>
      <c r="H908">
        <v>90</v>
      </c>
    </row>
    <row r="909" spans="1:8">
      <c r="A909" s="6"/>
      <c r="B909">
        <v>54</v>
      </c>
      <c r="C909">
        <v>44</v>
      </c>
      <c r="D909">
        <v>5</v>
      </c>
      <c r="E909">
        <v>20</v>
      </c>
      <c r="F909">
        <v>137</v>
      </c>
      <c r="G909">
        <v>497</v>
      </c>
      <c r="H909">
        <v>90</v>
      </c>
    </row>
    <row r="910" spans="1:8">
      <c r="A910" s="6"/>
      <c r="B910">
        <v>55</v>
      </c>
      <c r="C910">
        <v>42</v>
      </c>
      <c r="D910">
        <v>10</v>
      </c>
      <c r="E910">
        <v>40</v>
      </c>
      <c r="F910">
        <v>42</v>
      </c>
      <c r="G910">
        <v>402</v>
      </c>
      <c r="H910">
        <v>90</v>
      </c>
    </row>
    <row r="911" spans="1:8">
      <c r="A911" s="6"/>
      <c r="B911">
        <v>56</v>
      </c>
      <c r="C911">
        <v>42</v>
      </c>
      <c r="D911">
        <v>15</v>
      </c>
      <c r="E911">
        <v>10</v>
      </c>
      <c r="F911">
        <v>35</v>
      </c>
      <c r="G911">
        <v>395</v>
      </c>
      <c r="H911">
        <v>90</v>
      </c>
    </row>
    <row r="912" spans="1:8">
      <c r="A912" s="6"/>
      <c r="B912">
        <v>57</v>
      </c>
      <c r="C912">
        <v>40</v>
      </c>
      <c r="D912">
        <v>5</v>
      </c>
      <c r="E912">
        <v>30</v>
      </c>
      <c r="F912">
        <v>231</v>
      </c>
      <c r="G912">
        <v>591</v>
      </c>
      <c r="H912">
        <v>90</v>
      </c>
    </row>
    <row r="913" spans="1:8">
      <c r="A913" s="6"/>
      <c r="B913">
        <v>58</v>
      </c>
      <c r="C913">
        <v>40</v>
      </c>
      <c r="D913">
        <v>15</v>
      </c>
      <c r="E913">
        <v>40</v>
      </c>
      <c r="F913">
        <v>35</v>
      </c>
      <c r="G913">
        <v>395</v>
      </c>
      <c r="H913">
        <v>90</v>
      </c>
    </row>
    <row r="914" spans="1:8">
      <c r="A914" s="6"/>
      <c r="B914">
        <v>59</v>
      </c>
      <c r="C914">
        <v>38</v>
      </c>
      <c r="D914">
        <v>5</v>
      </c>
      <c r="E914">
        <v>30</v>
      </c>
      <c r="F914">
        <v>323</v>
      </c>
      <c r="G914">
        <v>683</v>
      </c>
      <c r="H914">
        <v>90</v>
      </c>
    </row>
    <row r="915" spans="1:8">
      <c r="A915" s="6"/>
      <c r="B915">
        <v>60</v>
      </c>
      <c r="C915">
        <v>38</v>
      </c>
      <c r="D915">
        <v>15</v>
      </c>
      <c r="E915">
        <v>10</v>
      </c>
      <c r="F915">
        <v>516</v>
      </c>
      <c r="G915">
        <v>876</v>
      </c>
      <c r="H915">
        <v>90</v>
      </c>
    </row>
    <row r="916" spans="1:8">
      <c r="A916" s="6"/>
      <c r="B916">
        <v>61</v>
      </c>
      <c r="C916">
        <v>35</v>
      </c>
      <c r="D916">
        <v>5</v>
      </c>
      <c r="E916">
        <v>20</v>
      </c>
      <c r="F916">
        <v>416</v>
      </c>
      <c r="G916">
        <v>776</v>
      </c>
      <c r="H916">
        <v>90</v>
      </c>
    </row>
    <row r="917" spans="1:8">
      <c r="A917" s="6"/>
      <c r="B917">
        <v>62</v>
      </c>
      <c r="C917">
        <v>50</v>
      </c>
      <c r="D917">
        <v>30</v>
      </c>
      <c r="E917">
        <v>10</v>
      </c>
      <c r="F917">
        <v>391</v>
      </c>
      <c r="G917">
        <v>751</v>
      </c>
      <c r="H917">
        <v>90</v>
      </c>
    </row>
    <row r="918" spans="1:8">
      <c r="A918" s="6"/>
      <c r="B918">
        <v>63</v>
      </c>
      <c r="C918">
        <v>50</v>
      </c>
      <c r="D918">
        <v>35</v>
      </c>
      <c r="E918">
        <v>20</v>
      </c>
      <c r="F918">
        <v>110</v>
      </c>
      <c r="G918">
        <v>470</v>
      </c>
      <c r="H918">
        <v>90</v>
      </c>
    </row>
    <row r="919" spans="1:8">
      <c r="A919" s="6"/>
      <c r="B919">
        <v>64</v>
      </c>
      <c r="C919">
        <v>50</v>
      </c>
      <c r="D919">
        <v>40</v>
      </c>
      <c r="E919">
        <v>50</v>
      </c>
      <c r="F919">
        <v>15</v>
      </c>
      <c r="G919">
        <v>375</v>
      </c>
      <c r="H919">
        <v>90</v>
      </c>
    </row>
    <row r="920" spans="1:8">
      <c r="A920" s="6"/>
      <c r="B920">
        <v>65</v>
      </c>
      <c r="C920">
        <v>48</v>
      </c>
      <c r="D920">
        <v>30</v>
      </c>
      <c r="E920">
        <v>10</v>
      </c>
      <c r="F920">
        <v>483</v>
      </c>
      <c r="G920">
        <v>843</v>
      </c>
      <c r="H920">
        <v>90</v>
      </c>
    </row>
    <row r="921" spans="1:8">
      <c r="A921" s="6"/>
      <c r="B921">
        <v>66</v>
      </c>
      <c r="C921">
        <v>48</v>
      </c>
      <c r="D921">
        <v>40</v>
      </c>
      <c r="E921">
        <v>10</v>
      </c>
      <c r="F921">
        <v>12</v>
      </c>
      <c r="G921">
        <v>372</v>
      </c>
      <c r="H921">
        <v>90</v>
      </c>
    </row>
    <row r="922" spans="1:8">
      <c r="A922" s="6"/>
      <c r="B922">
        <v>67</v>
      </c>
      <c r="C922">
        <v>47</v>
      </c>
      <c r="D922">
        <v>35</v>
      </c>
      <c r="E922">
        <v>10</v>
      </c>
      <c r="F922">
        <v>671</v>
      </c>
      <c r="G922">
        <v>1031</v>
      </c>
      <c r="H922">
        <v>90</v>
      </c>
    </row>
    <row r="923" spans="1:8">
      <c r="A923" s="6"/>
      <c r="B923">
        <v>68</v>
      </c>
      <c r="C923">
        <v>47</v>
      </c>
      <c r="D923">
        <v>40</v>
      </c>
      <c r="E923">
        <v>10</v>
      </c>
      <c r="F923">
        <v>12</v>
      </c>
      <c r="G923">
        <v>372</v>
      </c>
      <c r="H923">
        <v>90</v>
      </c>
    </row>
    <row r="924" spans="1:8">
      <c r="A924" s="6"/>
      <c r="B924">
        <v>69</v>
      </c>
      <c r="C924">
        <v>45</v>
      </c>
      <c r="D924">
        <v>30</v>
      </c>
      <c r="E924">
        <v>10</v>
      </c>
      <c r="F924">
        <v>576</v>
      </c>
      <c r="G924">
        <v>936</v>
      </c>
      <c r="H924">
        <v>90</v>
      </c>
    </row>
    <row r="925" spans="1:8">
      <c r="A925" s="6"/>
      <c r="B925">
        <v>70</v>
      </c>
      <c r="C925">
        <v>45</v>
      </c>
      <c r="D925">
        <v>35</v>
      </c>
      <c r="E925">
        <v>10</v>
      </c>
      <c r="F925">
        <v>763</v>
      </c>
      <c r="G925">
        <v>1123</v>
      </c>
      <c r="H925">
        <v>90</v>
      </c>
    </row>
    <row r="926" spans="1:8">
      <c r="A926" s="6"/>
      <c r="B926">
        <v>71</v>
      </c>
      <c r="C926">
        <v>95</v>
      </c>
      <c r="D926">
        <v>30</v>
      </c>
      <c r="E926">
        <v>30</v>
      </c>
      <c r="F926">
        <v>242</v>
      </c>
      <c r="G926">
        <v>602</v>
      </c>
      <c r="H926">
        <v>90</v>
      </c>
    </row>
    <row r="927" spans="1:8">
      <c r="A927" s="6"/>
      <c r="B927">
        <v>72</v>
      </c>
      <c r="C927">
        <v>95</v>
      </c>
      <c r="D927">
        <v>35</v>
      </c>
      <c r="E927">
        <v>20</v>
      </c>
      <c r="F927">
        <v>147</v>
      </c>
      <c r="G927">
        <v>507</v>
      </c>
      <c r="H927">
        <v>90</v>
      </c>
    </row>
    <row r="928" spans="1:8">
      <c r="A928" s="6"/>
      <c r="B928">
        <v>73</v>
      </c>
      <c r="C928">
        <v>53</v>
      </c>
      <c r="D928">
        <v>30</v>
      </c>
      <c r="E928">
        <v>10</v>
      </c>
      <c r="F928">
        <v>298</v>
      </c>
      <c r="G928">
        <v>658</v>
      </c>
      <c r="H928">
        <v>90</v>
      </c>
    </row>
    <row r="929" spans="1:8">
      <c r="A929" s="6"/>
      <c r="B929">
        <v>74</v>
      </c>
      <c r="C929">
        <v>92</v>
      </c>
      <c r="D929">
        <v>30</v>
      </c>
      <c r="E929">
        <v>10</v>
      </c>
      <c r="F929">
        <v>335</v>
      </c>
      <c r="G929">
        <v>695</v>
      </c>
      <c r="H929">
        <v>90</v>
      </c>
    </row>
    <row r="930" spans="1:8">
      <c r="A930" s="6"/>
      <c r="B930">
        <v>75</v>
      </c>
      <c r="C930">
        <v>53</v>
      </c>
      <c r="D930">
        <v>35</v>
      </c>
      <c r="E930">
        <v>50</v>
      </c>
      <c r="F930">
        <v>203</v>
      </c>
      <c r="G930">
        <v>563</v>
      </c>
      <c r="H930">
        <v>90</v>
      </c>
    </row>
    <row r="931" spans="1:8">
      <c r="A931" s="6"/>
      <c r="B931">
        <v>76</v>
      </c>
      <c r="C931">
        <v>45</v>
      </c>
      <c r="D931">
        <v>65</v>
      </c>
      <c r="E931">
        <v>20</v>
      </c>
      <c r="F931">
        <v>770</v>
      </c>
      <c r="G931">
        <v>1130</v>
      </c>
      <c r="H931">
        <v>90</v>
      </c>
    </row>
    <row r="932" spans="1:8">
      <c r="A932" s="6"/>
      <c r="B932">
        <v>77</v>
      </c>
      <c r="C932">
        <v>90</v>
      </c>
      <c r="D932">
        <v>35</v>
      </c>
      <c r="E932">
        <v>10</v>
      </c>
      <c r="F932">
        <v>52</v>
      </c>
      <c r="G932">
        <v>412</v>
      </c>
      <c r="H932">
        <v>90</v>
      </c>
    </row>
    <row r="933" spans="1:8">
      <c r="A933" s="6"/>
      <c r="B933">
        <v>78</v>
      </c>
      <c r="C933">
        <v>88</v>
      </c>
      <c r="D933">
        <v>30</v>
      </c>
      <c r="E933">
        <v>10</v>
      </c>
      <c r="F933">
        <v>429</v>
      </c>
      <c r="G933">
        <v>789</v>
      </c>
      <c r="H933">
        <v>90</v>
      </c>
    </row>
    <row r="934" spans="1:8">
      <c r="A934" s="6"/>
      <c r="B934">
        <v>79</v>
      </c>
      <c r="C934">
        <v>88</v>
      </c>
      <c r="D934">
        <v>35</v>
      </c>
      <c r="E934">
        <v>20</v>
      </c>
      <c r="F934">
        <v>50</v>
      </c>
      <c r="G934">
        <v>410</v>
      </c>
      <c r="H934">
        <v>90</v>
      </c>
    </row>
    <row r="935" spans="1:8">
      <c r="A935" s="6"/>
      <c r="B935">
        <v>80</v>
      </c>
      <c r="C935">
        <v>87</v>
      </c>
      <c r="D935">
        <v>30</v>
      </c>
      <c r="E935">
        <v>10</v>
      </c>
      <c r="F935">
        <v>520</v>
      </c>
      <c r="G935">
        <v>880</v>
      </c>
      <c r="H935">
        <v>90</v>
      </c>
    </row>
    <row r="936" spans="1:8">
      <c r="A936" s="6"/>
      <c r="B936">
        <v>81</v>
      </c>
      <c r="C936">
        <v>85</v>
      </c>
      <c r="D936">
        <v>25</v>
      </c>
      <c r="E936">
        <v>10</v>
      </c>
      <c r="F936">
        <v>615</v>
      </c>
      <c r="G936">
        <v>975</v>
      </c>
      <c r="H936">
        <v>90</v>
      </c>
    </row>
    <row r="937" spans="1:8">
      <c r="A937" s="6"/>
      <c r="B937">
        <v>82</v>
      </c>
      <c r="C937">
        <v>85</v>
      </c>
      <c r="D937">
        <v>35</v>
      </c>
      <c r="E937">
        <v>30</v>
      </c>
      <c r="F937">
        <v>47</v>
      </c>
      <c r="G937">
        <v>407</v>
      </c>
      <c r="H937">
        <v>90</v>
      </c>
    </row>
    <row r="938" spans="1:8">
      <c r="A938" s="6"/>
      <c r="B938">
        <v>83</v>
      </c>
      <c r="C938">
        <v>75</v>
      </c>
      <c r="D938">
        <v>55</v>
      </c>
      <c r="E938">
        <v>20</v>
      </c>
      <c r="F938">
        <v>215</v>
      </c>
      <c r="G938">
        <v>575</v>
      </c>
      <c r="H938">
        <v>90</v>
      </c>
    </row>
    <row r="939" spans="1:8">
      <c r="A939" s="6"/>
      <c r="B939">
        <v>84</v>
      </c>
      <c r="C939">
        <v>72</v>
      </c>
      <c r="D939">
        <v>55</v>
      </c>
      <c r="E939">
        <v>10</v>
      </c>
      <c r="F939">
        <v>122</v>
      </c>
      <c r="G939">
        <v>482</v>
      </c>
      <c r="H939">
        <v>90</v>
      </c>
    </row>
    <row r="940" spans="1:8">
      <c r="A940" s="6"/>
      <c r="B940">
        <v>85</v>
      </c>
      <c r="C940">
        <v>70</v>
      </c>
      <c r="D940">
        <v>58</v>
      </c>
      <c r="E940">
        <v>20</v>
      </c>
      <c r="F940">
        <v>311</v>
      </c>
      <c r="G940">
        <v>671</v>
      </c>
      <c r="H940">
        <v>90</v>
      </c>
    </row>
    <row r="941" spans="1:8">
      <c r="A941" s="6"/>
      <c r="B941">
        <v>86</v>
      </c>
      <c r="C941">
        <v>68</v>
      </c>
      <c r="D941">
        <v>60</v>
      </c>
      <c r="E941">
        <v>30</v>
      </c>
      <c r="F941">
        <v>404</v>
      </c>
      <c r="G941">
        <v>764</v>
      </c>
      <c r="H941">
        <v>90</v>
      </c>
    </row>
    <row r="942" spans="1:8">
      <c r="A942" s="6"/>
      <c r="B942">
        <v>87</v>
      </c>
      <c r="C942">
        <v>66</v>
      </c>
      <c r="D942">
        <v>55</v>
      </c>
      <c r="E942">
        <v>10</v>
      </c>
      <c r="F942">
        <v>26</v>
      </c>
      <c r="G942">
        <v>386</v>
      </c>
      <c r="H942">
        <v>90</v>
      </c>
    </row>
    <row r="943" spans="1:8">
      <c r="A943" s="6"/>
      <c r="B943">
        <v>88</v>
      </c>
      <c r="C943">
        <v>65</v>
      </c>
      <c r="D943">
        <v>55</v>
      </c>
      <c r="E943">
        <v>20</v>
      </c>
      <c r="F943">
        <v>25</v>
      </c>
      <c r="G943">
        <v>385</v>
      </c>
      <c r="H943">
        <v>90</v>
      </c>
    </row>
    <row r="944" spans="1:8">
      <c r="A944" s="6"/>
      <c r="B944">
        <v>89</v>
      </c>
      <c r="C944">
        <v>65</v>
      </c>
      <c r="D944">
        <v>60</v>
      </c>
      <c r="E944">
        <v>30</v>
      </c>
      <c r="F944">
        <v>497</v>
      </c>
      <c r="G944">
        <v>857</v>
      </c>
      <c r="H944">
        <v>90</v>
      </c>
    </row>
    <row r="945" spans="1:8">
      <c r="A945" s="6"/>
      <c r="B945">
        <v>90</v>
      </c>
      <c r="C945">
        <v>63</v>
      </c>
      <c r="D945">
        <v>58</v>
      </c>
      <c r="E945">
        <v>10</v>
      </c>
      <c r="F945">
        <v>590</v>
      </c>
      <c r="G945">
        <v>950</v>
      </c>
      <c r="H945">
        <v>90</v>
      </c>
    </row>
    <row r="946" spans="1:8">
      <c r="A946" s="6"/>
      <c r="B946">
        <v>91</v>
      </c>
      <c r="C946">
        <v>60</v>
      </c>
      <c r="D946">
        <v>55</v>
      </c>
      <c r="E946">
        <v>10</v>
      </c>
      <c r="F946">
        <v>20</v>
      </c>
      <c r="G946">
        <v>380</v>
      </c>
      <c r="H946">
        <v>90</v>
      </c>
    </row>
    <row r="947" spans="1:8">
      <c r="A947" s="6"/>
      <c r="B947">
        <v>92</v>
      </c>
      <c r="C947">
        <v>60</v>
      </c>
      <c r="D947">
        <v>60</v>
      </c>
      <c r="E947">
        <v>10</v>
      </c>
      <c r="F947">
        <v>683</v>
      </c>
      <c r="G947">
        <v>1043</v>
      </c>
      <c r="H947">
        <v>90</v>
      </c>
    </row>
    <row r="948" spans="1:8">
      <c r="A948" s="6"/>
      <c r="B948">
        <v>93</v>
      </c>
      <c r="C948">
        <v>67</v>
      </c>
      <c r="D948">
        <v>85</v>
      </c>
      <c r="E948">
        <v>20</v>
      </c>
      <c r="F948">
        <v>225</v>
      </c>
      <c r="G948">
        <v>585</v>
      </c>
      <c r="H948">
        <v>90</v>
      </c>
    </row>
    <row r="949" spans="1:8">
      <c r="A949" s="6"/>
      <c r="B949">
        <v>94</v>
      </c>
      <c r="C949">
        <v>65</v>
      </c>
      <c r="D949">
        <v>85</v>
      </c>
      <c r="E949">
        <v>40</v>
      </c>
      <c r="F949">
        <v>317</v>
      </c>
      <c r="G949">
        <v>677</v>
      </c>
      <c r="H949">
        <v>90</v>
      </c>
    </row>
    <row r="950" spans="1:8">
      <c r="A950" s="6"/>
      <c r="B950">
        <v>95</v>
      </c>
      <c r="C950">
        <v>65</v>
      </c>
      <c r="D950">
        <v>82</v>
      </c>
      <c r="E950">
        <v>10</v>
      </c>
      <c r="F950">
        <v>131</v>
      </c>
      <c r="G950">
        <v>491</v>
      </c>
      <c r="H950">
        <v>90</v>
      </c>
    </row>
    <row r="951" spans="1:8">
      <c r="A951" s="6"/>
      <c r="B951">
        <v>96</v>
      </c>
      <c r="C951">
        <v>62</v>
      </c>
      <c r="D951">
        <v>80</v>
      </c>
      <c r="E951">
        <v>30</v>
      </c>
      <c r="F951">
        <v>38</v>
      </c>
      <c r="G951">
        <v>398</v>
      </c>
      <c r="H951">
        <v>90</v>
      </c>
    </row>
    <row r="952" spans="1:8">
      <c r="A952" s="6"/>
      <c r="B952">
        <v>97</v>
      </c>
      <c r="C952">
        <v>60</v>
      </c>
      <c r="D952">
        <v>80</v>
      </c>
      <c r="E952">
        <v>10</v>
      </c>
      <c r="F952">
        <v>36</v>
      </c>
      <c r="G952">
        <v>396</v>
      </c>
      <c r="H952">
        <v>90</v>
      </c>
    </row>
    <row r="953" spans="1:8">
      <c r="A953" s="6"/>
      <c r="B953">
        <v>98</v>
      </c>
      <c r="C953">
        <v>60</v>
      </c>
      <c r="D953">
        <v>85</v>
      </c>
      <c r="E953">
        <v>30</v>
      </c>
      <c r="F953">
        <v>412</v>
      </c>
      <c r="G953">
        <v>772</v>
      </c>
      <c r="H953">
        <v>90</v>
      </c>
    </row>
    <row r="954" spans="1:8">
      <c r="A954" s="6"/>
      <c r="B954">
        <v>99</v>
      </c>
      <c r="C954">
        <v>58</v>
      </c>
      <c r="D954">
        <v>75</v>
      </c>
      <c r="E954">
        <v>20</v>
      </c>
      <c r="F954">
        <v>30</v>
      </c>
      <c r="G954">
        <v>390</v>
      </c>
      <c r="H954">
        <v>90</v>
      </c>
    </row>
    <row r="955" spans="1:8">
      <c r="A955" s="6"/>
      <c r="B955">
        <v>100</v>
      </c>
      <c r="C955">
        <v>55</v>
      </c>
      <c r="D955">
        <v>80</v>
      </c>
      <c r="E955">
        <v>10</v>
      </c>
      <c r="F955">
        <v>602</v>
      </c>
      <c r="G955">
        <v>962</v>
      </c>
      <c r="H955">
        <v>90</v>
      </c>
    </row>
    <row r="956" spans="1:8">
      <c r="A956" s="6"/>
      <c r="B956">
        <v>101</v>
      </c>
      <c r="C956">
        <v>55</v>
      </c>
      <c r="D956">
        <v>85</v>
      </c>
      <c r="E956">
        <v>20</v>
      </c>
      <c r="F956">
        <v>507</v>
      </c>
      <c r="G956">
        <v>867</v>
      </c>
      <c r="H956">
        <v>90</v>
      </c>
    </row>
    <row r="960" spans="1:8" ht="17.399999999999999">
      <c r="A960" s="10"/>
    </row>
    <row r="961" spans="1:1" ht="17.399999999999999">
      <c r="A961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845"/>
  <sheetViews>
    <sheetView workbookViewId="0">
      <selection activeCell="L131" sqref="L131"/>
    </sheetView>
  </sheetViews>
  <sheetFormatPr defaultColWidth="11.5546875" defaultRowHeight="14.4"/>
  <sheetData>
    <row r="1" spans="1:8" ht="17.399999999999999">
      <c r="A1" s="1" t="s">
        <v>45</v>
      </c>
    </row>
    <row r="2" spans="1:8">
      <c r="A2" s="3" t="s">
        <v>54</v>
      </c>
      <c r="C2" s="9" t="s">
        <v>12</v>
      </c>
    </row>
    <row r="4" spans="1:8" ht="17.399999999999999">
      <c r="A4" s="7" t="s">
        <v>46</v>
      </c>
    </row>
    <row r="5" spans="1:8">
      <c r="A5" s="4"/>
    </row>
    <row r="6" spans="1:8">
      <c r="A6" s="4"/>
      <c r="B6" t="s">
        <v>32</v>
      </c>
      <c r="C6" t="s">
        <v>26</v>
      </c>
      <c r="D6" t="s">
        <v>27</v>
      </c>
      <c r="E6" t="s">
        <v>28</v>
      </c>
      <c r="F6" t="s">
        <v>29</v>
      </c>
      <c r="G6" t="s">
        <v>30</v>
      </c>
      <c r="H6" t="s">
        <v>31</v>
      </c>
    </row>
    <row r="7" spans="1:8">
      <c r="A7" s="6"/>
      <c r="B7">
        <v>1</v>
      </c>
      <c r="C7">
        <v>40</v>
      </c>
      <c r="D7">
        <v>50</v>
      </c>
      <c r="E7">
        <v>0</v>
      </c>
      <c r="F7">
        <v>0</v>
      </c>
      <c r="G7">
        <v>240</v>
      </c>
      <c r="H7">
        <v>0</v>
      </c>
    </row>
    <row r="8" spans="1:8">
      <c r="A8" s="6"/>
      <c r="B8">
        <v>2</v>
      </c>
      <c r="C8">
        <v>25</v>
      </c>
      <c r="D8">
        <v>85</v>
      </c>
      <c r="E8">
        <v>20</v>
      </c>
      <c r="F8">
        <v>145</v>
      </c>
      <c r="G8">
        <v>175</v>
      </c>
      <c r="H8">
        <v>10</v>
      </c>
    </row>
    <row r="9" spans="1:8">
      <c r="A9" s="6"/>
      <c r="B9">
        <v>3</v>
      </c>
      <c r="C9">
        <v>22</v>
      </c>
      <c r="D9">
        <v>75</v>
      </c>
      <c r="E9">
        <v>30</v>
      </c>
      <c r="F9">
        <v>50</v>
      </c>
      <c r="G9">
        <v>80</v>
      </c>
      <c r="H9">
        <v>10</v>
      </c>
    </row>
    <row r="10" spans="1:8">
      <c r="A10" s="6"/>
      <c r="B10">
        <v>4</v>
      </c>
      <c r="C10">
        <v>22</v>
      </c>
      <c r="D10">
        <v>85</v>
      </c>
      <c r="E10">
        <v>10</v>
      </c>
      <c r="F10">
        <v>109</v>
      </c>
      <c r="G10">
        <v>139</v>
      </c>
      <c r="H10">
        <v>10</v>
      </c>
    </row>
    <row r="11" spans="1:8">
      <c r="A11" s="6"/>
      <c r="B11">
        <v>5</v>
      </c>
      <c r="C11">
        <v>20</v>
      </c>
      <c r="D11">
        <v>80</v>
      </c>
      <c r="E11">
        <v>40</v>
      </c>
      <c r="F11">
        <v>141</v>
      </c>
      <c r="G11">
        <v>171</v>
      </c>
      <c r="H11">
        <v>10</v>
      </c>
    </row>
    <row r="12" spans="1:8">
      <c r="A12" s="6"/>
      <c r="B12">
        <v>6</v>
      </c>
      <c r="C12">
        <v>20</v>
      </c>
      <c r="D12">
        <v>85</v>
      </c>
      <c r="E12">
        <v>20</v>
      </c>
      <c r="F12">
        <v>41</v>
      </c>
      <c r="G12">
        <v>71</v>
      </c>
      <c r="H12">
        <v>10</v>
      </c>
    </row>
    <row r="13" spans="1:8">
      <c r="A13" s="6"/>
      <c r="B13">
        <v>7</v>
      </c>
      <c r="C13">
        <v>18</v>
      </c>
      <c r="D13">
        <v>75</v>
      </c>
      <c r="E13">
        <v>20</v>
      </c>
      <c r="F13">
        <v>95</v>
      </c>
      <c r="G13">
        <v>125</v>
      </c>
      <c r="H13">
        <v>10</v>
      </c>
    </row>
    <row r="14" spans="1:8">
      <c r="A14" s="6"/>
      <c r="B14">
        <v>8</v>
      </c>
      <c r="C14">
        <v>15</v>
      </c>
      <c r="D14">
        <v>75</v>
      </c>
      <c r="E14">
        <v>20</v>
      </c>
      <c r="F14">
        <v>79</v>
      </c>
      <c r="G14">
        <v>109</v>
      </c>
      <c r="H14">
        <v>10</v>
      </c>
    </row>
    <row r="15" spans="1:8">
      <c r="A15" s="6"/>
      <c r="B15">
        <v>9</v>
      </c>
      <c r="C15">
        <v>15</v>
      </c>
      <c r="D15">
        <v>80</v>
      </c>
      <c r="E15">
        <v>10</v>
      </c>
      <c r="F15">
        <v>91</v>
      </c>
      <c r="G15">
        <v>121</v>
      </c>
      <c r="H15">
        <v>10</v>
      </c>
    </row>
    <row r="16" spans="1:8">
      <c r="A16" s="6"/>
      <c r="B16">
        <v>10</v>
      </c>
      <c r="C16">
        <v>10</v>
      </c>
      <c r="D16">
        <v>35</v>
      </c>
      <c r="E16">
        <v>20</v>
      </c>
      <c r="F16">
        <v>91</v>
      </c>
      <c r="G16">
        <v>121</v>
      </c>
      <c r="H16">
        <v>10</v>
      </c>
    </row>
    <row r="17" spans="1:8">
      <c r="A17" s="6"/>
      <c r="B17">
        <v>11</v>
      </c>
      <c r="C17">
        <v>10</v>
      </c>
      <c r="D17">
        <v>40</v>
      </c>
      <c r="E17">
        <v>30</v>
      </c>
      <c r="F17">
        <v>119</v>
      </c>
      <c r="G17">
        <v>149</v>
      </c>
      <c r="H17">
        <v>10</v>
      </c>
    </row>
    <row r="18" spans="1:8">
      <c r="A18" s="6"/>
      <c r="B18">
        <v>12</v>
      </c>
      <c r="C18">
        <v>8</v>
      </c>
      <c r="D18">
        <v>40</v>
      </c>
      <c r="E18">
        <v>40</v>
      </c>
      <c r="F18">
        <v>59</v>
      </c>
      <c r="G18">
        <v>89</v>
      </c>
      <c r="H18">
        <v>10</v>
      </c>
    </row>
    <row r="19" spans="1:8">
      <c r="A19" s="6"/>
      <c r="B19">
        <v>13</v>
      </c>
      <c r="C19">
        <v>8</v>
      </c>
      <c r="D19">
        <v>45</v>
      </c>
      <c r="E19">
        <v>20</v>
      </c>
      <c r="F19">
        <v>64</v>
      </c>
      <c r="G19">
        <v>94</v>
      </c>
      <c r="H19">
        <v>10</v>
      </c>
    </row>
    <row r="20" spans="1:8">
      <c r="A20" s="6"/>
      <c r="B20">
        <v>14</v>
      </c>
      <c r="C20">
        <v>5</v>
      </c>
      <c r="D20">
        <v>35</v>
      </c>
      <c r="E20">
        <v>10</v>
      </c>
      <c r="F20">
        <v>142</v>
      </c>
      <c r="G20">
        <v>172</v>
      </c>
      <c r="H20">
        <v>10</v>
      </c>
    </row>
    <row r="21" spans="1:8">
      <c r="A21" s="6"/>
      <c r="B21">
        <v>15</v>
      </c>
      <c r="C21">
        <v>5</v>
      </c>
      <c r="D21">
        <v>45</v>
      </c>
      <c r="E21">
        <v>10</v>
      </c>
      <c r="F21">
        <v>35</v>
      </c>
      <c r="G21">
        <v>65</v>
      </c>
      <c r="H21">
        <v>10</v>
      </c>
    </row>
    <row r="22" spans="1:8">
      <c r="A22" s="6"/>
      <c r="B22">
        <v>16</v>
      </c>
      <c r="C22">
        <v>2</v>
      </c>
      <c r="D22">
        <v>40</v>
      </c>
      <c r="E22">
        <v>20</v>
      </c>
      <c r="F22">
        <v>58</v>
      </c>
      <c r="G22">
        <v>88</v>
      </c>
      <c r="H22">
        <v>10</v>
      </c>
    </row>
    <row r="23" spans="1:8">
      <c r="A23" s="6"/>
      <c r="B23">
        <v>17</v>
      </c>
      <c r="C23">
        <v>0</v>
      </c>
      <c r="D23">
        <v>40</v>
      </c>
      <c r="E23">
        <v>20</v>
      </c>
      <c r="F23">
        <v>72</v>
      </c>
      <c r="G23">
        <v>102</v>
      </c>
      <c r="H23">
        <v>10</v>
      </c>
    </row>
    <row r="24" spans="1:8">
      <c r="A24" s="6"/>
      <c r="B24">
        <v>18</v>
      </c>
      <c r="C24">
        <v>0</v>
      </c>
      <c r="D24">
        <v>45</v>
      </c>
      <c r="E24">
        <v>20</v>
      </c>
      <c r="F24">
        <v>149</v>
      </c>
      <c r="G24">
        <v>179</v>
      </c>
      <c r="H24">
        <v>10</v>
      </c>
    </row>
    <row r="25" spans="1:8">
      <c r="A25" s="6"/>
      <c r="B25">
        <v>19</v>
      </c>
      <c r="C25">
        <v>44</v>
      </c>
      <c r="D25">
        <v>5</v>
      </c>
      <c r="E25">
        <v>20</v>
      </c>
      <c r="F25">
        <v>87</v>
      </c>
      <c r="G25">
        <v>117</v>
      </c>
      <c r="H25">
        <v>10</v>
      </c>
    </row>
    <row r="26" spans="1:8">
      <c r="A26" s="6"/>
      <c r="B26">
        <v>20</v>
      </c>
      <c r="C26">
        <v>42</v>
      </c>
      <c r="D26">
        <v>10</v>
      </c>
      <c r="E26">
        <v>40</v>
      </c>
      <c r="F26">
        <v>72</v>
      </c>
      <c r="G26">
        <v>102</v>
      </c>
      <c r="H26">
        <v>10</v>
      </c>
    </row>
    <row r="27" spans="1:8">
      <c r="A27" s="6"/>
      <c r="B27">
        <v>21</v>
      </c>
      <c r="C27">
        <v>42</v>
      </c>
      <c r="D27">
        <v>15</v>
      </c>
      <c r="E27">
        <v>10</v>
      </c>
      <c r="F27">
        <v>122</v>
      </c>
      <c r="G27">
        <v>152</v>
      </c>
      <c r="H27">
        <v>10</v>
      </c>
    </row>
    <row r="28" spans="1:8">
      <c r="A28" s="6"/>
      <c r="B28">
        <v>22</v>
      </c>
      <c r="C28">
        <v>40</v>
      </c>
      <c r="D28">
        <v>5</v>
      </c>
      <c r="E28">
        <v>10</v>
      </c>
      <c r="F28">
        <v>67</v>
      </c>
      <c r="G28">
        <v>97</v>
      </c>
      <c r="H28">
        <v>10</v>
      </c>
    </row>
    <row r="29" spans="1:8">
      <c r="A29" s="6"/>
      <c r="B29">
        <v>23</v>
      </c>
      <c r="C29">
        <v>40</v>
      </c>
      <c r="D29">
        <v>15</v>
      </c>
      <c r="E29">
        <v>40</v>
      </c>
      <c r="F29">
        <v>92</v>
      </c>
      <c r="G29">
        <v>122</v>
      </c>
      <c r="H29">
        <v>10</v>
      </c>
    </row>
    <row r="30" spans="1:8">
      <c r="A30" s="6"/>
      <c r="B30">
        <v>24</v>
      </c>
      <c r="C30">
        <v>38</v>
      </c>
      <c r="D30">
        <v>5</v>
      </c>
      <c r="E30">
        <v>30</v>
      </c>
      <c r="F30">
        <v>65</v>
      </c>
      <c r="G30">
        <v>95</v>
      </c>
      <c r="H30">
        <v>10</v>
      </c>
    </row>
    <row r="31" spans="1:8">
      <c r="A31" s="6"/>
      <c r="B31">
        <v>25</v>
      </c>
      <c r="C31">
        <v>38</v>
      </c>
      <c r="D31">
        <v>15</v>
      </c>
      <c r="E31">
        <v>10</v>
      </c>
      <c r="F31">
        <v>148</v>
      </c>
      <c r="G31">
        <v>178</v>
      </c>
      <c r="H31">
        <v>10</v>
      </c>
    </row>
    <row r="32" spans="1:8">
      <c r="A32" s="6"/>
      <c r="B32">
        <v>26</v>
      </c>
      <c r="C32">
        <v>35</v>
      </c>
      <c r="D32">
        <v>5</v>
      </c>
      <c r="E32">
        <v>20</v>
      </c>
      <c r="F32">
        <v>154</v>
      </c>
      <c r="G32">
        <v>184</v>
      </c>
      <c r="H32">
        <v>10</v>
      </c>
    </row>
    <row r="33" spans="1:8">
      <c r="A33" s="6"/>
      <c r="B33">
        <v>27</v>
      </c>
      <c r="C33">
        <v>95</v>
      </c>
      <c r="D33">
        <v>30</v>
      </c>
      <c r="E33">
        <v>30</v>
      </c>
      <c r="F33">
        <v>115</v>
      </c>
      <c r="G33">
        <v>145</v>
      </c>
      <c r="H33">
        <v>10</v>
      </c>
    </row>
    <row r="34" spans="1:8">
      <c r="A34" s="6"/>
      <c r="B34">
        <v>28</v>
      </c>
      <c r="C34">
        <v>95</v>
      </c>
      <c r="D34">
        <v>35</v>
      </c>
      <c r="E34">
        <v>20</v>
      </c>
      <c r="F34">
        <v>62</v>
      </c>
      <c r="G34">
        <v>92</v>
      </c>
      <c r="H34">
        <v>10</v>
      </c>
    </row>
    <row r="35" spans="1:8">
      <c r="A35" s="6"/>
      <c r="B35">
        <v>29</v>
      </c>
      <c r="C35">
        <v>92</v>
      </c>
      <c r="D35">
        <v>30</v>
      </c>
      <c r="E35">
        <v>10</v>
      </c>
      <c r="F35">
        <v>62</v>
      </c>
      <c r="G35">
        <v>92</v>
      </c>
      <c r="H35">
        <v>10</v>
      </c>
    </row>
    <row r="36" spans="1:8">
      <c r="A36" s="6"/>
      <c r="B36">
        <v>30</v>
      </c>
      <c r="C36">
        <v>90</v>
      </c>
      <c r="D36">
        <v>35</v>
      </c>
      <c r="E36">
        <v>10</v>
      </c>
      <c r="F36">
        <v>67</v>
      </c>
      <c r="G36">
        <v>97</v>
      </c>
      <c r="H36">
        <v>10</v>
      </c>
    </row>
    <row r="37" spans="1:8">
      <c r="A37" s="6"/>
      <c r="B37">
        <v>31</v>
      </c>
      <c r="C37">
        <v>88</v>
      </c>
      <c r="D37">
        <v>30</v>
      </c>
      <c r="E37">
        <v>10</v>
      </c>
      <c r="F37">
        <v>74</v>
      </c>
      <c r="G37">
        <v>104</v>
      </c>
      <c r="H37">
        <v>10</v>
      </c>
    </row>
    <row r="38" spans="1:8">
      <c r="A38" s="6"/>
      <c r="B38">
        <v>32</v>
      </c>
      <c r="C38">
        <v>88</v>
      </c>
      <c r="D38">
        <v>35</v>
      </c>
      <c r="E38">
        <v>20</v>
      </c>
      <c r="F38">
        <v>61</v>
      </c>
      <c r="G38">
        <v>91</v>
      </c>
      <c r="H38">
        <v>10</v>
      </c>
    </row>
    <row r="39" spans="1:8">
      <c r="A39" s="6"/>
      <c r="B39">
        <v>33</v>
      </c>
      <c r="C39">
        <v>87</v>
      </c>
      <c r="D39">
        <v>30</v>
      </c>
      <c r="E39">
        <v>10</v>
      </c>
      <c r="F39">
        <v>131</v>
      </c>
      <c r="G39">
        <v>161</v>
      </c>
      <c r="H39">
        <v>10</v>
      </c>
    </row>
    <row r="40" spans="1:8">
      <c r="A40" s="6"/>
      <c r="B40">
        <v>34</v>
      </c>
      <c r="C40">
        <v>85</v>
      </c>
      <c r="D40">
        <v>25</v>
      </c>
      <c r="E40">
        <v>10</v>
      </c>
      <c r="F40">
        <v>51</v>
      </c>
      <c r="G40">
        <v>81</v>
      </c>
      <c r="H40">
        <v>10</v>
      </c>
    </row>
    <row r="41" spans="1:8">
      <c r="A41" s="6"/>
      <c r="B41">
        <v>35</v>
      </c>
      <c r="C41">
        <v>85</v>
      </c>
      <c r="D41">
        <v>35</v>
      </c>
      <c r="E41">
        <v>30</v>
      </c>
      <c r="F41">
        <v>111</v>
      </c>
      <c r="G41">
        <v>141</v>
      </c>
      <c r="H41">
        <v>10</v>
      </c>
    </row>
    <row r="42" spans="1:8">
      <c r="A42" s="6"/>
      <c r="B42">
        <v>36</v>
      </c>
      <c r="C42">
        <v>67</v>
      </c>
      <c r="D42">
        <v>85</v>
      </c>
      <c r="E42">
        <v>20</v>
      </c>
      <c r="F42">
        <v>139</v>
      </c>
      <c r="G42">
        <v>169</v>
      </c>
      <c r="H42">
        <v>10</v>
      </c>
    </row>
    <row r="43" spans="1:8">
      <c r="A43" s="6"/>
      <c r="B43">
        <v>37</v>
      </c>
      <c r="C43">
        <v>65</v>
      </c>
      <c r="D43">
        <v>85</v>
      </c>
      <c r="E43">
        <v>40</v>
      </c>
      <c r="F43">
        <v>43</v>
      </c>
      <c r="G43">
        <v>73</v>
      </c>
      <c r="H43">
        <v>10</v>
      </c>
    </row>
    <row r="44" spans="1:8">
      <c r="A44" s="6"/>
      <c r="B44">
        <v>38</v>
      </c>
      <c r="C44">
        <v>65</v>
      </c>
      <c r="D44">
        <v>82</v>
      </c>
      <c r="E44">
        <v>10</v>
      </c>
      <c r="F44">
        <v>124</v>
      </c>
      <c r="G44">
        <v>154</v>
      </c>
      <c r="H44">
        <v>10</v>
      </c>
    </row>
    <row r="45" spans="1:8">
      <c r="A45" s="6"/>
      <c r="B45">
        <v>39</v>
      </c>
      <c r="C45">
        <v>62</v>
      </c>
      <c r="D45">
        <v>80</v>
      </c>
      <c r="E45">
        <v>30</v>
      </c>
      <c r="F45">
        <v>75</v>
      </c>
      <c r="G45">
        <v>105</v>
      </c>
      <c r="H45">
        <v>10</v>
      </c>
    </row>
    <row r="46" spans="1:8">
      <c r="A46" s="6"/>
      <c r="B46">
        <v>40</v>
      </c>
      <c r="C46">
        <v>60</v>
      </c>
      <c r="D46">
        <v>80</v>
      </c>
      <c r="E46">
        <v>10</v>
      </c>
      <c r="F46">
        <v>37</v>
      </c>
      <c r="G46">
        <v>67</v>
      </c>
      <c r="H46">
        <v>10</v>
      </c>
    </row>
    <row r="47" spans="1:8">
      <c r="A47" s="6"/>
      <c r="B47">
        <v>41</v>
      </c>
      <c r="C47">
        <v>60</v>
      </c>
      <c r="D47">
        <v>85</v>
      </c>
      <c r="E47">
        <v>30</v>
      </c>
      <c r="F47">
        <v>85</v>
      </c>
      <c r="G47">
        <v>115</v>
      </c>
      <c r="H47">
        <v>10</v>
      </c>
    </row>
    <row r="48" spans="1:8">
      <c r="A48" s="6"/>
      <c r="B48">
        <v>42</v>
      </c>
      <c r="C48">
        <v>58</v>
      </c>
      <c r="D48">
        <v>75</v>
      </c>
      <c r="E48">
        <v>20</v>
      </c>
      <c r="F48">
        <v>92</v>
      </c>
      <c r="G48">
        <v>122</v>
      </c>
      <c r="H48">
        <v>10</v>
      </c>
    </row>
    <row r="49" spans="1:8">
      <c r="A49" s="6"/>
      <c r="B49">
        <v>43</v>
      </c>
      <c r="C49">
        <v>55</v>
      </c>
      <c r="D49">
        <v>80</v>
      </c>
      <c r="E49">
        <v>10</v>
      </c>
      <c r="F49">
        <v>33</v>
      </c>
      <c r="G49">
        <v>63</v>
      </c>
      <c r="H49">
        <v>10</v>
      </c>
    </row>
    <row r="50" spans="1:8">
      <c r="A50" s="6"/>
      <c r="B50">
        <v>44</v>
      </c>
      <c r="C50">
        <v>55</v>
      </c>
      <c r="D50">
        <v>85</v>
      </c>
      <c r="E50">
        <v>20</v>
      </c>
      <c r="F50">
        <v>128</v>
      </c>
      <c r="G50">
        <v>158</v>
      </c>
      <c r="H50">
        <v>10</v>
      </c>
    </row>
    <row r="51" spans="1:8">
      <c r="A51" s="6"/>
      <c r="B51">
        <v>45</v>
      </c>
      <c r="C51">
        <v>55</v>
      </c>
      <c r="D51">
        <v>82</v>
      </c>
      <c r="E51">
        <v>10</v>
      </c>
      <c r="F51">
        <v>64</v>
      </c>
      <c r="G51">
        <v>94</v>
      </c>
      <c r="H51">
        <v>10</v>
      </c>
    </row>
    <row r="52" spans="1:8">
      <c r="A52" s="6"/>
      <c r="B52">
        <v>46</v>
      </c>
      <c r="C52">
        <v>20</v>
      </c>
      <c r="D52">
        <v>82</v>
      </c>
      <c r="E52">
        <v>10</v>
      </c>
      <c r="F52">
        <v>37</v>
      </c>
      <c r="G52">
        <v>67</v>
      </c>
      <c r="H52">
        <v>10</v>
      </c>
    </row>
    <row r="53" spans="1:8">
      <c r="A53" s="6"/>
      <c r="B53">
        <v>47</v>
      </c>
      <c r="C53">
        <v>18</v>
      </c>
      <c r="D53">
        <v>80</v>
      </c>
      <c r="E53">
        <v>10</v>
      </c>
      <c r="F53">
        <v>113</v>
      </c>
      <c r="G53">
        <v>143</v>
      </c>
      <c r="H53">
        <v>10</v>
      </c>
    </row>
    <row r="54" spans="1:8">
      <c r="A54" s="6"/>
      <c r="B54">
        <v>48</v>
      </c>
      <c r="C54">
        <v>2</v>
      </c>
      <c r="D54">
        <v>45</v>
      </c>
      <c r="E54">
        <v>10</v>
      </c>
      <c r="F54">
        <v>45</v>
      </c>
      <c r="G54">
        <v>75</v>
      </c>
      <c r="H54">
        <v>10</v>
      </c>
    </row>
    <row r="55" spans="1:8">
      <c r="A55" s="6"/>
      <c r="B55">
        <v>49</v>
      </c>
      <c r="C55">
        <v>42</v>
      </c>
      <c r="D55">
        <v>5</v>
      </c>
      <c r="E55">
        <v>10</v>
      </c>
      <c r="F55">
        <v>151</v>
      </c>
      <c r="G55">
        <v>181</v>
      </c>
      <c r="H55">
        <v>10</v>
      </c>
    </row>
    <row r="56" spans="1:8">
      <c r="A56" s="6"/>
      <c r="B56">
        <v>50</v>
      </c>
      <c r="C56">
        <v>42</v>
      </c>
      <c r="D56">
        <v>12</v>
      </c>
      <c r="E56">
        <v>10</v>
      </c>
      <c r="F56">
        <v>104</v>
      </c>
      <c r="G56">
        <v>134</v>
      </c>
      <c r="H56">
        <v>10</v>
      </c>
    </row>
    <row r="57" spans="1:8">
      <c r="A57" s="6"/>
      <c r="B57">
        <v>51</v>
      </c>
      <c r="C57">
        <v>72</v>
      </c>
      <c r="D57">
        <v>35</v>
      </c>
      <c r="E57">
        <v>30</v>
      </c>
      <c r="F57">
        <v>116</v>
      </c>
      <c r="G57">
        <v>146</v>
      </c>
      <c r="H57">
        <v>10</v>
      </c>
    </row>
    <row r="58" spans="1:8">
      <c r="A58" s="6"/>
      <c r="B58">
        <v>52</v>
      </c>
      <c r="C58">
        <v>55</v>
      </c>
      <c r="D58">
        <v>20</v>
      </c>
      <c r="E58">
        <v>19</v>
      </c>
      <c r="F58">
        <v>83</v>
      </c>
      <c r="G58">
        <v>113</v>
      </c>
      <c r="H58">
        <v>10</v>
      </c>
    </row>
    <row r="59" spans="1:8">
      <c r="A59" s="6"/>
      <c r="B59">
        <v>53</v>
      </c>
      <c r="C59">
        <v>25</v>
      </c>
      <c r="D59">
        <v>30</v>
      </c>
      <c r="E59">
        <v>3</v>
      </c>
      <c r="F59">
        <v>52</v>
      </c>
      <c r="G59">
        <v>82</v>
      </c>
      <c r="H59">
        <v>10</v>
      </c>
    </row>
    <row r="60" spans="1:8">
      <c r="A60" s="6"/>
      <c r="B60">
        <v>54</v>
      </c>
      <c r="C60">
        <v>20</v>
      </c>
      <c r="D60">
        <v>50</v>
      </c>
      <c r="E60">
        <v>5</v>
      </c>
      <c r="F60">
        <v>91</v>
      </c>
      <c r="G60">
        <v>121</v>
      </c>
      <c r="H60">
        <v>10</v>
      </c>
    </row>
    <row r="61" spans="1:8">
      <c r="A61" s="6"/>
      <c r="B61">
        <v>55</v>
      </c>
      <c r="C61">
        <v>55</v>
      </c>
      <c r="D61">
        <v>60</v>
      </c>
      <c r="E61">
        <v>16</v>
      </c>
      <c r="F61">
        <v>139</v>
      </c>
      <c r="G61">
        <v>169</v>
      </c>
      <c r="H61">
        <v>10</v>
      </c>
    </row>
    <row r="62" spans="1:8">
      <c r="A62" s="6"/>
      <c r="B62">
        <v>56</v>
      </c>
      <c r="C62">
        <v>30</v>
      </c>
      <c r="D62">
        <v>60</v>
      </c>
      <c r="E62">
        <v>16</v>
      </c>
      <c r="F62">
        <v>140</v>
      </c>
      <c r="G62">
        <v>170</v>
      </c>
      <c r="H62">
        <v>10</v>
      </c>
    </row>
    <row r="63" spans="1:8">
      <c r="A63" s="6"/>
      <c r="B63">
        <v>57</v>
      </c>
      <c r="C63">
        <v>50</v>
      </c>
      <c r="D63">
        <v>35</v>
      </c>
      <c r="E63">
        <v>19</v>
      </c>
      <c r="F63">
        <v>130</v>
      </c>
      <c r="G63">
        <v>160</v>
      </c>
      <c r="H63">
        <v>10</v>
      </c>
    </row>
    <row r="64" spans="1:8">
      <c r="A64" s="6"/>
      <c r="B64">
        <v>58</v>
      </c>
      <c r="C64">
        <v>30</v>
      </c>
      <c r="D64">
        <v>25</v>
      </c>
      <c r="E64">
        <v>23</v>
      </c>
      <c r="F64">
        <v>96</v>
      </c>
      <c r="G64">
        <v>126</v>
      </c>
      <c r="H64">
        <v>10</v>
      </c>
    </row>
    <row r="65" spans="1:8">
      <c r="A65" s="6"/>
      <c r="B65">
        <v>59</v>
      </c>
      <c r="C65">
        <v>15</v>
      </c>
      <c r="D65">
        <v>10</v>
      </c>
      <c r="E65">
        <v>20</v>
      </c>
      <c r="F65">
        <v>152</v>
      </c>
      <c r="G65">
        <v>182</v>
      </c>
      <c r="H65">
        <v>10</v>
      </c>
    </row>
    <row r="66" spans="1:8">
      <c r="A66" s="6"/>
      <c r="B66">
        <v>60</v>
      </c>
      <c r="C66">
        <v>10</v>
      </c>
      <c r="D66">
        <v>20</v>
      </c>
      <c r="E66">
        <v>19</v>
      </c>
      <c r="F66">
        <v>42</v>
      </c>
      <c r="G66">
        <v>72</v>
      </c>
      <c r="H66">
        <v>10</v>
      </c>
    </row>
    <row r="67" spans="1:8">
      <c r="A67" s="6"/>
      <c r="B67">
        <v>61</v>
      </c>
      <c r="C67">
        <v>15</v>
      </c>
      <c r="D67">
        <v>60</v>
      </c>
      <c r="E67">
        <v>17</v>
      </c>
      <c r="F67">
        <v>155</v>
      </c>
      <c r="G67">
        <v>185</v>
      </c>
      <c r="H67">
        <v>10</v>
      </c>
    </row>
    <row r="68" spans="1:8">
      <c r="A68" s="6"/>
      <c r="B68">
        <v>62</v>
      </c>
      <c r="C68">
        <v>45</v>
      </c>
      <c r="D68">
        <v>65</v>
      </c>
      <c r="E68">
        <v>9</v>
      </c>
      <c r="F68">
        <v>66</v>
      </c>
      <c r="G68">
        <v>96</v>
      </c>
      <c r="H68">
        <v>10</v>
      </c>
    </row>
    <row r="69" spans="1:8">
      <c r="A69" s="6"/>
      <c r="B69">
        <v>63</v>
      </c>
      <c r="C69">
        <v>65</v>
      </c>
      <c r="D69">
        <v>35</v>
      </c>
      <c r="E69">
        <v>3</v>
      </c>
      <c r="F69">
        <v>52</v>
      </c>
      <c r="G69">
        <v>82</v>
      </c>
      <c r="H69">
        <v>10</v>
      </c>
    </row>
    <row r="70" spans="1:8">
      <c r="A70" s="6"/>
      <c r="B70">
        <v>64</v>
      </c>
      <c r="C70">
        <v>65</v>
      </c>
      <c r="D70">
        <v>20</v>
      </c>
      <c r="E70">
        <v>6</v>
      </c>
      <c r="F70">
        <v>39</v>
      </c>
      <c r="G70">
        <v>69</v>
      </c>
      <c r="H70">
        <v>10</v>
      </c>
    </row>
    <row r="71" spans="1:8">
      <c r="A71" s="6"/>
      <c r="B71">
        <v>65</v>
      </c>
      <c r="C71">
        <v>45</v>
      </c>
      <c r="D71">
        <v>30</v>
      </c>
      <c r="E71">
        <v>17</v>
      </c>
      <c r="F71">
        <v>53</v>
      </c>
      <c r="G71">
        <v>83</v>
      </c>
      <c r="H71">
        <v>10</v>
      </c>
    </row>
    <row r="72" spans="1:8">
      <c r="A72" s="6"/>
      <c r="B72">
        <v>66</v>
      </c>
      <c r="C72">
        <v>35</v>
      </c>
      <c r="D72">
        <v>40</v>
      </c>
      <c r="E72">
        <v>16</v>
      </c>
      <c r="F72">
        <v>11</v>
      </c>
      <c r="G72">
        <v>41</v>
      </c>
      <c r="H72">
        <v>10</v>
      </c>
    </row>
    <row r="73" spans="1:8">
      <c r="A73" s="6"/>
      <c r="B73">
        <v>67</v>
      </c>
      <c r="C73">
        <v>41</v>
      </c>
      <c r="D73">
        <v>37</v>
      </c>
      <c r="E73">
        <v>16</v>
      </c>
      <c r="F73">
        <v>133</v>
      </c>
      <c r="G73">
        <v>163</v>
      </c>
      <c r="H73">
        <v>10</v>
      </c>
    </row>
    <row r="74" spans="1:8">
      <c r="A74" s="6"/>
      <c r="B74">
        <v>68</v>
      </c>
      <c r="C74">
        <v>64</v>
      </c>
      <c r="D74">
        <v>42</v>
      </c>
      <c r="E74">
        <v>9</v>
      </c>
      <c r="F74">
        <v>70</v>
      </c>
      <c r="G74">
        <v>100</v>
      </c>
      <c r="H74">
        <v>10</v>
      </c>
    </row>
    <row r="75" spans="1:8">
      <c r="A75" s="6"/>
      <c r="B75">
        <v>69</v>
      </c>
      <c r="C75">
        <v>40</v>
      </c>
      <c r="D75">
        <v>60</v>
      </c>
      <c r="E75">
        <v>21</v>
      </c>
      <c r="F75">
        <v>144</v>
      </c>
      <c r="G75">
        <v>174</v>
      </c>
      <c r="H75">
        <v>10</v>
      </c>
    </row>
    <row r="76" spans="1:8">
      <c r="A76" s="6"/>
      <c r="B76">
        <v>70</v>
      </c>
      <c r="C76">
        <v>31</v>
      </c>
      <c r="D76">
        <v>52</v>
      </c>
      <c r="E76">
        <v>27</v>
      </c>
      <c r="F76">
        <v>41</v>
      </c>
      <c r="G76">
        <v>71</v>
      </c>
      <c r="H76">
        <v>10</v>
      </c>
    </row>
    <row r="77" spans="1:8">
      <c r="A77" s="6"/>
      <c r="B77">
        <v>71</v>
      </c>
      <c r="C77">
        <v>35</v>
      </c>
      <c r="D77">
        <v>69</v>
      </c>
      <c r="E77">
        <v>23</v>
      </c>
      <c r="F77">
        <v>180</v>
      </c>
      <c r="G77">
        <v>210</v>
      </c>
      <c r="H77">
        <v>10</v>
      </c>
    </row>
    <row r="78" spans="1:8">
      <c r="A78" s="6"/>
      <c r="B78">
        <v>72</v>
      </c>
      <c r="C78">
        <v>65</v>
      </c>
      <c r="D78">
        <v>55</v>
      </c>
      <c r="E78">
        <v>14</v>
      </c>
      <c r="F78">
        <v>65</v>
      </c>
      <c r="G78">
        <v>95</v>
      </c>
      <c r="H78">
        <v>10</v>
      </c>
    </row>
    <row r="79" spans="1:8">
      <c r="A79" s="6"/>
      <c r="B79">
        <v>73</v>
      </c>
      <c r="C79">
        <v>63</v>
      </c>
      <c r="D79">
        <v>65</v>
      </c>
      <c r="E79">
        <v>8</v>
      </c>
      <c r="F79">
        <v>30</v>
      </c>
      <c r="G79">
        <v>60</v>
      </c>
      <c r="H79">
        <v>10</v>
      </c>
    </row>
    <row r="80" spans="1:8">
      <c r="A80" s="6"/>
      <c r="B80">
        <v>74</v>
      </c>
      <c r="C80">
        <v>2</v>
      </c>
      <c r="D80">
        <v>60</v>
      </c>
      <c r="E80">
        <v>5</v>
      </c>
      <c r="F80">
        <v>77</v>
      </c>
      <c r="G80">
        <v>107</v>
      </c>
      <c r="H80">
        <v>10</v>
      </c>
    </row>
    <row r="81" spans="1:8">
      <c r="A81" s="6"/>
      <c r="B81">
        <v>75</v>
      </c>
      <c r="C81">
        <v>20</v>
      </c>
      <c r="D81">
        <v>20</v>
      </c>
      <c r="E81">
        <v>8</v>
      </c>
      <c r="F81">
        <v>141</v>
      </c>
      <c r="G81">
        <v>171</v>
      </c>
      <c r="H81">
        <v>10</v>
      </c>
    </row>
    <row r="82" spans="1:8">
      <c r="A82" s="6"/>
      <c r="B82">
        <v>76</v>
      </c>
      <c r="C82">
        <v>5</v>
      </c>
      <c r="D82">
        <v>5</v>
      </c>
      <c r="E82">
        <v>16</v>
      </c>
      <c r="F82">
        <v>74</v>
      </c>
      <c r="G82">
        <v>104</v>
      </c>
      <c r="H82">
        <v>10</v>
      </c>
    </row>
    <row r="83" spans="1:8">
      <c r="A83" s="6"/>
      <c r="B83">
        <v>77</v>
      </c>
      <c r="C83">
        <v>60</v>
      </c>
      <c r="D83">
        <v>12</v>
      </c>
      <c r="E83">
        <v>31</v>
      </c>
      <c r="F83">
        <v>75</v>
      </c>
      <c r="G83">
        <v>105</v>
      </c>
      <c r="H83">
        <v>10</v>
      </c>
    </row>
    <row r="84" spans="1:8">
      <c r="A84" s="6"/>
      <c r="B84">
        <v>78</v>
      </c>
      <c r="C84">
        <v>23</v>
      </c>
      <c r="D84">
        <v>3</v>
      </c>
      <c r="E84">
        <v>7</v>
      </c>
      <c r="F84">
        <v>150</v>
      </c>
      <c r="G84">
        <v>180</v>
      </c>
      <c r="H84">
        <v>10</v>
      </c>
    </row>
    <row r="85" spans="1:8">
      <c r="A85" s="6"/>
      <c r="B85">
        <v>79</v>
      </c>
      <c r="C85">
        <v>8</v>
      </c>
      <c r="D85">
        <v>56</v>
      </c>
      <c r="E85">
        <v>27</v>
      </c>
      <c r="F85">
        <v>90</v>
      </c>
      <c r="G85">
        <v>120</v>
      </c>
      <c r="H85">
        <v>10</v>
      </c>
    </row>
    <row r="86" spans="1:8">
      <c r="A86" s="6"/>
      <c r="B86">
        <v>80</v>
      </c>
      <c r="C86">
        <v>6</v>
      </c>
      <c r="D86">
        <v>68</v>
      </c>
      <c r="E86">
        <v>30</v>
      </c>
      <c r="F86">
        <v>89</v>
      </c>
      <c r="G86">
        <v>119</v>
      </c>
      <c r="H86">
        <v>10</v>
      </c>
    </row>
    <row r="87" spans="1:8">
      <c r="A87" s="6"/>
      <c r="B87">
        <v>81</v>
      </c>
      <c r="C87">
        <v>47</v>
      </c>
      <c r="D87">
        <v>47</v>
      </c>
      <c r="E87">
        <v>13</v>
      </c>
      <c r="F87">
        <v>192</v>
      </c>
      <c r="G87">
        <v>222</v>
      </c>
      <c r="H87">
        <v>10</v>
      </c>
    </row>
    <row r="88" spans="1:8">
      <c r="A88" s="6"/>
      <c r="B88">
        <v>82</v>
      </c>
      <c r="C88">
        <v>49</v>
      </c>
      <c r="D88">
        <v>58</v>
      </c>
      <c r="E88">
        <v>10</v>
      </c>
      <c r="F88">
        <v>86</v>
      </c>
      <c r="G88">
        <v>116</v>
      </c>
      <c r="H88">
        <v>10</v>
      </c>
    </row>
    <row r="89" spans="1:8">
      <c r="A89" s="6"/>
      <c r="B89">
        <v>83</v>
      </c>
      <c r="C89">
        <v>27</v>
      </c>
      <c r="D89">
        <v>43</v>
      </c>
      <c r="E89">
        <v>9</v>
      </c>
      <c r="F89">
        <v>42</v>
      </c>
      <c r="G89">
        <v>72</v>
      </c>
      <c r="H89">
        <v>10</v>
      </c>
    </row>
    <row r="90" spans="1:8">
      <c r="A90" s="6"/>
      <c r="B90">
        <v>84</v>
      </c>
      <c r="C90">
        <v>37</v>
      </c>
      <c r="D90">
        <v>31</v>
      </c>
      <c r="E90">
        <v>14</v>
      </c>
      <c r="F90">
        <v>35</v>
      </c>
      <c r="G90">
        <v>65</v>
      </c>
      <c r="H90">
        <v>10</v>
      </c>
    </row>
    <row r="91" spans="1:8">
      <c r="A91" s="6"/>
      <c r="B91">
        <v>85</v>
      </c>
      <c r="C91">
        <v>57</v>
      </c>
      <c r="D91">
        <v>29</v>
      </c>
      <c r="E91">
        <v>18</v>
      </c>
      <c r="F91">
        <v>96</v>
      </c>
      <c r="G91">
        <v>126</v>
      </c>
      <c r="H91">
        <v>10</v>
      </c>
    </row>
    <row r="92" spans="1:8">
      <c r="A92" s="6"/>
      <c r="B92">
        <v>86</v>
      </c>
      <c r="C92">
        <v>63</v>
      </c>
      <c r="D92">
        <v>23</v>
      </c>
      <c r="E92">
        <v>2</v>
      </c>
      <c r="F92">
        <v>87</v>
      </c>
      <c r="G92">
        <v>117</v>
      </c>
      <c r="H92">
        <v>10</v>
      </c>
    </row>
    <row r="93" spans="1:8">
      <c r="A93" s="6"/>
      <c r="B93">
        <v>87</v>
      </c>
      <c r="C93">
        <v>21</v>
      </c>
      <c r="D93">
        <v>24</v>
      </c>
      <c r="E93">
        <v>28</v>
      </c>
      <c r="F93">
        <v>87</v>
      </c>
      <c r="G93">
        <v>117</v>
      </c>
      <c r="H93">
        <v>10</v>
      </c>
    </row>
    <row r="94" spans="1:8">
      <c r="A94" s="6"/>
      <c r="B94">
        <v>88</v>
      </c>
      <c r="C94">
        <v>12</v>
      </c>
      <c r="D94">
        <v>24</v>
      </c>
      <c r="E94">
        <v>13</v>
      </c>
      <c r="F94">
        <v>90</v>
      </c>
      <c r="G94">
        <v>120</v>
      </c>
      <c r="H94">
        <v>10</v>
      </c>
    </row>
    <row r="95" spans="1:8">
      <c r="A95" s="6"/>
      <c r="B95">
        <v>89</v>
      </c>
      <c r="C95">
        <v>24</v>
      </c>
      <c r="D95">
        <v>58</v>
      </c>
      <c r="E95">
        <v>19</v>
      </c>
      <c r="F95">
        <v>67</v>
      </c>
      <c r="G95">
        <v>97</v>
      </c>
      <c r="H95">
        <v>10</v>
      </c>
    </row>
    <row r="96" spans="1:8">
      <c r="A96" s="6"/>
      <c r="B96">
        <v>90</v>
      </c>
      <c r="C96">
        <v>67</v>
      </c>
      <c r="D96">
        <v>5</v>
      </c>
      <c r="E96">
        <v>25</v>
      </c>
      <c r="F96">
        <v>144</v>
      </c>
      <c r="G96">
        <v>174</v>
      </c>
      <c r="H96">
        <v>10</v>
      </c>
    </row>
    <row r="97" spans="1:8">
      <c r="A97" s="6"/>
      <c r="B97">
        <v>91</v>
      </c>
      <c r="C97">
        <v>37</v>
      </c>
      <c r="D97">
        <v>47</v>
      </c>
      <c r="E97">
        <v>6</v>
      </c>
      <c r="F97">
        <v>86</v>
      </c>
      <c r="G97">
        <v>116</v>
      </c>
      <c r="H97">
        <v>10</v>
      </c>
    </row>
    <row r="98" spans="1:8">
      <c r="A98" s="6"/>
      <c r="B98">
        <v>92</v>
      </c>
      <c r="C98">
        <v>49</v>
      </c>
      <c r="D98">
        <v>42</v>
      </c>
      <c r="E98">
        <v>13</v>
      </c>
      <c r="F98">
        <v>167</v>
      </c>
      <c r="G98">
        <v>197</v>
      </c>
      <c r="H98">
        <v>10</v>
      </c>
    </row>
    <row r="99" spans="1:8">
      <c r="A99" s="6"/>
      <c r="B99">
        <v>93</v>
      </c>
      <c r="C99">
        <v>53</v>
      </c>
      <c r="D99">
        <v>43</v>
      </c>
      <c r="E99">
        <v>14</v>
      </c>
      <c r="F99">
        <v>14</v>
      </c>
      <c r="G99">
        <v>44</v>
      </c>
      <c r="H99">
        <v>10</v>
      </c>
    </row>
    <row r="100" spans="1:8">
      <c r="A100" s="6"/>
      <c r="B100">
        <v>94</v>
      </c>
      <c r="C100">
        <v>61</v>
      </c>
      <c r="D100">
        <v>52</v>
      </c>
      <c r="E100">
        <v>3</v>
      </c>
      <c r="F100">
        <v>178</v>
      </c>
      <c r="G100">
        <v>208</v>
      </c>
      <c r="H100">
        <v>10</v>
      </c>
    </row>
    <row r="101" spans="1:8">
      <c r="A101" s="6"/>
      <c r="B101">
        <v>95</v>
      </c>
      <c r="C101">
        <v>57</v>
      </c>
      <c r="D101">
        <v>48</v>
      </c>
      <c r="E101">
        <v>23</v>
      </c>
      <c r="F101">
        <v>95</v>
      </c>
      <c r="G101">
        <v>125</v>
      </c>
      <c r="H101">
        <v>10</v>
      </c>
    </row>
    <row r="102" spans="1:8">
      <c r="A102" s="6"/>
      <c r="B102">
        <v>96</v>
      </c>
      <c r="C102">
        <v>56</v>
      </c>
      <c r="D102">
        <v>37</v>
      </c>
      <c r="E102">
        <v>6</v>
      </c>
      <c r="F102">
        <v>34</v>
      </c>
      <c r="G102">
        <v>64</v>
      </c>
      <c r="H102">
        <v>10</v>
      </c>
    </row>
    <row r="103" spans="1:8">
      <c r="A103" s="6"/>
      <c r="B103">
        <v>97</v>
      </c>
      <c r="C103">
        <v>55</v>
      </c>
      <c r="D103">
        <v>54</v>
      </c>
      <c r="E103">
        <v>26</v>
      </c>
      <c r="F103">
        <v>132</v>
      </c>
      <c r="G103">
        <v>162</v>
      </c>
      <c r="H103">
        <v>10</v>
      </c>
    </row>
    <row r="104" spans="1:8">
      <c r="A104" s="6"/>
      <c r="B104">
        <v>98</v>
      </c>
      <c r="C104">
        <v>4</v>
      </c>
      <c r="D104">
        <v>18</v>
      </c>
      <c r="E104">
        <v>35</v>
      </c>
      <c r="F104">
        <v>120</v>
      </c>
      <c r="G104">
        <v>150</v>
      </c>
      <c r="H104">
        <v>10</v>
      </c>
    </row>
    <row r="105" spans="1:8">
      <c r="A105" s="6"/>
      <c r="B105">
        <v>99</v>
      </c>
      <c r="C105">
        <v>26</v>
      </c>
      <c r="D105">
        <v>52</v>
      </c>
      <c r="E105">
        <v>9</v>
      </c>
      <c r="F105">
        <v>46</v>
      </c>
      <c r="G105">
        <v>76</v>
      </c>
      <c r="H105">
        <v>10</v>
      </c>
    </row>
    <row r="106" spans="1:8">
      <c r="A106" s="6"/>
      <c r="B106">
        <v>100</v>
      </c>
      <c r="C106">
        <v>26</v>
      </c>
      <c r="D106">
        <v>35</v>
      </c>
      <c r="E106">
        <v>15</v>
      </c>
      <c r="F106">
        <v>77</v>
      </c>
      <c r="G106">
        <v>107</v>
      </c>
      <c r="H106">
        <v>10</v>
      </c>
    </row>
    <row r="107" spans="1:8">
      <c r="A107" s="6"/>
      <c r="B107">
        <v>101</v>
      </c>
      <c r="C107">
        <v>31</v>
      </c>
      <c r="D107">
        <v>67</v>
      </c>
      <c r="E107">
        <v>3</v>
      </c>
      <c r="F107">
        <v>180</v>
      </c>
      <c r="G107">
        <v>210</v>
      </c>
      <c r="H107">
        <v>10</v>
      </c>
    </row>
    <row r="110" spans="1:8" ht="17.399999999999999">
      <c r="A110" s="7" t="s">
        <v>47</v>
      </c>
    </row>
    <row r="111" spans="1:8">
      <c r="A111" s="4"/>
      <c r="B111" t="s">
        <v>32</v>
      </c>
      <c r="C111" t="s">
        <v>26</v>
      </c>
      <c r="D111" t="s">
        <v>27</v>
      </c>
      <c r="E111" t="s">
        <v>28</v>
      </c>
      <c r="F111" t="s">
        <v>29</v>
      </c>
      <c r="G111" t="s">
        <v>30</v>
      </c>
      <c r="H111" t="s">
        <v>31</v>
      </c>
    </row>
    <row r="112" spans="1:8">
      <c r="A112" s="6"/>
      <c r="B112">
        <v>1</v>
      </c>
      <c r="C112">
        <v>40</v>
      </c>
      <c r="D112">
        <v>50</v>
      </c>
      <c r="E112">
        <v>0</v>
      </c>
      <c r="F112">
        <v>0</v>
      </c>
      <c r="G112">
        <v>240</v>
      </c>
      <c r="H112">
        <v>0</v>
      </c>
    </row>
    <row r="113" spans="1:8">
      <c r="A113" s="6"/>
      <c r="B113">
        <v>2</v>
      </c>
      <c r="C113">
        <v>25</v>
      </c>
      <c r="D113">
        <v>85</v>
      </c>
      <c r="E113">
        <v>20</v>
      </c>
      <c r="F113">
        <v>0</v>
      </c>
      <c r="G113">
        <v>191</v>
      </c>
      <c r="H113">
        <v>10</v>
      </c>
    </row>
    <row r="114" spans="1:8">
      <c r="A114" s="6"/>
      <c r="B114">
        <v>3</v>
      </c>
      <c r="C114">
        <v>22</v>
      </c>
      <c r="D114">
        <v>75</v>
      </c>
      <c r="E114">
        <v>30</v>
      </c>
      <c r="F114">
        <v>0</v>
      </c>
      <c r="G114">
        <v>199</v>
      </c>
      <c r="H114">
        <v>10</v>
      </c>
    </row>
    <row r="115" spans="1:8">
      <c r="A115" s="6"/>
      <c r="B115">
        <v>4</v>
      </c>
      <c r="C115">
        <v>22</v>
      </c>
      <c r="D115">
        <v>85</v>
      </c>
      <c r="E115">
        <v>10</v>
      </c>
      <c r="F115">
        <v>0</v>
      </c>
      <c r="G115">
        <v>190</v>
      </c>
      <c r="H115">
        <v>10</v>
      </c>
    </row>
    <row r="116" spans="1:8">
      <c r="A116" s="6"/>
      <c r="B116">
        <v>5</v>
      </c>
      <c r="C116">
        <v>20</v>
      </c>
      <c r="D116">
        <v>80</v>
      </c>
      <c r="E116">
        <v>40</v>
      </c>
      <c r="F116">
        <v>141</v>
      </c>
      <c r="G116">
        <v>171</v>
      </c>
      <c r="H116">
        <v>10</v>
      </c>
    </row>
    <row r="117" spans="1:8">
      <c r="A117" s="6"/>
      <c r="B117">
        <v>6</v>
      </c>
      <c r="C117">
        <v>20</v>
      </c>
      <c r="D117">
        <v>85</v>
      </c>
      <c r="E117">
        <v>20</v>
      </c>
      <c r="F117">
        <v>0</v>
      </c>
      <c r="G117">
        <v>189</v>
      </c>
      <c r="H117">
        <v>10</v>
      </c>
    </row>
    <row r="118" spans="1:8">
      <c r="A118" s="6"/>
      <c r="B118">
        <v>7</v>
      </c>
      <c r="C118">
        <v>18</v>
      </c>
      <c r="D118">
        <v>75</v>
      </c>
      <c r="E118">
        <v>20</v>
      </c>
      <c r="F118">
        <v>95</v>
      </c>
      <c r="G118">
        <v>125</v>
      </c>
      <c r="H118">
        <v>10</v>
      </c>
    </row>
    <row r="119" spans="1:8">
      <c r="A119" s="6"/>
      <c r="B119">
        <v>8</v>
      </c>
      <c r="C119">
        <v>15</v>
      </c>
      <c r="D119">
        <v>75</v>
      </c>
      <c r="E119">
        <v>20</v>
      </c>
      <c r="F119">
        <v>0</v>
      </c>
      <c r="G119">
        <v>194</v>
      </c>
      <c r="H119">
        <v>10</v>
      </c>
    </row>
    <row r="120" spans="1:8">
      <c r="A120" s="6"/>
      <c r="B120">
        <v>9</v>
      </c>
      <c r="C120">
        <v>15</v>
      </c>
      <c r="D120">
        <v>80</v>
      </c>
      <c r="E120">
        <v>10</v>
      </c>
      <c r="F120">
        <v>91</v>
      </c>
      <c r="G120">
        <v>121</v>
      </c>
      <c r="H120">
        <v>10</v>
      </c>
    </row>
    <row r="121" spans="1:8">
      <c r="A121" s="6"/>
      <c r="B121">
        <v>10</v>
      </c>
      <c r="C121">
        <v>10</v>
      </c>
      <c r="D121">
        <v>35</v>
      </c>
      <c r="E121">
        <v>20</v>
      </c>
      <c r="F121">
        <v>91</v>
      </c>
      <c r="G121">
        <v>121</v>
      </c>
      <c r="H121">
        <v>10</v>
      </c>
    </row>
    <row r="122" spans="1:8">
      <c r="A122" s="6"/>
      <c r="B122">
        <v>11</v>
      </c>
      <c r="C122">
        <v>10</v>
      </c>
      <c r="D122">
        <v>40</v>
      </c>
      <c r="E122">
        <v>30</v>
      </c>
      <c r="F122">
        <v>119</v>
      </c>
      <c r="G122">
        <v>149</v>
      </c>
      <c r="H122">
        <v>10</v>
      </c>
    </row>
    <row r="123" spans="1:8">
      <c r="A123" s="6"/>
      <c r="B123">
        <v>12</v>
      </c>
      <c r="C123">
        <v>8</v>
      </c>
      <c r="D123">
        <v>40</v>
      </c>
      <c r="E123">
        <v>40</v>
      </c>
      <c r="F123">
        <v>59</v>
      </c>
      <c r="G123">
        <v>89</v>
      </c>
      <c r="H123">
        <v>10</v>
      </c>
    </row>
    <row r="124" spans="1:8">
      <c r="A124" s="6"/>
      <c r="B124">
        <v>13</v>
      </c>
      <c r="C124">
        <v>8</v>
      </c>
      <c r="D124">
        <v>45</v>
      </c>
      <c r="E124">
        <v>20</v>
      </c>
      <c r="F124">
        <v>0</v>
      </c>
      <c r="G124">
        <v>197</v>
      </c>
      <c r="H124">
        <v>10</v>
      </c>
    </row>
    <row r="125" spans="1:8">
      <c r="A125" s="6"/>
      <c r="B125">
        <v>14</v>
      </c>
      <c r="C125">
        <v>5</v>
      </c>
      <c r="D125">
        <v>35</v>
      </c>
      <c r="E125">
        <v>10</v>
      </c>
      <c r="F125">
        <v>142</v>
      </c>
      <c r="G125">
        <v>172</v>
      </c>
      <c r="H125">
        <v>10</v>
      </c>
    </row>
    <row r="126" spans="1:8">
      <c r="A126" s="6"/>
      <c r="B126">
        <v>15</v>
      </c>
      <c r="C126">
        <v>5</v>
      </c>
      <c r="D126">
        <v>45</v>
      </c>
      <c r="E126">
        <v>10</v>
      </c>
      <c r="F126">
        <v>35</v>
      </c>
      <c r="G126">
        <v>65</v>
      </c>
      <c r="H126">
        <v>10</v>
      </c>
    </row>
    <row r="127" spans="1:8">
      <c r="A127" s="6"/>
      <c r="B127">
        <v>16</v>
      </c>
      <c r="C127">
        <v>2</v>
      </c>
      <c r="D127">
        <v>40</v>
      </c>
      <c r="E127">
        <v>20</v>
      </c>
      <c r="F127">
        <v>58</v>
      </c>
      <c r="G127">
        <v>88</v>
      </c>
      <c r="H127">
        <v>10</v>
      </c>
    </row>
    <row r="128" spans="1:8">
      <c r="A128" s="6"/>
      <c r="B128">
        <v>17</v>
      </c>
      <c r="C128">
        <v>0</v>
      </c>
      <c r="D128">
        <v>40</v>
      </c>
      <c r="E128">
        <v>20</v>
      </c>
      <c r="F128">
        <v>72</v>
      </c>
      <c r="G128">
        <v>102</v>
      </c>
      <c r="H128">
        <v>10</v>
      </c>
    </row>
    <row r="129" spans="1:8">
      <c r="A129" s="6"/>
      <c r="B129">
        <v>18</v>
      </c>
      <c r="C129">
        <v>0</v>
      </c>
      <c r="D129">
        <v>45</v>
      </c>
      <c r="E129">
        <v>20</v>
      </c>
      <c r="F129">
        <v>149</v>
      </c>
      <c r="G129">
        <v>179</v>
      </c>
      <c r="H129">
        <v>10</v>
      </c>
    </row>
    <row r="130" spans="1:8">
      <c r="A130" s="6"/>
      <c r="B130">
        <v>19</v>
      </c>
      <c r="C130">
        <v>44</v>
      </c>
      <c r="D130">
        <v>5</v>
      </c>
      <c r="E130">
        <v>20</v>
      </c>
      <c r="F130">
        <v>87</v>
      </c>
      <c r="G130">
        <v>117</v>
      </c>
      <c r="H130">
        <v>10</v>
      </c>
    </row>
    <row r="131" spans="1:8">
      <c r="A131" s="6"/>
      <c r="B131">
        <v>20</v>
      </c>
      <c r="C131">
        <v>42</v>
      </c>
      <c r="D131">
        <v>10</v>
      </c>
      <c r="E131">
        <v>40</v>
      </c>
      <c r="F131">
        <v>72</v>
      </c>
      <c r="G131">
        <v>102</v>
      </c>
      <c r="H131">
        <v>10</v>
      </c>
    </row>
    <row r="132" spans="1:8">
      <c r="A132" s="6"/>
      <c r="B132">
        <v>21</v>
      </c>
      <c r="C132">
        <v>42</v>
      </c>
      <c r="D132">
        <v>15</v>
      </c>
      <c r="E132">
        <v>10</v>
      </c>
      <c r="F132">
        <v>122</v>
      </c>
      <c r="G132">
        <v>152</v>
      </c>
      <c r="H132">
        <v>10</v>
      </c>
    </row>
    <row r="133" spans="1:8">
      <c r="A133" s="6"/>
      <c r="B133">
        <v>22</v>
      </c>
      <c r="C133">
        <v>40</v>
      </c>
      <c r="D133">
        <v>5</v>
      </c>
      <c r="E133">
        <v>10</v>
      </c>
      <c r="F133">
        <v>0</v>
      </c>
      <c r="G133">
        <v>185</v>
      </c>
      <c r="H133">
        <v>10</v>
      </c>
    </row>
    <row r="134" spans="1:8">
      <c r="A134" s="6"/>
      <c r="B134">
        <v>23</v>
      </c>
      <c r="C134">
        <v>40</v>
      </c>
      <c r="D134">
        <v>15</v>
      </c>
      <c r="E134">
        <v>40</v>
      </c>
      <c r="F134">
        <v>92</v>
      </c>
      <c r="G134">
        <v>122</v>
      </c>
      <c r="H134">
        <v>10</v>
      </c>
    </row>
    <row r="135" spans="1:8">
      <c r="A135" s="6"/>
      <c r="B135">
        <v>24</v>
      </c>
      <c r="C135">
        <v>38</v>
      </c>
      <c r="D135">
        <v>5</v>
      </c>
      <c r="E135">
        <v>30</v>
      </c>
      <c r="F135">
        <v>65</v>
      </c>
      <c r="G135">
        <v>95</v>
      </c>
      <c r="H135">
        <v>10</v>
      </c>
    </row>
    <row r="136" spans="1:8">
      <c r="A136" s="6"/>
      <c r="B136">
        <v>25</v>
      </c>
      <c r="C136">
        <v>38</v>
      </c>
      <c r="D136">
        <v>15</v>
      </c>
      <c r="E136">
        <v>10</v>
      </c>
      <c r="F136">
        <v>148</v>
      </c>
      <c r="G136">
        <v>178</v>
      </c>
      <c r="H136">
        <v>10</v>
      </c>
    </row>
    <row r="137" spans="1:8">
      <c r="A137" s="6"/>
      <c r="B137">
        <v>26</v>
      </c>
      <c r="C137">
        <v>35</v>
      </c>
      <c r="D137">
        <v>5</v>
      </c>
      <c r="E137">
        <v>20</v>
      </c>
      <c r="F137">
        <v>154</v>
      </c>
      <c r="G137">
        <v>184</v>
      </c>
      <c r="H137">
        <v>10</v>
      </c>
    </row>
    <row r="138" spans="1:8">
      <c r="A138" s="6"/>
      <c r="B138">
        <v>27</v>
      </c>
      <c r="C138">
        <v>95</v>
      </c>
      <c r="D138">
        <v>30</v>
      </c>
      <c r="E138">
        <v>30</v>
      </c>
      <c r="F138">
        <v>0</v>
      </c>
      <c r="G138">
        <v>171</v>
      </c>
      <c r="H138">
        <v>10</v>
      </c>
    </row>
    <row r="139" spans="1:8">
      <c r="A139" s="6"/>
      <c r="B139">
        <v>28</v>
      </c>
      <c r="C139">
        <v>95</v>
      </c>
      <c r="D139">
        <v>35</v>
      </c>
      <c r="E139">
        <v>20</v>
      </c>
      <c r="F139">
        <v>62</v>
      </c>
      <c r="G139">
        <v>92</v>
      </c>
      <c r="H139">
        <v>10</v>
      </c>
    </row>
    <row r="140" spans="1:8">
      <c r="A140" s="6"/>
      <c r="B140">
        <v>29</v>
      </c>
      <c r="C140">
        <v>92</v>
      </c>
      <c r="D140">
        <v>30</v>
      </c>
      <c r="E140">
        <v>10</v>
      </c>
      <c r="F140">
        <v>62</v>
      </c>
      <c r="G140">
        <v>92</v>
      </c>
      <c r="H140">
        <v>10</v>
      </c>
    </row>
    <row r="141" spans="1:8">
      <c r="A141" s="6"/>
      <c r="B141">
        <v>30</v>
      </c>
      <c r="C141">
        <v>90</v>
      </c>
      <c r="D141">
        <v>35</v>
      </c>
      <c r="E141">
        <v>10</v>
      </c>
      <c r="F141">
        <v>67</v>
      </c>
      <c r="G141">
        <v>97</v>
      </c>
      <c r="H141">
        <v>10</v>
      </c>
    </row>
    <row r="142" spans="1:8">
      <c r="A142" s="6"/>
      <c r="B142">
        <v>31</v>
      </c>
      <c r="C142">
        <v>88</v>
      </c>
      <c r="D142">
        <v>30</v>
      </c>
      <c r="E142">
        <v>10</v>
      </c>
      <c r="F142">
        <v>74</v>
      </c>
      <c r="G142">
        <v>104</v>
      </c>
      <c r="H142">
        <v>10</v>
      </c>
    </row>
    <row r="143" spans="1:8">
      <c r="A143" s="6"/>
      <c r="B143">
        <v>32</v>
      </c>
      <c r="C143">
        <v>88</v>
      </c>
      <c r="D143">
        <v>35</v>
      </c>
      <c r="E143">
        <v>20</v>
      </c>
      <c r="F143">
        <v>0</v>
      </c>
      <c r="G143">
        <v>179</v>
      </c>
      <c r="H143">
        <v>10</v>
      </c>
    </row>
    <row r="144" spans="1:8">
      <c r="A144" s="6"/>
      <c r="B144">
        <v>33</v>
      </c>
      <c r="C144">
        <v>87</v>
      </c>
      <c r="D144">
        <v>30</v>
      </c>
      <c r="E144">
        <v>10</v>
      </c>
      <c r="F144">
        <v>131</v>
      </c>
      <c r="G144">
        <v>161</v>
      </c>
      <c r="H144">
        <v>10</v>
      </c>
    </row>
    <row r="145" spans="1:8">
      <c r="A145" s="6"/>
      <c r="B145">
        <v>34</v>
      </c>
      <c r="C145">
        <v>85</v>
      </c>
      <c r="D145">
        <v>25</v>
      </c>
      <c r="E145">
        <v>10</v>
      </c>
      <c r="F145">
        <v>51</v>
      </c>
      <c r="G145">
        <v>81</v>
      </c>
      <c r="H145">
        <v>10</v>
      </c>
    </row>
    <row r="146" spans="1:8">
      <c r="A146" s="6"/>
      <c r="B146">
        <v>35</v>
      </c>
      <c r="C146">
        <v>85</v>
      </c>
      <c r="D146">
        <v>35</v>
      </c>
      <c r="E146">
        <v>30</v>
      </c>
      <c r="F146">
        <v>0</v>
      </c>
      <c r="G146">
        <v>182</v>
      </c>
      <c r="H146">
        <v>10</v>
      </c>
    </row>
    <row r="147" spans="1:8">
      <c r="A147" s="6"/>
      <c r="B147">
        <v>36</v>
      </c>
      <c r="C147">
        <v>67</v>
      </c>
      <c r="D147">
        <v>85</v>
      </c>
      <c r="E147">
        <v>20</v>
      </c>
      <c r="F147">
        <v>139</v>
      </c>
      <c r="G147">
        <v>169</v>
      </c>
      <c r="H147">
        <v>10</v>
      </c>
    </row>
    <row r="148" spans="1:8">
      <c r="A148" s="6"/>
      <c r="B148">
        <v>37</v>
      </c>
      <c r="C148">
        <v>65</v>
      </c>
      <c r="D148">
        <v>85</v>
      </c>
      <c r="E148">
        <v>40</v>
      </c>
      <c r="F148">
        <v>43</v>
      </c>
      <c r="G148">
        <v>73</v>
      </c>
      <c r="H148">
        <v>10</v>
      </c>
    </row>
    <row r="149" spans="1:8">
      <c r="A149" s="6"/>
      <c r="B149">
        <v>38</v>
      </c>
      <c r="C149">
        <v>65</v>
      </c>
      <c r="D149">
        <v>82</v>
      </c>
      <c r="E149">
        <v>10</v>
      </c>
      <c r="F149">
        <v>0</v>
      </c>
      <c r="G149">
        <v>189</v>
      </c>
      <c r="H149">
        <v>10</v>
      </c>
    </row>
    <row r="150" spans="1:8">
      <c r="A150" s="6"/>
      <c r="B150">
        <v>39</v>
      </c>
      <c r="C150">
        <v>62</v>
      </c>
      <c r="D150">
        <v>80</v>
      </c>
      <c r="E150">
        <v>30</v>
      </c>
      <c r="F150">
        <v>75</v>
      </c>
      <c r="G150">
        <v>105</v>
      </c>
      <c r="H150">
        <v>10</v>
      </c>
    </row>
    <row r="151" spans="1:8">
      <c r="A151" s="6"/>
      <c r="B151">
        <v>40</v>
      </c>
      <c r="C151">
        <v>60</v>
      </c>
      <c r="D151">
        <v>80</v>
      </c>
      <c r="E151">
        <v>10</v>
      </c>
      <c r="F151">
        <v>37</v>
      </c>
      <c r="G151">
        <v>67</v>
      </c>
      <c r="H151">
        <v>10</v>
      </c>
    </row>
    <row r="152" spans="1:8">
      <c r="A152" s="6"/>
      <c r="B152">
        <v>41</v>
      </c>
      <c r="C152">
        <v>60</v>
      </c>
      <c r="D152">
        <v>85</v>
      </c>
      <c r="E152">
        <v>30</v>
      </c>
      <c r="F152">
        <v>85</v>
      </c>
      <c r="G152">
        <v>115</v>
      </c>
      <c r="H152">
        <v>10</v>
      </c>
    </row>
    <row r="153" spans="1:8">
      <c r="A153" s="6"/>
      <c r="B153">
        <v>42</v>
      </c>
      <c r="C153">
        <v>58</v>
      </c>
      <c r="D153">
        <v>75</v>
      </c>
      <c r="E153">
        <v>20</v>
      </c>
      <c r="F153">
        <v>92</v>
      </c>
      <c r="G153">
        <v>122</v>
      </c>
      <c r="H153">
        <v>10</v>
      </c>
    </row>
    <row r="154" spans="1:8">
      <c r="A154" s="6"/>
      <c r="B154">
        <v>43</v>
      </c>
      <c r="C154">
        <v>55</v>
      </c>
      <c r="D154">
        <v>80</v>
      </c>
      <c r="E154">
        <v>10</v>
      </c>
      <c r="F154">
        <v>33</v>
      </c>
      <c r="G154">
        <v>63</v>
      </c>
      <c r="H154">
        <v>10</v>
      </c>
    </row>
    <row r="155" spans="1:8">
      <c r="A155" s="6"/>
      <c r="B155">
        <v>44</v>
      </c>
      <c r="C155">
        <v>55</v>
      </c>
      <c r="D155">
        <v>85</v>
      </c>
      <c r="E155">
        <v>20</v>
      </c>
      <c r="F155">
        <v>128</v>
      </c>
      <c r="G155">
        <v>158</v>
      </c>
      <c r="H155">
        <v>10</v>
      </c>
    </row>
    <row r="156" spans="1:8">
      <c r="A156" s="6"/>
      <c r="B156">
        <v>45</v>
      </c>
      <c r="C156">
        <v>55</v>
      </c>
      <c r="D156">
        <v>82</v>
      </c>
      <c r="E156">
        <v>10</v>
      </c>
      <c r="F156">
        <v>64</v>
      </c>
      <c r="G156">
        <v>94</v>
      </c>
      <c r="H156">
        <v>10</v>
      </c>
    </row>
    <row r="157" spans="1:8">
      <c r="A157" s="6"/>
      <c r="B157">
        <v>46</v>
      </c>
      <c r="C157">
        <v>20</v>
      </c>
      <c r="D157">
        <v>82</v>
      </c>
      <c r="E157">
        <v>10</v>
      </c>
      <c r="F157">
        <v>37</v>
      </c>
      <c r="G157">
        <v>67</v>
      </c>
      <c r="H157">
        <v>10</v>
      </c>
    </row>
    <row r="158" spans="1:8">
      <c r="A158" s="6"/>
      <c r="B158">
        <v>47</v>
      </c>
      <c r="C158">
        <v>18</v>
      </c>
      <c r="D158">
        <v>80</v>
      </c>
      <c r="E158">
        <v>10</v>
      </c>
      <c r="F158">
        <v>113</v>
      </c>
      <c r="G158">
        <v>143</v>
      </c>
      <c r="H158">
        <v>10</v>
      </c>
    </row>
    <row r="159" spans="1:8">
      <c r="A159" s="6"/>
      <c r="B159">
        <v>48</v>
      </c>
      <c r="C159">
        <v>2</v>
      </c>
      <c r="D159">
        <v>45</v>
      </c>
      <c r="E159">
        <v>10</v>
      </c>
      <c r="F159">
        <v>45</v>
      </c>
      <c r="G159">
        <v>75</v>
      </c>
      <c r="H159">
        <v>10</v>
      </c>
    </row>
    <row r="160" spans="1:8">
      <c r="A160" s="6"/>
      <c r="B160">
        <v>49</v>
      </c>
      <c r="C160">
        <v>42</v>
      </c>
      <c r="D160">
        <v>5</v>
      </c>
      <c r="E160">
        <v>10</v>
      </c>
      <c r="F160">
        <v>0</v>
      </c>
      <c r="G160">
        <v>184</v>
      </c>
      <c r="H160">
        <v>10</v>
      </c>
    </row>
    <row r="161" spans="1:8">
      <c r="A161" s="6"/>
      <c r="B161">
        <v>50</v>
      </c>
      <c r="C161">
        <v>42</v>
      </c>
      <c r="D161">
        <v>12</v>
      </c>
      <c r="E161">
        <v>10</v>
      </c>
      <c r="F161">
        <v>104</v>
      </c>
      <c r="G161">
        <v>134</v>
      </c>
      <c r="H161">
        <v>10</v>
      </c>
    </row>
    <row r="162" spans="1:8">
      <c r="A162" s="6"/>
      <c r="B162">
        <v>51</v>
      </c>
      <c r="C162">
        <v>72</v>
      </c>
      <c r="D162">
        <v>35</v>
      </c>
      <c r="E162">
        <v>30</v>
      </c>
      <c r="F162">
        <v>0</v>
      </c>
      <c r="G162">
        <v>194</v>
      </c>
      <c r="H162">
        <v>10</v>
      </c>
    </row>
    <row r="163" spans="1:8">
      <c r="A163" s="6"/>
      <c r="B163">
        <v>52</v>
      </c>
      <c r="C163">
        <v>55</v>
      </c>
      <c r="D163">
        <v>20</v>
      </c>
      <c r="E163">
        <v>19</v>
      </c>
      <c r="F163">
        <v>83</v>
      </c>
      <c r="G163">
        <v>113</v>
      </c>
      <c r="H163">
        <v>10</v>
      </c>
    </row>
    <row r="164" spans="1:8">
      <c r="A164" s="6"/>
      <c r="B164">
        <v>53</v>
      </c>
      <c r="C164">
        <v>25</v>
      </c>
      <c r="D164">
        <v>30</v>
      </c>
      <c r="E164">
        <v>3</v>
      </c>
      <c r="F164">
        <v>0</v>
      </c>
      <c r="G164">
        <v>205</v>
      </c>
      <c r="H164">
        <v>10</v>
      </c>
    </row>
    <row r="165" spans="1:8">
      <c r="A165" s="6"/>
      <c r="B165">
        <v>54</v>
      </c>
      <c r="C165">
        <v>20</v>
      </c>
      <c r="D165">
        <v>50</v>
      </c>
      <c r="E165">
        <v>5</v>
      </c>
      <c r="F165">
        <v>91</v>
      </c>
      <c r="G165">
        <v>121</v>
      </c>
      <c r="H165">
        <v>10</v>
      </c>
    </row>
    <row r="166" spans="1:8">
      <c r="A166" s="6"/>
      <c r="B166">
        <v>55</v>
      </c>
      <c r="C166">
        <v>55</v>
      </c>
      <c r="D166">
        <v>60</v>
      </c>
      <c r="E166">
        <v>16</v>
      </c>
      <c r="F166">
        <v>139</v>
      </c>
      <c r="G166">
        <v>169</v>
      </c>
      <c r="H166">
        <v>10</v>
      </c>
    </row>
    <row r="167" spans="1:8">
      <c r="A167" s="6"/>
      <c r="B167">
        <v>56</v>
      </c>
      <c r="C167">
        <v>30</v>
      </c>
      <c r="D167">
        <v>60</v>
      </c>
      <c r="E167">
        <v>16</v>
      </c>
      <c r="F167">
        <v>140</v>
      </c>
      <c r="G167">
        <v>170</v>
      </c>
      <c r="H167">
        <v>10</v>
      </c>
    </row>
    <row r="168" spans="1:8">
      <c r="A168" s="6"/>
      <c r="B168">
        <v>57</v>
      </c>
      <c r="C168">
        <v>50</v>
      </c>
      <c r="D168">
        <v>35</v>
      </c>
      <c r="E168">
        <v>19</v>
      </c>
      <c r="F168">
        <v>130</v>
      </c>
      <c r="G168">
        <v>160</v>
      </c>
      <c r="H168">
        <v>10</v>
      </c>
    </row>
    <row r="169" spans="1:8">
      <c r="A169" s="6"/>
      <c r="B169">
        <v>58</v>
      </c>
      <c r="C169">
        <v>30</v>
      </c>
      <c r="D169">
        <v>25</v>
      </c>
      <c r="E169">
        <v>23</v>
      </c>
      <c r="F169">
        <v>96</v>
      </c>
      <c r="G169">
        <v>126</v>
      </c>
      <c r="H169">
        <v>10</v>
      </c>
    </row>
    <row r="170" spans="1:8">
      <c r="A170" s="6"/>
      <c r="B170">
        <v>59</v>
      </c>
      <c r="C170">
        <v>15</v>
      </c>
      <c r="D170">
        <v>10</v>
      </c>
      <c r="E170">
        <v>20</v>
      </c>
      <c r="F170">
        <v>152</v>
      </c>
      <c r="G170">
        <v>182</v>
      </c>
      <c r="H170">
        <v>10</v>
      </c>
    </row>
    <row r="171" spans="1:8">
      <c r="A171" s="6"/>
      <c r="B171">
        <v>60</v>
      </c>
      <c r="C171">
        <v>10</v>
      </c>
      <c r="D171">
        <v>20</v>
      </c>
      <c r="E171">
        <v>19</v>
      </c>
      <c r="F171">
        <v>0</v>
      </c>
      <c r="G171">
        <v>187</v>
      </c>
      <c r="H171">
        <v>10</v>
      </c>
    </row>
    <row r="172" spans="1:8">
      <c r="A172" s="6"/>
      <c r="B172">
        <v>61</v>
      </c>
      <c r="C172">
        <v>15</v>
      </c>
      <c r="D172">
        <v>60</v>
      </c>
      <c r="E172">
        <v>17</v>
      </c>
      <c r="F172">
        <v>155</v>
      </c>
      <c r="G172">
        <v>185</v>
      </c>
      <c r="H172">
        <v>10</v>
      </c>
    </row>
    <row r="173" spans="1:8">
      <c r="A173" s="6"/>
      <c r="B173">
        <v>62</v>
      </c>
      <c r="C173">
        <v>45</v>
      </c>
      <c r="D173">
        <v>65</v>
      </c>
      <c r="E173">
        <v>9</v>
      </c>
      <c r="F173">
        <v>66</v>
      </c>
      <c r="G173">
        <v>96</v>
      </c>
      <c r="H173">
        <v>10</v>
      </c>
    </row>
    <row r="174" spans="1:8">
      <c r="A174" s="6"/>
      <c r="B174">
        <v>63</v>
      </c>
      <c r="C174">
        <v>65</v>
      </c>
      <c r="D174">
        <v>35</v>
      </c>
      <c r="E174">
        <v>3</v>
      </c>
      <c r="F174">
        <v>52</v>
      </c>
      <c r="G174">
        <v>82</v>
      </c>
      <c r="H174">
        <v>10</v>
      </c>
    </row>
    <row r="175" spans="1:8">
      <c r="A175" s="6"/>
      <c r="B175">
        <v>64</v>
      </c>
      <c r="C175">
        <v>65</v>
      </c>
      <c r="D175">
        <v>20</v>
      </c>
      <c r="E175">
        <v>6</v>
      </c>
      <c r="F175">
        <v>39</v>
      </c>
      <c r="G175">
        <v>69</v>
      </c>
      <c r="H175">
        <v>10</v>
      </c>
    </row>
    <row r="176" spans="1:8">
      <c r="A176" s="6"/>
      <c r="B176">
        <v>65</v>
      </c>
      <c r="C176">
        <v>45</v>
      </c>
      <c r="D176">
        <v>30</v>
      </c>
      <c r="E176">
        <v>17</v>
      </c>
      <c r="F176">
        <v>53</v>
      </c>
      <c r="G176">
        <v>83</v>
      </c>
      <c r="H176">
        <v>10</v>
      </c>
    </row>
    <row r="177" spans="1:8">
      <c r="A177" s="6"/>
      <c r="B177">
        <v>66</v>
      </c>
      <c r="C177">
        <v>35</v>
      </c>
      <c r="D177">
        <v>40</v>
      </c>
      <c r="E177">
        <v>16</v>
      </c>
      <c r="F177">
        <v>11</v>
      </c>
      <c r="G177">
        <v>41</v>
      </c>
      <c r="H177">
        <v>10</v>
      </c>
    </row>
    <row r="178" spans="1:8">
      <c r="A178" s="6"/>
      <c r="B178">
        <v>67</v>
      </c>
      <c r="C178">
        <v>41</v>
      </c>
      <c r="D178">
        <v>37</v>
      </c>
      <c r="E178">
        <v>16</v>
      </c>
      <c r="F178">
        <v>133</v>
      </c>
      <c r="G178">
        <v>163</v>
      </c>
      <c r="H178">
        <v>10</v>
      </c>
    </row>
    <row r="179" spans="1:8">
      <c r="A179" s="6"/>
      <c r="B179">
        <v>68</v>
      </c>
      <c r="C179">
        <v>64</v>
      </c>
      <c r="D179">
        <v>42</v>
      </c>
      <c r="E179">
        <v>9</v>
      </c>
      <c r="F179">
        <v>70</v>
      </c>
      <c r="G179">
        <v>100</v>
      </c>
      <c r="H179">
        <v>10</v>
      </c>
    </row>
    <row r="180" spans="1:8">
      <c r="A180" s="6"/>
      <c r="B180">
        <v>69</v>
      </c>
      <c r="C180">
        <v>40</v>
      </c>
      <c r="D180">
        <v>60</v>
      </c>
      <c r="E180">
        <v>21</v>
      </c>
      <c r="F180">
        <v>144</v>
      </c>
      <c r="G180">
        <v>174</v>
      </c>
      <c r="H180">
        <v>10</v>
      </c>
    </row>
    <row r="181" spans="1:8">
      <c r="A181" s="6"/>
      <c r="B181">
        <v>70</v>
      </c>
      <c r="C181">
        <v>31</v>
      </c>
      <c r="D181">
        <v>52</v>
      </c>
      <c r="E181">
        <v>27</v>
      </c>
      <c r="F181">
        <v>41</v>
      </c>
      <c r="G181">
        <v>71</v>
      </c>
      <c r="H181">
        <v>10</v>
      </c>
    </row>
    <row r="182" spans="1:8">
      <c r="A182" s="6"/>
      <c r="B182">
        <v>71</v>
      </c>
      <c r="C182">
        <v>35</v>
      </c>
      <c r="D182">
        <v>69</v>
      </c>
      <c r="E182">
        <v>23</v>
      </c>
      <c r="F182">
        <v>180</v>
      </c>
      <c r="G182">
        <v>210</v>
      </c>
      <c r="H182">
        <v>10</v>
      </c>
    </row>
    <row r="183" spans="1:8">
      <c r="A183" s="6"/>
      <c r="B183">
        <v>72</v>
      </c>
      <c r="C183">
        <v>65</v>
      </c>
      <c r="D183">
        <v>55</v>
      </c>
      <c r="E183">
        <v>14</v>
      </c>
      <c r="F183">
        <v>65</v>
      </c>
      <c r="G183">
        <v>95</v>
      </c>
      <c r="H183">
        <v>10</v>
      </c>
    </row>
    <row r="184" spans="1:8">
      <c r="A184" s="6"/>
      <c r="B184">
        <v>73</v>
      </c>
      <c r="C184">
        <v>63</v>
      </c>
      <c r="D184">
        <v>65</v>
      </c>
      <c r="E184">
        <v>8</v>
      </c>
      <c r="F184">
        <v>0</v>
      </c>
      <c r="G184">
        <v>202</v>
      </c>
      <c r="H184">
        <v>10</v>
      </c>
    </row>
    <row r="185" spans="1:8">
      <c r="A185" s="6"/>
      <c r="B185">
        <v>74</v>
      </c>
      <c r="C185">
        <v>2</v>
      </c>
      <c r="D185">
        <v>60</v>
      </c>
      <c r="E185">
        <v>5</v>
      </c>
      <c r="F185">
        <v>77</v>
      </c>
      <c r="G185">
        <v>107</v>
      </c>
      <c r="H185">
        <v>10</v>
      </c>
    </row>
    <row r="186" spans="1:8">
      <c r="A186" s="6"/>
      <c r="B186">
        <v>75</v>
      </c>
      <c r="C186">
        <v>20</v>
      </c>
      <c r="D186">
        <v>20</v>
      </c>
      <c r="E186">
        <v>8</v>
      </c>
      <c r="F186">
        <v>141</v>
      </c>
      <c r="G186">
        <v>171</v>
      </c>
      <c r="H186">
        <v>10</v>
      </c>
    </row>
    <row r="187" spans="1:8">
      <c r="A187" s="6"/>
      <c r="B187">
        <v>76</v>
      </c>
      <c r="C187">
        <v>5</v>
      </c>
      <c r="D187">
        <v>5</v>
      </c>
      <c r="E187">
        <v>16</v>
      </c>
      <c r="F187">
        <v>0</v>
      </c>
      <c r="G187">
        <v>172</v>
      </c>
      <c r="H187">
        <v>10</v>
      </c>
    </row>
    <row r="188" spans="1:8">
      <c r="A188" s="6"/>
      <c r="B188">
        <v>77</v>
      </c>
      <c r="C188">
        <v>60</v>
      </c>
      <c r="D188">
        <v>12</v>
      </c>
      <c r="E188">
        <v>31</v>
      </c>
      <c r="F188">
        <v>75</v>
      </c>
      <c r="G188">
        <v>105</v>
      </c>
      <c r="H188">
        <v>10</v>
      </c>
    </row>
    <row r="189" spans="1:8">
      <c r="A189" s="6"/>
      <c r="B189">
        <v>78</v>
      </c>
      <c r="C189">
        <v>23</v>
      </c>
      <c r="D189">
        <v>3</v>
      </c>
      <c r="E189">
        <v>7</v>
      </c>
      <c r="F189">
        <v>150</v>
      </c>
      <c r="G189">
        <v>180</v>
      </c>
      <c r="H189">
        <v>10</v>
      </c>
    </row>
    <row r="190" spans="1:8">
      <c r="A190" s="6"/>
      <c r="B190">
        <v>79</v>
      </c>
      <c r="C190">
        <v>8</v>
      </c>
      <c r="D190">
        <v>56</v>
      </c>
      <c r="E190">
        <v>27</v>
      </c>
      <c r="F190">
        <v>90</v>
      </c>
      <c r="G190">
        <v>120</v>
      </c>
      <c r="H190">
        <v>10</v>
      </c>
    </row>
    <row r="191" spans="1:8">
      <c r="A191" s="6"/>
      <c r="B191">
        <v>80</v>
      </c>
      <c r="C191">
        <v>6</v>
      </c>
      <c r="D191">
        <v>68</v>
      </c>
      <c r="E191">
        <v>30</v>
      </c>
      <c r="F191">
        <v>89</v>
      </c>
      <c r="G191">
        <v>119</v>
      </c>
      <c r="H191">
        <v>10</v>
      </c>
    </row>
    <row r="192" spans="1:8">
      <c r="A192" s="6"/>
      <c r="B192">
        <v>81</v>
      </c>
      <c r="C192">
        <v>47</v>
      </c>
      <c r="D192">
        <v>47</v>
      </c>
      <c r="E192">
        <v>13</v>
      </c>
      <c r="F192">
        <v>192</v>
      </c>
      <c r="G192">
        <v>222</v>
      </c>
      <c r="H192">
        <v>10</v>
      </c>
    </row>
    <row r="193" spans="1:8">
      <c r="A193" s="6"/>
      <c r="B193">
        <v>82</v>
      </c>
      <c r="C193">
        <v>49</v>
      </c>
      <c r="D193">
        <v>58</v>
      </c>
      <c r="E193">
        <v>10</v>
      </c>
      <c r="F193">
        <v>86</v>
      </c>
      <c r="G193">
        <v>116</v>
      </c>
      <c r="H193">
        <v>10</v>
      </c>
    </row>
    <row r="194" spans="1:8">
      <c r="A194" s="6"/>
      <c r="B194">
        <v>83</v>
      </c>
      <c r="C194">
        <v>27</v>
      </c>
      <c r="D194">
        <v>43</v>
      </c>
      <c r="E194">
        <v>9</v>
      </c>
      <c r="F194">
        <v>0</v>
      </c>
      <c r="G194">
        <v>215</v>
      </c>
      <c r="H194">
        <v>10</v>
      </c>
    </row>
    <row r="195" spans="1:8">
      <c r="A195" s="6"/>
      <c r="B195">
        <v>84</v>
      </c>
      <c r="C195">
        <v>37</v>
      </c>
      <c r="D195">
        <v>31</v>
      </c>
      <c r="E195">
        <v>14</v>
      </c>
      <c r="F195">
        <v>0</v>
      </c>
      <c r="G195">
        <v>210</v>
      </c>
      <c r="H195">
        <v>10</v>
      </c>
    </row>
    <row r="196" spans="1:8">
      <c r="A196" s="6"/>
      <c r="B196">
        <v>85</v>
      </c>
      <c r="C196">
        <v>57</v>
      </c>
      <c r="D196">
        <v>29</v>
      </c>
      <c r="E196">
        <v>18</v>
      </c>
      <c r="F196">
        <v>96</v>
      </c>
      <c r="G196">
        <v>126</v>
      </c>
      <c r="H196">
        <v>10</v>
      </c>
    </row>
    <row r="197" spans="1:8">
      <c r="A197" s="6"/>
      <c r="B197">
        <v>86</v>
      </c>
      <c r="C197">
        <v>63</v>
      </c>
      <c r="D197">
        <v>23</v>
      </c>
      <c r="E197">
        <v>2</v>
      </c>
      <c r="F197">
        <v>0</v>
      </c>
      <c r="G197">
        <v>194</v>
      </c>
      <c r="H197">
        <v>10</v>
      </c>
    </row>
    <row r="198" spans="1:8">
      <c r="A198" s="6"/>
      <c r="B198">
        <v>87</v>
      </c>
      <c r="C198">
        <v>21</v>
      </c>
      <c r="D198">
        <v>24</v>
      </c>
      <c r="E198">
        <v>28</v>
      </c>
      <c r="F198">
        <v>87</v>
      </c>
      <c r="G198">
        <v>117</v>
      </c>
      <c r="H198">
        <v>10</v>
      </c>
    </row>
    <row r="199" spans="1:8">
      <c r="A199" s="6"/>
      <c r="B199">
        <v>88</v>
      </c>
      <c r="C199">
        <v>12</v>
      </c>
      <c r="D199">
        <v>24</v>
      </c>
      <c r="E199">
        <v>13</v>
      </c>
      <c r="F199">
        <v>90</v>
      </c>
      <c r="G199">
        <v>120</v>
      </c>
      <c r="H199">
        <v>10</v>
      </c>
    </row>
    <row r="200" spans="1:8">
      <c r="A200" s="6"/>
      <c r="B200">
        <v>89</v>
      </c>
      <c r="C200">
        <v>24</v>
      </c>
      <c r="D200">
        <v>58</v>
      </c>
      <c r="E200">
        <v>19</v>
      </c>
      <c r="F200">
        <v>67</v>
      </c>
      <c r="G200">
        <v>97</v>
      </c>
      <c r="H200">
        <v>10</v>
      </c>
    </row>
    <row r="201" spans="1:8">
      <c r="A201" s="6"/>
      <c r="B201">
        <v>90</v>
      </c>
      <c r="C201">
        <v>67</v>
      </c>
      <c r="D201">
        <v>5</v>
      </c>
      <c r="E201">
        <v>25</v>
      </c>
      <c r="F201">
        <v>144</v>
      </c>
      <c r="G201">
        <v>174</v>
      </c>
      <c r="H201">
        <v>10</v>
      </c>
    </row>
    <row r="202" spans="1:8">
      <c r="A202" s="6"/>
      <c r="B202">
        <v>91</v>
      </c>
      <c r="C202">
        <v>37</v>
      </c>
      <c r="D202">
        <v>47</v>
      </c>
      <c r="E202">
        <v>6</v>
      </c>
      <c r="F202">
        <v>86</v>
      </c>
      <c r="G202">
        <v>116</v>
      </c>
      <c r="H202">
        <v>10</v>
      </c>
    </row>
    <row r="203" spans="1:8">
      <c r="A203" s="6"/>
      <c r="B203">
        <v>92</v>
      </c>
      <c r="C203">
        <v>49</v>
      </c>
      <c r="D203">
        <v>42</v>
      </c>
      <c r="E203">
        <v>13</v>
      </c>
      <c r="F203">
        <v>0</v>
      </c>
      <c r="G203">
        <v>217</v>
      </c>
      <c r="H203">
        <v>10</v>
      </c>
    </row>
    <row r="204" spans="1:8">
      <c r="A204" s="6"/>
      <c r="B204">
        <v>93</v>
      </c>
      <c r="C204">
        <v>53</v>
      </c>
      <c r="D204">
        <v>43</v>
      </c>
      <c r="E204">
        <v>14</v>
      </c>
      <c r="F204">
        <v>14</v>
      </c>
      <c r="G204">
        <v>44</v>
      </c>
      <c r="H204">
        <v>10</v>
      </c>
    </row>
    <row r="205" spans="1:8">
      <c r="A205" s="6"/>
      <c r="B205">
        <v>94</v>
      </c>
      <c r="C205">
        <v>61</v>
      </c>
      <c r="D205">
        <v>52</v>
      </c>
      <c r="E205">
        <v>3</v>
      </c>
      <c r="F205">
        <v>178</v>
      </c>
      <c r="G205">
        <v>208</v>
      </c>
      <c r="H205">
        <v>10</v>
      </c>
    </row>
    <row r="206" spans="1:8">
      <c r="A206" s="6"/>
      <c r="B206">
        <v>95</v>
      </c>
      <c r="C206">
        <v>57</v>
      </c>
      <c r="D206">
        <v>48</v>
      </c>
      <c r="E206">
        <v>23</v>
      </c>
      <c r="F206">
        <v>0</v>
      </c>
      <c r="G206">
        <v>212</v>
      </c>
      <c r="H206">
        <v>10</v>
      </c>
    </row>
    <row r="207" spans="1:8">
      <c r="A207" s="6"/>
      <c r="B207">
        <v>96</v>
      </c>
      <c r="C207">
        <v>56</v>
      </c>
      <c r="D207">
        <v>37</v>
      </c>
      <c r="E207">
        <v>6</v>
      </c>
      <c r="F207">
        <v>0</v>
      </c>
      <c r="G207">
        <v>209</v>
      </c>
      <c r="H207">
        <v>10</v>
      </c>
    </row>
    <row r="208" spans="1:8">
      <c r="A208" s="6"/>
      <c r="B208">
        <v>97</v>
      </c>
      <c r="C208">
        <v>55</v>
      </c>
      <c r="D208">
        <v>54</v>
      </c>
      <c r="E208">
        <v>26</v>
      </c>
      <c r="F208">
        <v>0</v>
      </c>
      <c r="G208">
        <v>214</v>
      </c>
      <c r="H208">
        <v>10</v>
      </c>
    </row>
    <row r="209" spans="1:8">
      <c r="A209" s="6"/>
      <c r="B209">
        <v>98</v>
      </c>
      <c r="C209">
        <v>4</v>
      </c>
      <c r="D209">
        <v>18</v>
      </c>
      <c r="E209">
        <v>35</v>
      </c>
      <c r="F209">
        <v>120</v>
      </c>
      <c r="G209">
        <v>150</v>
      </c>
      <c r="H209">
        <v>10</v>
      </c>
    </row>
    <row r="210" spans="1:8">
      <c r="A210" s="6"/>
      <c r="B210">
        <v>99</v>
      </c>
      <c r="C210">
        <v>26</v>
      </c>
      <c r="D210">
        <v>52</v>
      </c>
      <c r="E210">
        <v>9</v>
      </c>
      <c r="F210">
        <v>0</v>
      </c>
      <c r="G210">
        <v>215</v>
      </c>
      <c r="H210">
        <v>10</v>
      </c>
    </row>
    <row r="211" spans="1:8">
      <c r="A211" s="6"/>
      <c r="B211">
        <v>100</v>
      </c>
      <c r="C211">
        <v>26</v>
      </c>
      <c r="D211">
        <v>35</v>
      </c>
      <c r="E211">
        <v>15</v>
      </c>
      <c r="F211">
        <v>77</v>
      </c>
      <c r="G211">
        <v>107</v>
      </c>
      <c r="H211">
        <v>10</v>
      </c>
    </row>
    <row r="212" spans="1:8">
      <c r="A212" s="6"/>
      <c r="B212">
        <v>101</v>
      </c>
      <c r="C212">
        <v>31</v>
      </c>
      <c r="D212">
        <v>67</v>
      </c>
      <c r="E212">
        <v>3</v>
      </c>
      <c r="F212">
        <v>180</v>
      </c>
      <c r="G212">
        <v>210</v>
      </c>
      <c r="H212">
        <v>10</v>
      </c>
    </row>
    <row r="215" spans="1:8" ht="17.399999999999999">
      <c r="A215" s="7" t="s">
        <v>48</v>
      </c>
    </row>
    <row r="216" spans="1:8">
      <c r="A216" s="4"/>
      <c r="B216" t="s">
        <v>32</v>
      </c>
      <c r="C216" t="s">
        <v>26</v>
      </c>
      <c r="D216" t="s">
        <v>27</v>
      </c>
      <c r="E216" t="s">
        <v>28</v>
      </c>
      <c r="F216" t="s">
        <v>29</v>
      </c>
      <c r="G216" t="s">
        <v>30</v>
      </c>
      <c r="H216" t="s">
        <v>31</v>
      </c>
    </row>
    <row r="217" spans="1:8">
      <c r="A217" s="6"/>
      <c r="B217">
        <v>1</v>
      </c>
      <c r="C217">
        <v>40</v>
      </c>
      <c r="D217">
        <v>50</v>
      </c>
      <c r="E217">
        <v>0</v>
      </c>
      <c r="F217">
        <v>0</v>
      </c>
      <c r="G217">
        <v>240</v>
      </c>
      <c r="H217">
        <v>0</v>
      </c>
    </row>
    <row r="218" spans="1:8">
      <c r="A218" s="6"/>
      <c r="B218">
        <v>2</v>
      </c>
      <c r="C218">
        <v>25</v>
      </c>
      <c r="D218">
        <v>85</v>
      </c>
      <c r="E218">
        <v>20</v>
      </c>
      <c r="F218">
        <v>0</v>
      </c>
      <c r="G218">
        <v>191</v>
      </c>
      <c r="H218">
        <v>10</v>
      </c>
    </row>
    <row r="219" spans="1:8">
      <c r="A219" s="6"/>
      <c r="B219">
        <v>3</v>
      </c>
      <c r="C219">
        <v>22</v>
      </c>
      <c r="D219">
        <v>75</v>
      </c>
      <c r="E219">
        <v>30</v>
      </c>
      <c r="F219">
        <v>0</v>
      </c>
      <c r="G219">
        <v>199</v>
      </c>
      <c r="H219">
        <v>10</v>
      </c>
    </row>
    <row r="220" spans="1:8">
      <c r="A220" s="6"/>
      <c r="B220">
        <v>4</v>
      </c>
      <c r="C220">
        <v>22</v>
      </c>
      <c r="D220">
        <v>85</v>
      </c>
      <c r="E220">
        <v>10</v>
      </c>
      <c r="F220">
        <v>0</v>
      </c>
      <c r="G220">
        <v>190</v>
      </c>
      <c r="H220">
        <v>10</v>
      </c>
    </row>
    <row r="221" spans="1:8">
      <c r="A221" s="6"/>
      <c r="B221">
        <v>5</v>
      </c>
      <c r="C221">
        <v>20</v>
      </c>
      <c r="D221">
        <v>80</v>
      </c>
      <c r="E221">
        <v>40</v>
      </c>
      <c r="F221">
        <v>141</v>
      </c>
      <c r="G221">
        <v>171</v>
      </c>
      <c r="H221">
        <v>10</v>
      </c>
    </row>
    <row r="222" spans="1:8">
      <c r="A222" s="6"/>
      <c r="B222">
        <v>6</v>
      </c>
      <c r="C222">
        <v>20</v>
      </c>
      <c r="D222">
        <v>85</v>
      </c>
      <c r="E222">
        <v>20</v>
      </c>
      <c r="F222">
        <v>0</v>
      </c>
      <c r="G222">
        <v>189</v>
      </c>
      <c r="H222">
        <v>10</v>
      </c>
    </row>
    <row r="223" spans="1:8">
      <c r="A223" s="6"/>
      <c r="B223">
        <v>7</v>
      </c>
      <c r="C223">
        <v>18</v>
      </c>
      <c r="D223">
        <v>75</v>
      </c>
      <c r="E223">
        <v>20</v>
      </c>
      <c r="F223">
        <v>95</v>
      </c>
      <c r="G223">
        <v>125</v>
      </c>
      <c r="H223">
        <v>10</v>
      </c>
    </row>
    <row r="224" spans="1:8">
      <c r="A224" s="6"/>
      <c r="B224">
        <v>8</v>
      </c>
      <c r="C224">
        <v>15</v>
      </c>
      <c r="D224">
        <v>75</v>
      </c>
      <c r="E224">
        <v>20</v>
      </c>
      <c r="F224">
        <v>0</v>
      </c>
      <c r="G224">
        <v>194</v>
      </c>
      <c r="H224">
        <v>10</v>
      </c>
    </row>
    <row r="225" spans="1:8">
      <c r="A225" s="6"/>
      <c r="B225">
        <v>9</v>
      </c>
      <c r="C225">
        <v>15</v>
      </c>
      <c r="D225">
        <v>80</v>
      </c>
      <c r="E225">
        <v>10</v>
      </c>
      <c r="F225">
        <v>91</v>
      </c>
      <c r="G225">
        <v>121</v>
      </c>
      <c r="H225">
        <v>10</v>
      </c>
    </row>
    <row r="226" spans="1:8">
      <c r="A226" s="6"/>
      <c r="B226">
        <v>10</v>
      </c>
      <c r="C226">
        <v>10</v>
      </c>
      <c r="D226">
        <v>35</v>
      </c>
      <c r="E226">
        <v>20</v>
      </c>
      <c r="F226">
        <v>91</v>
      </c>
      <c r="G226">
        <v>121</v>
      </c>
      <c r="H226">
        <v>10</v>
      </c>
    </row>
    <row r="227" spans="1:8">
      <c r="A227" s="6"/>
      <c r="B227">
        <v>11</v>
      </c>
      <c r="C227">
        <v>10</v>
      </c>
      <c r="D227">
        <v>40</v>
      </c>
      <c r="E227">
        <v>30</v>
      </c>
      <c r="F227">
        <v>119</v>
      </c>
      <c r="G227">
        <v>149</v>
      </c>
      <c r="H227">
        <v>10</v>
      </c>
    </row>
    <row r="228" spans="1:8">
      <c r="A228" s="6"/>
      <c r="B228">
        <v>12</v>
      </c>
      <c r="C228">
        <v>8</v>
      </c>
      <c r="D228">
        <v>40</v>
      </c>
      <c r="E228">
        <v>40</v>
      </c>
      <c r="F228">
        <v>59</v>
      </c>
      <c r="G228">
        <v>89</v>
      </c>
      <c r="H228">
        <v>10</v>
      </c>
    </row>
    <row r="229" spans="1:8">
      <c r="A229" s="6"/>
      <c r="B229">
        <v>13</v>
      </c>
      <c r="C229">
        <v>8</v>
      </c>
      <c r="D229">
        <v>45</v>
      </c>
      <c r="E229">
        <v>20</v>
      </c>
      <c r="F229">
        <v>0</v>
      </c>
      <c r="G229">
        <v>197</v>
      </c>
      <c r="H229">
        <v>10</v>
      </c>
    </row>
    <row r="230" spans="1:8">
      <c r="A230" s="6"/>
      <c r="B230">
        <v>14</v>
      </c>
      <c r="C230">
        <v>5</v>
      </c>
      <c r="D230">
        <v>35</v>
      </c>
      <c r="E230">
        <v>10</v>
      </c>
      <c r="F230">
        <v>142</v>
      </c>
      <c r="G230">
        <v>172</v>
      </c>
      <c r="H230">
        <v>10</v>
      </c>
    </row>
    <row r="231" spans="1:8">
      <c r="A231" s="6"/>
      <c r="B231">
        <v>15</v>
      </c>
      <c r="C231">
        <v>5</v>
      </c>
      <c r="D231">
        <v>45</v>
      </c>
      <c r="E231">
        <v>10</v>
      </c>
      <c r="F231">
        <v>0</v>
      </c>
      <c r="G231">
        <v>194</v>
      </c>
      <c r="H231">
        <v>10</v>
      </c>
    </row>
    <row r="232" spans="1:8">
      <c r="A232" s="6"/>
      <c r="B232">
        <v>16</v>
      </c>
      <c r="C232">
        <v>2</v>
      </c>
      <c r="D232">
        <v>40</v>
      </c>
      <c r="E232">
        <v>20</v>
      </c>
      <c r="F232">
        <v>58</v>
      </c>
      <c r="G232">
        <v>88</v>
      </c>
      <c r="H232">
        <v>10</v>
      </c>
    </row>
    <row r="233" spans="1:8">
      <c r="A233" s="6"/>
      <c r="B233">
        <v>17</v>
      </c>
      <c r="C233">
        <v>0</v>
      </c>
      <c r="D233">
        <v>40</v>
      </c>
      <c r="E233">
        <v>20</v>
      </c>
      <c r="F233">
        <v>0</v>
      </c>
      <c r="G233">
        <v>188</v>
      </c>
      <c r="H233">
        <v>10</v>
      </c>
    </row>
    <row r="234" spans="1:8">
      <c r="A234" s="6"/>
      <c r="B234">
        <v>18</v>
      </c>
      <c r="C234">
        <v>0</v>
      </c>
      <c r="D234">
        <v>45</v>
      </c>
      <c r="E234">
        <v>20</v>
      </c>
      <c r="F234">
        <v>149</v>
      </c>
      <c r="G234">
        <v>179</v>
      </c>
      <c r="H234">
        <v>10</v>
      </c>
    </row>
    <row r="235" spans="1:8">
      <c r="A235" s="6"/>
      <c r="B235">
        <v>19</v>
      </c>
      <c r="C235">
        <v>44</v>
      </c>
      <c r="D235">
        <v>5</v>
      </c>
      <c r="E235">
        <v>20</v>
      </c>
      <c r="F235">
        <v>0</v>
      </c>
      <c r="G235">
        <v>184</v>
      </c>
      <c r="H235">
        <v>10</v>
      </c>
    </row>
    <row r="236" spans="1:8">
      <c r="A236" s="6"/>
      <c r="B236">
        <v>20</v>
      </c>
      <c r="C236">
        <v>42</v>
      </c>
      <c r="D236">
        <v>10</v>
      </c>
      <c r="E236">
        <v>40</v>
      </c>
      <c r="F236">
        <v>0</v>
      </c>
      <c r="G236">
        <v>189</v>
      </c>
      <c r="H236">
        <v>10</v>
      </c>
    </row>
    <row r="237" spans="1:8">
      <c r="A237" s="6"/>
      <c r="B237">
        <v>21</v>
      </c>
      <c r="C237">
        <v>42</v>
      </c>
      <c r="D237">
        <v>15</v>
      </c>
      <c r="E237">
        <v>10</v>
      </c>
      <c r="F237">
        <v>0</v>
      </c>
      <c r="G237">
        <v>194</v>
      </c>
      <c r="H237">
        <v>10</v>
      </c>
    </row>
    <row r="238" spans="1:8">
      <c r="A238" s="6"/>
      <c r="B238">
        <v>22</v>
      </c>
      <c r="C238">
        <v>40</v>
      </c>
      <c r="D238">
        <v>5</v>
      </c>
      <c r="E238">
        <v>10</v>
      </c>
      <c r="F238">
        <v>0</v>
      </c>
      <c r="G238">
        <v>185</v>
      </c>
      <c r="H238">
        <v>10</v>
      </c>
    </row>
    <row r="239" spans="1:8">
      <c r="A239" s="6"/>
      <c r="B239">
        <v>23</v>
      </c>
      <c r="C239">
        <v>40</v>
      </c>
      <c r="D239">
        <v>15</v>
      </c>
      <c r="E239">
        <v>40</v>
      </c>
      <c r="F239">
        <v>92</v>
      </c>
      <c r="G239">
        <v>122</v>
      </c>
      <c r="H239">
        <v>10</v>
      </c>
    </row>
    <row r="240" spans="1:8">
      <c r="A240" s="6"/>
      <c r="B240">
        <v>24</v>
      </c>
      <c r="C240">
        <v>38</v>
      </c>
      <c r="D240">
        <v>5</v>
      </c>
      <c r="E240">
        <v>30</v>
      </c>
      <c r="F240">
        <v>65</v>
      </c>
      <c r="G240">
        <v>95</v>
      </c>
      <c r="H240">
        <v>10</v>
      </c>
    </row>
    <row r="241" spans="1:8">
      <c r="A241" s="6"/>
      <c r="B241">
        <v>25</v>
      </c>
      <c r="C241">
        <v>38</v>
      </c>
      <c r="D241">
        <v>15</v>
      </c>
      <c r="E241">
        <v>10</v>
      </c>
      <c r="F241">
        <v>0</v>
      </c>
      <c r="G241">
        <v>194</v>
      </c>
      <c r="H241">
        <v>10</v>
      </c>
    </row>
    <row r="242" spans="1:8">
      <c r="A242" s="6"/>
      <c r="B242">
        <v>26</v>
      </c>
      <c r="C242">
        <v>35</v>
      </c>
      <c r="D242">
        <v>5</v>
      </c>
      <c r="E242">
        <v>20</v>
      </c>
      <c r="F242">
        <v>154</v>
      </c>
      <c r="G242">
        <v>184</v>
      </c>
      <c r="H242">
        <v>10</v>
      </c>
    </row>
    <row r="243" spans="1:8">
      <c r="A243" s="6"/>
      <c r="B243">
        <v>27</v>
      </c>
      <c r="C243">
        <v>95</v>
      </c>
      <c r="D243">
        <v>30</v>
      </c>
      <c r="E243">
        <v>30</v>
      </c>
      <c r="F243">
        <v>0</v>
      </c>
      <c r="G243">
        <v>171</v>
      </c>
      <c r="H243">
        <v>10</v>
      </c>
    </row>
    <row r="244" spans="1:8">
      <c r="A244" s="6"/>
      <c r="B244">
        <v>28</v>
      </c>
      <c r="C244">
        <v>95</v>
      </c>
      <c r="D244">
        <v>35</v>
      </c>
      <c r="E244">
        <v>20</v>
      </c>
      <c r="F244">
        <v>62</v>
      </c>
      <c r="G244">
        <v>92</v>
      </c>
      <c r="H244">
        <v>10</v>
      </c>
    </row>
    <row r="245" spans="1:8">
      <c r="A245" s="6"/>
      <c r="B245">
        <v>29</v>
      </c>
      <c r="C245">
        <v>92</v>
      </c>
      <c r="D245">
        <v>30</v>
      </c>
      <c r="E245">
        <v>10</v>
      </c>
      <c r="F245">
        <v>0</v>
      </c>
      <c r="G245">
        <v>174</v>
      </c>
      <c r="H245">
        <v>10</v>
      </c>
    </row>
    <row r="246" spans="1:8">
      <c r="A246" s="6"/>
      <c r="B246">
        <v>30</v>
      </c>
      <c r="C246">
        <v>90</v>
      </c>
      <c r="D246">
        <v>35</v>
      </c>
      <c r="E246">
        <v>10</v>
      </c>
      <c r="F246">
        <v>0</v>
      </c>
      <c r="G246">
        <v>177</v>
      </c>
      <c r="H246">
        <v>10</v>
      </c>
    </row>
    <row r="247" spans="1:8">
      <c r="A247" s="6"/>
      <c r="B247">
        <v>31</v>
      </c>
      <c r="C247">
        <v>88</v>
      </c>
      <c r="D247">
        <v>30</v>
      </c>
      <c r="E247">
        <v>10</v>
      </c>
      <c r="F247">
        <v>74</v>
      </c>
      <c r="G247">
        <v>104</v>
      </c>
      <c r="H247">
        <v>10</v>
      </c>
    </row>
    <row r="248" spans="1:8">
      <c r="A248" s="6"/>
      <c r="B248">
        <v>32</v>
      </c>
      <c r="C248">
        <v>88</v>
      </c>
      <c r="D248">
        <v>35</v>
      </c>
      <c r="E248">
        <v>20</v>
      </c>
      <c r="F248">
        <v>0</v>
      </c>
      <c r="G248">
        <v>179</v>
      </c>
      <c r="H248">
        <v>10</v>
      </c>
    </row>
    <row r="249" spans="1:8">
      <c r="A249" s="6"/>
      <c r="B249">
        <v>33</v>
      </c>
      <c r="C249">
        <v>87</v>
      </c>
      <c r="D249">
        <v>30</v>
      </c>
      <c r="E249">
        <v>10</v>
      </c>
      <c r="F249">
        <v>0</v>
      </c>
      <c r="G249">
        <v>178</v>
      </c>
      <c r="H249">
        <v>10</v>
      </c>
    </row>
    <row r="250" spans="1:8">
      <c r="A250" s="6"/>
      <c r="B250">
        <v>34</v>
      </c>
      <c r="C250">
        <v>85</v>
      </c>
      <c r="D250">
        <v>25</v>
      </c>
      <c r="E250">
        <v>10</v>
      </c>
      <c r="F250">
        <v>51</v>
      </c>
      <c r="G250">
        <v>81</v>
      </c>
      <c r="H250">
        <v>10</v>
      </c>
    </row>
    <row r="251" spans="1:8">
      <c r="A251" s="6"/>
      <c r="B251">
        <v>35</v>
      </c>
      <c r="C251">
        <v>85</v>
      </c>
      <c r="D251">
        <v>35</v>
      </c>
      <c r="E251">
        <v>30</v>
      </c>
      <c r="F251">
        <v>0</v>
      </c>
      <c r="G251">
        <v>182</v>
      </c>
      <c r="H251">
        <v>10</v>
      </c>
    </row>
    <row r="252" spans="1:8">
      <c r="A252" s="6"/>
      <c r="B252">
        <v>36</v>
      </c>
      <c r="C252">
        <v>67</v>
      </c>
      <c r="D252">
        <v>85</v>
      </c>
      <c r="E252">
        <v>20</v>
      </c>
      <c r="F252">
        <v>139</v>
      </c>
      <c r="G252">
        <v>169</v>
      </c>
      <c r="H252">
        <v>10</v>
      </c>
    </row>
    <row r="253" spans="1:8">
      <c r="A253" s="6"/>
      <c r="B253">
        <v>37</v>
      </c>
      <c r="C253">
        <v>65</v>
      </c>
      <c r="D253">
        <v>85</v>
      </c>
      <c r="E253">
        <v>40</v>
      </c>
      <c r="F253">
        <v>43</v>
      </c>
      <c r="G253">
        <v>73</v>
      </c>
      <c r="H253">
        <v>10</v>
      </c>
    </row>
    <row r="254" spans="1:8">
      <c r="A254" s="6"/>
      <c r="B254">
        <v>38</v>
      </c>
      <c r="C254">
        <v>65</v>
      </c>
      <c r="D254">
        <v>82</v>
      </c>
      <c r="E254">
        <v>10</v>
      </c>
      <c r="F254">
        <v>0</v>
      </c>
      <c r="G254">
        <v>189</v>
      </c>
      <c r="H254">
        <v>10</v>
      </c>
    </row>
    <row r="255" spans="1:8">
      <c r="A255" s="6"/>
      <c r="B255">
        <v>39</v>
      </c>
      <c r="C255">
        <v>62</v>
      </c>
      <c r="D255">
        <v>80</v>
      </c>
      <c r="E255">
        <v>30</v>
      </c>
      <c r="F255">
        <v>75</v>
      </c>
      <c r="G255">
        <v>105</v>
      </c>
      <c r="H255">
        <v>10</v>
      </c>
    </row>
    <row r="256" spans="1:8">
      <c r="A256" s="6"/>
      <c r="B256">
        <v>40</v>
      </c>
      <c r="C256">
        <v>60</v>
      </c>
      <c r="D256">
        <v>80</v>
      </c>
      <c r="E256">
        <v>10</v>
      </c>
      <c r="F256">
        <v>37</v>
      </c>
      <c r="G256">
        <v>67</v>
      </c>
      <c r="H256">
        <v>10</v>
      </c>
    </row>
    <row r="257" spans="1:8">
      <c r="A257" s="6"/>
      <c r="B257">
        <v>41</v>
      </c>
      <c r="C257">
        <v>60</v>
      </c>
      <c r="D257">
        <v>85</v>
      </c>
      <c r="E257">
        <v>30</v>
      </c>
      <c r="F257">
        <v>85</v>
      </c>
      <c r="G257">
        <v>115</v>
      </c>
      <c r="H257">
        <v>10</v>
      </c>
    </row>
    <row r="258" spans="1:8">
      <c r="A258" s="6"/>
      <c r="B258">
        <v>42</v>
      </c>
      <c r="C258">
        <v>58</v>
      </c>
      <c r="D258">
        <v>75</v>
      </c>
      <c r="E258">
        <v>20</v>
      </c>
      <c r="F258">
        <v>92</v>
      </c>
      <c r="G258">
        <v>122</v>
      </c>
      <c r="H258">
        <v>10</v>
      </c>
    </row>
    <row r="259" spans="1:8">
      <c r="A259" s="6"/>
      <c r="B259">
        <v>43</v>
      </c>
      <c r="C259">
        <v>55</v>
      </c>
      <c r="D259">
        <v>80</v>
      </c>
      <c r="E259">
        <v>10</v>
      </c>
      <c r="F259">
        <v>33</v>
      </c>
      <c r="G259">
        <v>63</v>
      </c>
      <c r="H259">
        <v>10</v>
      </c>
    </row>
    <row r="260" spans="1:8">
      <c r="A260" s="6"/>
      <c r="B260">
        <v>44</v>
      </c>
      <c r="C260">
        <v>55</v>
      </c>
      <c r="D260">
        <v>85</v>
      </c>
      <c r="E260">
        <v>20</v>
      </c>
      <c r="F260">
        <v>0</v>
      </c>
      <c r="G260">
        <v>191</v>
      </c>
      <c r="H260">
        <v>10</v>
      </c>
    </row>
    <row r="261" spans="1:8">
      <c r="A261" s="6"/>
      <c r="B261">
        <v>45</v>
      </c>
      <c r="C261">
        <v>55</v>
      </c>
      <c r="D261">
        <v>82</v>
      </c>
      <c r="E261">
        <v>10</v>
      </c>
      <c r="F261">
        <v>64</v>
      </c>
      <c r="G261">
        <v>94</v>
      </c>
      <c r="H261">
        <v>10</v>
      </c>
    </row>
    <row r="262" spans="1:8">
      <c r="A262" s="6"/>
      <c r="B262">
        <v>46</v>
      </c>
      <c r="C262">
        <v>20</v>
      </c>
      <c r="D262">
        <v>82</v>
      </c>
      <c r="E262">
        <v>10</v>
      </c>
      <c r="F262">
        <v>37</v>
      </c>
      <c r="G262">
        <v>67</v>
      </c>
      <c r="H262">
        <v>10</v>
      </c>
    </row>
    <row r="263" spans="1:8">
      <c r="A263" s="6"/>
      <c r="B263">
        <v>47</v>
      </c>
      <c r="C263">
        <v>18</v>
      </c>
      <c r="D263">
        <v>80</v>
      </c>
      <c r="E263">
        <v>10</v>
      </c>
      <c r="F263">
        <v>0</v>
      </c>
      <c r="G263">
        <v>192</v>
      </c>
      <c r="H263">
        <v>10</v>
      </c>
    </row>
    <row r="264" spans="1:8">
      <c r="A264" s="6"/>
      <c r="B264">
        <v>48</v>
      </c>
      <c r="C264">
        <v>2</v>
      </c>
      <c r="D264">
        <v>45</v>
      </c>
      <c r="E264">
        <v>10</v>
      </c>
      <c r="F264">
        <v>0</v>
      </c>
      <c r="G264">
        <v>191</v>
      </c>
      <c r="H264">
        <v>10</v>
      </c>
    </row>
    <row r="265" spans="1:8">
      <c r="A265" s="6"/>
      <c r="B265">
        <v>49</v>
      </c>
      <c r="C265">
        <v>42</v>
      </c>
      <c r="D265">
        <v>5</v>
      </c>
      <c r="E265">
        <v>10</v>
      </c>
      <c r="F265">
        <v>0</v>
      </c>
      <c r="G265">
        <v>184</v>
      </c>
      <c r="H265">
        <v>10</v>
      </c>
    </row>
    <row r="266" spans="1:8">
      <c r="A266" s="6"/>
      <c r="B266">
        <v>50</v>
      </c>
      <c r="C266">
        <v>42</v>
      </c>
      <c r="D266">
        <v>12</v>
      </c>
      <c r="E266">
        <v>10</v>
      </c>
      <c r="F266">
        <v>104</v>
      </c>
      <c r="G266">
        <v>134</v>
      </c>
      <c r="H266">
        <v>10</v>
      </c>
    </row>
    <row r="267" spans="1:8">
      <c r="A267" s="6"/>
      <c r="B267">
        <v>51</v>
      </c>
      <c r="C267">
        <v>72</v>
      </c>
      <c r="D267">
        <v>35</v>
      </c>
      <c r="E267">
        <v>30</v>
      </c>
      <c r="F267">
        <v>0</v>
      </c>
      <c r="G267">
        <v>194</v>
      </c>
      <c r="H267">
        <v>10</v>
      </c>
    </row>
    <row r="268" spans="1:8">
      <c r="A268" s="6"/>
      <c r="B268">
        <v>52</v>
      </c>
      <c r="C268">
        <v>55</v>
      </c>
      <c r="D268">
        <v>20</v>
      </c>
      <c r="E268">
        <v>19</v>
      </c>
      <c r="F268">
        <v>0</v>
      </c>
      <c r="G268">
        <v>196</v>
      </c>
      <c r="H268">
        <v>10</v>
      </c>
    </row>
    <row r="269" spans="1:8">
      <c r="A269" s="6"/>
      <c r="B269">
        <v>53</v>
      </c>
      <c r="C269">
        <v>25</v>
      </c>
      <c r="D269">
        <v>30</v>
      </c>
      <c r="E269">
        <v>3</v>
      </c>
      <c r="F269">
        <v>0</v>
      </c>
      <c r="G269">
        <v>205</v>
      </c>
      <c r="H269">
        <v>10</v>
      </c>
    </row>
    <row r="270" spans="1:8">
      <c r="A270" s="6"/>
      <c r="B270">
        <v>54</v>
      </c>
      <c r="C270">
        <v>20</v>
      </c>
      <c r="D270">
        <v>50</v>
      </c>
      <c r="E270">
        <v>5</v>
      </c>
      <c r="F270">
        <v>91</v>
      </c>
      <c r="G270">
        <v>121</v>
      </c>
      <c r="H270">
        <v>10</v>
      </c>
    </row>
    <row r="271" spans="1:8">
      <c r="A271" s="6"/>
      <c r="B271">
        <v>55</v>
      </c>
      <c r="C271">
        <v>55</v>
      </c>
      <c r="D271">
        <v>60</v>
      </c>
      <c r="E271">
        <v>16</v>
      </c>
      <c r="F271">
        <v>0</v>
      </c>
      <c r="G271">
        <v>211</v>
      </c>
      <c r="H271">
        <v>10</v>
      </c>
    </row>
    <row r="272" spans="1:8">
      <c r="A272" s="6"/>
      <c r="B272">
        <v>56</v>
      </c>
      <c r="C272">
        <v>30</v>
      </c>
      <c r="D272">
        <v>60</v>
      </c>
      <c r="E272">
        <v>16</v>
      </c>
      <c r="F272">
        <v>140</v>
      </c>
      <c r="G272">
        <v>170</v>
      </c>
      <c r="H272">
        <v>10</v>
      </c>
    </row>
    <row r="273" spans="1:8">
      <c r="A273" s="6"/>
      <c r="B273">
        <v>57</v>
      </c>
      <c r="C273">
        <v>50</v>
      </c>
      <c r="D273">
        <v>35</v>
      </c>
      <c r="E273">
        <v>19</v>
      </c>
      <c r="F273">
        <v>130</v>
      </c>
      <c r="G273">
        <v>160</v>
      </c>
      <c r="H273">
        <v>10</v>
      </c>
    </row>
    <row r="274" spans="1:8">
      <c r="A274" s="6"/>
      <c r="B274">
        <v>58</v>
      </c>
      <c r="C274">
        <v>30</v>
      </c>
      <c r="D274">
        <v>25</v>
      </c>
      <c r="E274">
        <v>23</v>
      </c>
      <c r="F274">
        <v>0</v>
      </c>
      <c r="G274">
        <v>203</v>
      </c>
      <c r="H274">
        <v>10</v>
      </c>
    </row>
    <row r="275" spans="1:8">
      <c r="A275" s="6"/>
      <c r="B275">
        <v>59</v>
      </c>
      <c r="C275">
        <v>15</v>
      </c>
      <c r="D275">
        <v>10</v>
      </c>
      <c r="E275">
        <v>20</v>
      </c>
      <c r="F275">
        <v>152</v>
      </c>
      <c r="G275">
        <v>182</v>
      </c>
      <c r="H275">
        <v>10</v>
      </c>
    </row>
    <row r="276" spans="1:8">
      <c r="A276" s="6"/>
      <c r="B276">
        <v>60</v>
      </c>
      <c r="C276">
        <v>10</v>
      </c>
      <c r="D276">
        <v>20</v>
      </c>
      <c r="E276">
        <v>19</v>
      </c>
      <c r="F276">
        <v>0</v>
      </c>
      <c r="G276">
        <v>187</v>
      </c>
      <c r="H276">
        <v>10</v>
      </c>
    </row>
    <row r="277" spans="1:8">
      <c r="A277" s="6"/>
      <c r="B277">
        <v>61</v>
      </c>
      <c r="C277">
        <v>15</v>
      </c>
      <c r="D277">
        <v>60</v>
      </c>
      <c r="E277">
        <v>17</v>
      </c>
      <c r="F277">
        <v>0</v>
      </c>
      <c r="G277">
        <v>203</v>
      </c>
      <c r="H277">
        <v>10</v>
      </c>
    </row>
    <row r="278" spans="1:8">
      <c r="A278" s="6"/>
      <c r="B278">
        <v>62</v>
      </c>
      <c r="C278">
        <v>45</v>
      </c>
      <c r="D278">
        <v>65</v>
      </c>
      <c r="E278">
        <v>9</v>
      </c>
      <c r="F278">
        <v>0</v>
      </c>
      <c r="G278">
        <v>214</v>
      </c>
      <c r="H278">
        <v>10</v>
      </c>
    </row>
    <row r="279" spans="1:8">
      <c r="A279" s="6"/>
      <c r="B279">
        <v>63</v>
      </c>
      <c r="C279">
        <v>65</v>
      </c>
      <c r="D279">
        <v>35</v>
      </c>
      <c r="E279">
        <v>3</v>
      </c>
      <c r="F279">
        <v>52</v>
      </c>
      <c r="G279">
        <v>82</v>
      </c>
      <c r="H279">
        <v>10</v>
      </c>
    </row>
    <row r="280" spans="1:8">
      <c r="A280" s="6"/>
      <c r="B280">
        <v>64</v>
      </c>
      <c r="C280">
        <v>65</v>
      </c>
      <c r="D280">
        <v>20</v>
      </c>
      <c r="E280">
        <v>6</v>
      </c>
      <c r="F280">
        <v>0</v>
      </c>
      <c r="G280">
        <v>190</v>
      </c>
      <c r="H280">
        <v>10</v>
      </c>
    </row>
    <row r="281" spans="1:8">
      <c r="A281" s="6"/>
      <c r="B281">
        <v>65</v>
      </c>
      <c r="C281">
        <v>45</v>
      </c>
      <c r="D281">
        <v>30</v>
      </c>
      <c r="E281">
        <v>17</v>
      </c>
      <c r="F281">
        <v>53</v>
      </c>
      <c r="G281">
        <v>83</v>
      </c>
      <c r="H281">
        <v>10</v>
      </c>
    </row>
    <row r="282" spans="1:8">
      <c r="A282" s="6"/>
      <c r="B282">
        <v>66</v>
      </c>
      <c r="C282">
        <v>35</v>
      </c>
      <c r="D282">
        <v>40</v>
      </c>
      <c r="E282">
        <v>16</v>
      </c>
      <c r="F282">
        <v>11</v>
      </c>
      <c r="G282">
        <v>41</v>
      </c>
      <c r="H282">
        <v>10</v>
      </c>
    </row>
    <row r="283" spans="1:8">
      <c r="A283" s="6"/>
      <c r="B283">
        <v>67</v>
      </c>
      <c r="C283">
        <v>41</v>
      </c>
      <c r="D283">
        <v>37</v>
      </c>
      <c r="E283">
        <v>16</v>
      </c>
      <c r="F283">
        <v>133</v>
      </c>
      <c r="G283">
        <v>163</v>
      </c>
      <c r="H283">
        <v>10</v>
      </c>
    </row>
    <row r="284" spans="1:8">
      <c r="A284" s="6"/>
      <c r="B284">
        <v>68</v>
      </c>
      <c r="C284">
        <v>64</v>
      </c>
      <c r="D284">
        <v>42</v>
      </c>
      <c r="E284">
        <v>9</v>
      </c>
      <c r="F284">
        <v>70</v>
      </c>
      <c r="G284">
        <v>100</v>
      </c>
      <c r="H284">
        <v>10</v>
      </c>
    </row>
    <row r="285" spans="1:8">
      <c r="A285" s="6"/>
      <c r="B285">
        <v>69</v>
      </c>
      <c r="C285">
        <v>40</v>
      </c>
      <c r="D285">
        <v>60</v>
      </c>
      <c r="E285">
        <v>21</v>
      </c>
      <c r="F285">
        <v>144</v>
      </c>
      <c r="G285">
        <v>174</v>
      </c>
      <c r="H285">
        <v>10</v>
      </c>
    </row>
    <row r="286" spans="1:8">
      <c r="A286" s="6"/>
      <c r="B286">
        <v>70</v>
      </c>
      <c r="C286">
        <v>31</v>
      </c>
      <c r="D286">
        <v>52</v>
      </c>
      <c r="E286">
        <v>27</v>
      </c>
      <c r="F286">
        <v>41</v>
      </c>
      <c r="G286">
        <v>71</v>
      </c>
      <c r="H286">
        <v>10</v>
      </c>
    </row>
    <row r="287" spans="1:8">
      <c r="A287" s="6"/>
      <c r="B287">
        <v>71</v>
      </c>
      <c r="C287">
        <v>35</v>
      </c>
      <c r="D287">
        <v>69</v>
      </c>
      <c r="E287">
        <v>23</v>
      </c>
      <c r="F287">
        <v>180</v>
      </c>
      <c r="G287">
        <v>210</v>
      </c>
      <c r="H287">
        <v>10</v>
      </c>
    </row>
    <row r="288" spans="1:8">
      <c r="A288" s="6"/>
      <c r="B288">
        <v>72</v>
      </c>
      <c r="C288">
        <v>65</v>
      </c>
      <c r="D288">
        <v>55</v>
      </c>
      <c r="E288">
        <v>14</v>
      </c>
      <c r="F288">
        <v>0</v>
      </c>
      <c r="G288">
        <v>204</v>
      </c>
      <c r="H288">
        <v>10</v>
      </c>
    </row>
    <row r="289" spans="1:8">
      <c r="A289" s="6"/>
      <c r="B289">
        <v>73</v>
      </c>
      <c r="C289">
        <v>63</v>
      </c>
      <c r="D289">
        <v>65</v>
      </c>
      <c r="E289">
        <v>8</v>
      </c>
      <c r="F289">
        <v>0</v>
      </c>
      <c r="G289">
        <v>202</v>
      </c>
      <c r="H289">
        <v>10</v>
      </c>
    </row>
    <row r="290" spans="1:8">
      <c r="A290" s="6"/>
      <c r="B290">
        <v>74</v>
      </c>
      <c r="C290">
        <v>2</v>
      </c>
      <c r="D290">
        <v>60</v>
      </c>
      <c r="E290">
        <v>5</v>
      </c>
      <c r="F290">
        <v>0</v>
      </c>
      <c r="G290">
        <v>190</v>
      </c>
      <c r="H290">
        <v>10</v>
      </c>
    </row>
    <row r="291" spans="1:8">
      <c r="A291" s="6"/>
      <c r="B291">
        <v>75</v>
      </c>
      <c r="C291">
        <v>20</v>
      </c>
      <c r="D291">
        <v>20</v>
      </c>
      <c r="E291">
        <v>8</v>
      </c>
      <c r="F291">
        <v>141</v>
      </c>
      <c r="G291">
        <v>171</v>
      </c>
      <c r="H291">
        <v>10</v>
      </c>
    </row>
    <row r="292" spans="1:8">
      <c r="A292" s="6"/>
      <c r="B292">
        <v>76</v>
      </c>
      <c r="C292">
        <v>5</v>
      </c>
      <c r="D292">
        <v>5</v>
      </c>
      <c r="E292">
        <v>16</v>
      </c>
      <c r="F292">
        <v>0</v>
      </c>
      <c r="G292">
        <v>172</v>
      </c>
      <c r="H292">
        <v>10</v>
      </c>
    </row>
    <row r="293" spans="1:8">
      <c r="A293" s="6"/>
      <c r="B293">
        <v>77</v>
      </c>
      <c r="C293">
        <v>60</v>
      </c>
      <c r="D293">
        <v>12</v>
      </c>
      <c r="E293">
        <v>31</v>
      </c>
      <c r="F293">
        <v>75</v>
      </c>
      <c r="G293">
        <v>105</v>
      </c>
      <c r="H293">
        <v>10</v>
      </c>
    </row>
    <row r="294" spans="1:8">
      <c r="A294" s="6"/>
      <c r="B294">
        <v>78</v>
      </c>
      <c r="C294">
        <v>23</v>
      </c>
      <c r="D294">
        <v>3</v>
      </c>
      <c r="E294">
        <v>7</v>
      </c>
      <c r="F294">
        <v>150</v>
      </c>
      <c r="G294">
        <v>180</v>
      </c>
      <c r="H294">
        <v>10</v>
      </c>
    </row>
    <row r="295" spans="1:8">
      <c r="A295" s="6"/>
      <c r="B295">
        <v>79</v>
      </c>
      <c r="C295">
        <v>8</v>
      </c>
      <c r="D295">
        <v>56</v>
      </c>
      <c r="E295">
        <v>27</v>
      </c>
      <c r="F295">
        <v>90</v>
      </c>
      <c r="G295">
        <v>120</v>
      </c>
      <c r="H295">
        <v>10</v>
      </c>
    </row>
    <row r="296" spans="1:8">
      <c r="A296" s="6"/>
      <c r="B296">
        <v>80</v>
      </c>
      <c r="C296">
        <v>6</v>
      </c>
      <c r="D296">
        <v>68</v>
      </c>
      <c r="E296">
        <v>30</v>
      </c>
      <c r="F296">
        <v>89</v>
      </c>
      <c r="G296">
        <v>119</v>
      </c>
      <c r="H296">
        <v>10</v>
      </c>
    </row>
    <row r="297" spans="1:8">
      <c r="A297" s="6"/>
      <c r="B297">
        <v>81</v>
      </c>
      <c r="C297">
        <v>47</v>
      </c>
      <c r="D297">
        <v>47</v>
      </c>
      <c r="E297">
        <v>13</v>
      </c>
      <c r="F297">
        <v>192</v>
      </c>
      <c r="G297">
        <v>222</v>
      </c>
      <c r="H297">
        <v>10</v>
      </c>
    </row>
    <row r="298" spans="1:8">
      <c r="A298" s="6"/>
      <c r="B298">
        <v>82</v>
      </c>
      <c r="C298">
        <v>49</v>
      </c>
      <c r="D298">
        <v>58</v>
      </c>
      <c r="E298">
        <v>10</v>
      </c>
      <c r="F298">
        <v>0</v>
      </c>
      <c r="G298">
        <v>217</v>
      </c>
      <c r="H298">
        <v>10</v>
      </c>
    </row>
    <row r="299" spans="1:8">
      <c r="A299" s="6"/>
      <c r="B299">
        <v>83</v>
      </c>
      <c r="C299">
        <v>27</v>
      </c>
      <c r="D299">
        <v>43</v>
      </c>
      <c r="E299">
        <v>9</v>
      </c>
      <c r="F299">
        <v>0</v>
      </c>
      <c r="G299">
        <v>215</v>
      </c>
      <c r="H299">
        <v>10</v>
      </c>
    </row>
    <row r="300" spans="1:8">
      <c r="A300" s="6"/>
      <c r="B300">
        <v>84</v>
      </c>
      <c r="C300">
        <v>37</v>
      </c>
      <c r="D300">
        <v>31</v>
      </c>
      <c r="E300">
        <v>14</v>
      </c>
      <c r="F300">
        <v>0</v>
      </c>
      <c r="G300">
        <v>210</v>
      </c>
      <c r="H300">
        <v>10</v>
      </c>
    </row>
    <row r="301" spans="1:8">
      <c r="A301" s="6"/>
      <c r="B301">
        <v>85</v>
      </c>
      <c r="C301">
        <v>57</v>
      </c>
      <c r="D301">
        <v>29</v>
      </c>
      <c r="E301">
        <v>18</v>
      </c>
      <c r="F301">
        <v>96</v>
      </c>
      <c r="G301">
        <v>126</v>
      </c>
      <c r="H301">
        <v>10</v>
      </c>
    </row>
    <row r="302" spans="1:8">
      <c r="A302" s="6"/>
      <c r="B302">
        <v>86</v>
      </c>
      <c r="C302">
        <v>63</v>
      </c>
      <c r="D302">
        <v>23</v>
      </c>
      <c r="E302">
        <v>2</v>
      </c>
      <c r="F302">
        <v>0</v>
      </c>
      <c r="G302">
        <v>194</v>
      </c>
      <c r="H302">
        <v>10</v>
      </c>
    </row>
    <row r="303" spans="1:8">
      <c r="A303" s="6"/>
      <c r="B303">
        <v>87</v>
      </c>
      <c r="C303">
        <v>21</v>
      </c>
      <c r="D303">
        <v>24</v>
      </c>
      <c r="E303">
        <v>28</v>
      </c>
      <c r="F303">
        <v>0</v>
      </c>
      <c r="G303">
        <v>197</v>
      </c>
      <c r="H303">
        <v>10</v>
      </c>
    </row>
    <row r="304" spans="1:8">
      <c r="A304" s="6"/>
      <c r="B304">
        <v>88</v>
      </c>
      <c r="C304">
        <v>12</v>
      </c>
      <c r="D304">
        <v>24</v>
      </c>
      <c r="E304">
        <v>13</v>
      </c>
      <c r="F304">
        <v>90</v>
      </c>
      <c r="G304">
        <v>120</v>
      </c>
      <c r="H304">
        <v>10</v>
      </c>
    </row>
    <row r="305" spans="1:8">
      <c r="A305" s="6"/>
      <c r="B305">
        <v>89</v>
      </c>
      <c r="C305">
        <v>24</v>
      </c>
      <c r="D305">
        <v>58</v>
      </c>
      <c r="E305">
        <v>19</v>
      </c>
      <c r="F305">
        <v>67</v>
      </c>
      <c r="G305">
        <v>97</v>
      </c>
      <c r="H305">
        <v>10</v>
      </c>
    </row>
    <row r="306" spans="1:8">
      <c r="A306" s="6"/>
      <c r="B306">
        <v>90</v>
      </c>
      <c r="C306">
        <v>67</v>
      </c>
      <c r="D306">
        <v>5</v>
      </c>
      <c r="E306">
        <v>25</v>
      </c>
      <c r="F306">
        <v>0</v>
      </c>
      <c r="G306">
        <v>177</v>
      </c>
      <c r="H306">
        <v>10</v>
      </c>
    </row>
    <row r="307" spans="1:8">
      <c r="A307" s="6"/>
      <c r="B307">
        <v>91</v>
      </c>
      <c r="C307">
        <v>37</v>
      </c>
      <c r="D307">
        <v>47</v>
      </c>
      <c r="E307">
        <v>6</v>
      </c>
      <c r="F307">
        <v>0</v>
      </c>
      <c r="G307">
        <v>225</v>
      </c>
      <c r="H307">
        <v>10</v>
      </c>
    </row>
    <row r="308" spans="1:8">
      <c r="A308" s="6"/>
      <c r="B308">
        <v>92</v>
      </c>
      <c r="C308">
        <v>49</v>
      </c>
      <c r="D308">
        <v>42</v>
      </c>
      <c r="E308">
        <v>13</v>
      </c>
      <c r="F308">
        <v>0</v>
      </c>
      <c r="G308">
        <v>217</v>
      </c>
      <c r="H308">
        <v>10</v>
      </c>
    </row>
    <row r="309" spans="1:8">
      <c r="A309" s="6"/>
      <c r="B309">
        <v>93</v>
      </c>
      <c r="C309">
        <v>53</v>
      </c>
      <c r="D309">
        <v>43</v>
      </c>
      <c r="E309">
        <v>14</v>
      </c>
      <c r="F309">
        <v>14</v>
      </c>
      <c r="G309">
        <v>44</v>
      </c>
      <c r="H309">
        <v>10</v>
      </c>
    </row>
    <row r="310" spans="1:8">
      <c r="A310" s="6"/>
      <c r="B310">
        <v>94</v>
      </c>
      <c r="C310">
        <v>61</v>
      </c>
      <c r="D310">
        <v>52</v>
      </c>
      <c r="E310">
        <v>3</v>
      </c>
      <c r="F310">
        <v>178</v>
      </c>
      <c r="G310">
        <v>208</v>
      </c>
      <c r="H310">
        <v>10</v>
      </c>
    </row>
    <row r="311" spans="1:8">
      <c r="A311" s="6"/>
      <c r="B311">
        <v>95</v>
      </c>
      <c r="C311">
        <v>57</v>
      </c>
      <c r="D311">
        <v>48</v>
      </c>
      <c r="E311">
        <v>23</v>
      </c>
      <c r="F311">
        <v>0</v>
      </c>
      <c r="G311">
        <v>212</v>
      </c>
      <c r="H311">
        <v>10</v>
      </c>
    </row>
    <row r="312" spans="1:8">
      <c r="A312" s="6"/>
      <c r="B312">
        <v>96</v>
      </c>
      <c r="C312">
        <v>56</v>
      </c>
      <c r="D312">
        <v>37</v>
      </c>
      <c r="E312">
        <v>6</v>
      </c>
      <c r="F312">
        <v>0</v>
      </c>
      <c r="G312">
        <v>209</v>
      </c>
      <c r="H312">
        <v>10</v>
      </c>
    </row>
    <row r="313" spans="1:8">
      <c r="A313" s="6"/>
      <c r="B313">
        <v>97</v>
      </c>
      <c r="C313">
        <v>55</v>
      </c>
      <c r="D313">
        <v>54</v>
      </c>
      <c r="E313">
        <v>26</v>
      </c>
      <c r="F313">
        <v>0</v>
      </c>
      <c r="G313">
        <v>214</v>
      </c>
      <c r="H313">
        <v>10</v>
      </c>
    </row>
    <row r="314" spans="1:8">
      <c r="A314" s="6"/>
      <c r="B314">
        <v>98</v>
      </c>
      <c r="C314">
        <v>4</v>
      </c>
      <c r="D314">
        <v>18</v>
      </c>
      <c r="E314">
        <v>35</v>
      </c>
      <c r="F314">
        <v>0</v>
      </c>
      <c r="G314">
        <v>181</v>
      </c>
      <c r="H314">
        <v>10</v>
      </c>
    </row>
    <row r="315" spans="1:8">
      <c r="A315" s="6"/>
      <c r="B315">
        <v>99</v>
      </c>
      <c r="C315">
        <v>26</v>
      </c>
      <c r="D315">
        <v>52</v>
      </c>
      <c r="E315">
        <v>9</v>
      </c>
      <c r="F315">
        <v>0</v>
      </c>
      <c r="G315">
        <v>215</v>
      </c>
      <c r="H315">
        <v>10</v>
      </c>
    </row>
    <row r="316" spans="1:8">
      <c r="A316" s="6"/>
      <c r="B316">
        <v>100</v>
      </c>
      <c r="C316">
        <v>26</v>
      </c>
      <c r="D316">
        <v>35</v>
      </c>
      <c r="E316">
        <v>15</v>
      </c>
      <c r="F316">
        <v>77</v>
      </c>
      <c r="G316">
        <v>107</v>
      </c>
      <c r="H316">
        <v>10</v>
      </c>
    </row>
    <row r="317" spans="1:8">
      <c r="A317" s="6"/>
      <c r="B317">
        <v>101</v>
      </c>
      <c r="C317">
        <v>31</v>
      </c>
      <c r="D317">
        <v>67</v>
      </c>
      <c r="E317">
        <v>3</v>
      </c>
      <c r="F317">
        <v>180</v>
      </c>
      <c r="G317">
        <v>210</v>
      </c>
      <c r="H317">
        <v>10</v>
      </c>
    </row>
    <row r="320" spans="1:8" ht="17.399999999999999">
      <c r="A320" s="7" t="s">
        <v>49</v>
      </c>
    </row>
    <row r="321" spans="1:8">
      <c r="A321" s="4"/>
      <c r="B321" t="s">
        <v>32</v>
      </c>
      <c r="C321" t="s">
        <v>26</v>
      </c>
      <c r="D321" t="s">
        <v>27</v>
      </c>
      <c r="E321" t="s">
        <v>28</v>
      </c>
      <c r="F321" t="s">
        <v>29</v>
      </c>
      <c r="G321" t="s">
        <v>30</v>
      </c>
      <c r="H321" t="s">
        <v>31</v>
      </c>
    </row>
    <row r="322" spans="1:8">
      <c r="A322" s="6"/>
      <c r="B322">
        <v>1</v>
      </c>
      <c r="C322">
        <v>40</v>
      </c>
      <c r="D322">
        <v>50</v>
      </c>
      <c r="E322">
        <v>0</v>
      </c>
      <c r="F322">
        <v>0</v>
      </c>
      <c r="G322">
        <v>240</v>
      </c>
      <c r="H322">
        <v>0</v>
      </c>
    </row>
    <row r="323" spans="1:8">
      <c r="A323" s="6"/>
      <c r="B323">
        <v>2</v>
      </c>
      <c r="C323">
        <v>25</v>
      </c>
      <c r="D323">
        <v>85</v>
      </c>
      <c r="E323">
        <v>20</v>
      </c>
      <c r="F323">
        <v>0</v>
      </c>
      <c r="G323">
        <v>191</v>
      </c>
      <c r="H323">
        <v>10</v>
      </c>
    </row>
    <row r="324" spans="1:8">
      <c r="A324" s="6"/>
      <c r="B324">
        <v>3</v>
      </c>
      <c r="C324">
        <v>22</v>
      </c>
      <c r="D324">
        <v>75</v>
      </c>
      <c r="E324">
        <v>30</v>
      </c>
      <c r="F324">
        <v>0</v>
      </c>
      <c r="G324">
        <v>199</v>
      </c>
      <c r="H324">
        <v>10</v>
      </c>
    </row>
    <row r="325" spans="1:8">
      <c r="A325" s="6"/>
      <c r="B325">
        <v>4</v>
      </c>
      <c r="C325">
        <v>22</v>
      </c>
      <c r="D325">
        <v>85</v>
      </c>
      <c r="E325">
        <v>10</v>
      </c>
      <c r="F325">
        <v>0</v>
      </c>
      <c r="G325">
        <v>190</v>
      </c>
      <c r="H325">
        <v>10</v>
      </c>
    </row>
    <row r="326" spans="1:8">
      <c r="A326" s="6"/>
      <c r="B326">
        <v>5</v>
      </c>
      <c r="C326">
        <v>20</v>
      </c>
      <c r="D326">
        <v>80</v>
      </c>
      <c r="E326">
        <v>40</v>
      </c>
      <c r="F326">
        <v>141</v>
      </c>
      <c r="G326">
        <v>171</v>
      </c>
      <c r="H326">
        <v>10</v>
      </c>
    </row>
    <row r="327" spans="1:8">
      <c r="A327" s="6"/>
      <c r="B327">
        <v>6</v>
      </c>
      <c r="C327">
        <v>20</v>
      </c>
      <c r="D327">
        <v>85</v>
      </c>
      <c r="E327">
        <v>20</v>
      </c>
      <c r="F327">
        <v>0</v>
      </c>
      <c r="G327">
        <v>189</v>
      </c>
      <c r="H327">
        <v>10</v>
      </c>
    </row>
    <row r="328" spans="1:8">
      <c r="A328" s="6"/>
      <c r="B328">
        <v>7</v>
      </c>
      <c r="C328">
        <v>18</v>
      </c>
      <c r="D328">
        <v>75</v>
      </c>
      <c r="E328">
        <v>20</v>
      </c>
      <c r="F328">
        <v>0</v>
      </c>
      <c r="G328">
        <v>196</v>
      </c>
      <c r="H328">
        <v>10</v>
      </c>
    </row>
    <row r="329" spans="1:8">
      <c r="A329" s="6"/>
      <c r="B329">
        <v>8</v>
      </c>
      <c r="C329">
        <v>15</v>
      </c>
      <c r="D329">
        <v>75</v>
      </c>
      <c r="E329">
        <v>20</v>
      </c>
      <c r="F329">
        <v>0</v>
      </c>
      <c r="G329">
        <v>194</v>
      </c>
      <c r="H329">
        <v>10</v>
      </c>
    </row>
    <row r="330" spans="1:8">
      <c r="A330" s="6"/>
      <c r="B330">
        <v>9</v>
      </c>
      <c r="C330">
        <v>15</v>
      </c>
      <c r="D330">
        <v>80</v>
      </c>
      <c r="E330">
        <v>10</v>
      </c>
      <c r="F330">
        <v>91</v>
      </c>
      <c r="G330">
        <v>121</v>
      </c>
      <c r="H330">
        <v>10</v>
      </c>
    </row>
    <row r="331" spans="1:8">
      <c r="A331" s="6"/>
      <c r="B331">
        <v>10</v>
      </c>
      <c r="C331">
        <v>10</v>
      </c>
      <c r="D331">
        <v>35</v>
      </c>
      <c r="E331">
        <v>20</v>
      </c>
      <c r="F331">
        <v>91</v>
      </c>
      <c r="G331">
        <v>121</v>
      </c>
      <c r="H331">
        <v>10</v>
      </c>
    </row>
    <row r="332" spans="1:8">
      <c r="A332" s="6"/>
      <c r="B332">
        <v>11</v>
      </c>
      <c r="C332">
        <v>10</v>
      </c>
      <c r="D332">
        <v>40</v>
      </c>
      <c r="E332">
        <v>30</v>
      </c>
      <c r="F332">
        <v>0</v>
      </c>
      <c r="G332">
        <v>198</v>
      </c>
      <c r="H332">
        <v>10</v>
      </c>
    </row>
    <row r="333" spans="1:8">
      <c r="A333" s="6"/>
      <c r="B333">
        <v>12</v>
      </c>
      <c r="C333">
        <v>8</v>
      </c>
      <c r="D333">
        <v>40</v>
      </c>
      <c r="E333">
        <v>40</v>
      </c>
      <c r="F333">
        <v>59</v>
      </c>
      <c r="G333">
        <v>89</v>
      </c>
      <c r="H333">
        <v>10</v>
      </c>
    </row>
    <row r="334" spans="1:8">
      <c r="A334" s="6"/>
      <c r="B334">
        <v>13</v>
      </c>
      <c r="C334">
        <v>8</v>
      </c>
      <c r="D334">
        <v>45</v>
      </c>
      <c r="E334">
        <v>20</v>
      </c>
      <c r="F334">
        <v>0</v>
      </c>
      <c r="G334">
        <v>197</v>
      </c>
      <c r="H334">
        <v>10</v>
      </c>
    </row>
    <row r="335" spans="1:8">
      <c r="A335" s="6"/>
      <c r="B335">
        <v>14</v>
      </c>
      <c r="C335">
        <v>5</v>
      </c>
      <c r="D335">
        <v>35</v>
      </c>
      <c r="E335">
        <v>10</v>
      </c>
      <c r="F335">
        <v>142</v>
      </c>
      <c r="G335">
        <v>172</v>
      </c>
      <c r="H335">
        <v>10</v>
      </c>
    </row>
    <row r="336" spans="1:8">
      <c r="A336" s="6"/>
      <c r="B336">
        <v>15</v>
      </c>
      <c r="C336">
        <v>5</v>
      </c>
      <c r="D336">
        <v>45</v>
      </c>
      <c r="E336">
        <v>10</v>
      </c>
      <c r="F336">
        <v>0</v>
      </c>
      <c r="G336">
        <v>194</v>
      </c>
      <c r="H336">
        <v>10</v>
      </c>
    </row>
    <row r="337" spans="1:8">
      <c r="A337" s="6"/>
      <c r="B337">
        <v>16</v>
      </c>
      <c r="C337">
        <v>2</v>
      </c>
      <c r="D337">
        <v>40</v>
      </c>
      <c r="E337">
        <v>20</v>
      </c>
      <c r="F337">
        <v>58</v>
      </c>
      <c r="G337">
        <v>88</v>
      </c>
      <c r="H337">
        <v>10</v>
      </c>
    </row>
    <row r="338" spans="1:8">
      <c r="A338" s="6"/>
      <c r="B338">
        <v>17</v>
      </c>
      <c r="C338">
        <v>0</v>
      </c>
      <c r="D338">
        <v>40</v>
      </c>
      <c r="E338">
        <v>20</v>
      </c>
      <c r="F338">
        <v>0</v>
      </c>
      <c r="G338">
        <v>188</v>
      </c>
      <c r="H338">
        <v>10</v>
      </c>
    </row>
    <row r="339" spans="1:8">
      <c r="A339" s="6"/>
      <c r="B339">
        <v>18</v>
      </c>
      <c r="C339">
        <v>0</v>
      </c>
      <c r="D339">
        <v>45</v>
      </c>
      <c r="E339">
        <v>20</v>
      </c>
      <c r="F339">
        <v>0</v>
      </c>
      <c r="G339">
        <v>189</v>
      </c>
      <c r="H339">
        <v>10</v>
      </c>
    </row>
    <row r="340" spans="1:8">
      <c r="A340" s="6"/>
      <c r="B340">
        <v>19</v>
      </c>
      <c r="C340">
        <v>44</v>
      </c>
      <c r="D340">
        <v>5</v>
      </c>
      <c r="E340">
        <v>20</v>
      </c>
      <c r="F340">
        <v>0</v>
      </c>
      <c r="G340">
        <v>184</v>
      </c>
      <c r="H340">
        <v>10</v>
      </c>
    </row>
    <row r="341" spans="1:8">
      <c r="A341" s="6"/>
      <c r="B341">
        <v>20</v>
      </c>
      <c r="C341">
        <v>42</v>
      </c>
      <c r="D341">
        <v>10</v>
      </c>
      <c r="E341">
        <v>40</v>
      </c>
      <c r="F341">
        <v>0</v>
      </c>
      <c r="G341">
        <v>189</v>
      </c>
      <c r="H341">
        <v>10</v>
      </c>
    </row>
    <row r="342" spans="1:8">
      <c r="A342" s="6"/>
      <c r="B342">
        <v>21</v>
      </c>
      <c r="C342">
        <v>42</v>
      </c>
      <c r="D342">
        <v>15</v>
      </c>
      <c r="E342">
        <v>10</v>
      </c>
      <c r="F342">
        <v>0</v>
      </c>
      <c r="G342">
        <v>194</v>
      </c>
      <c r="H342">
        <v>10</v>
      </c>
    </row>
    <row r="343" spans="1:8">
      <c r="A343" s="6"/>
      <c r="B343">
        <v>22</v>
      </c>
      <c r="C343">
        <v>40</v>
      </c>
      <c r="D343">
        <v>5</v>
      </c>
      <c r="E343">
        <v>10</v>
      </c>
      <c r="F343">
        <v>0</v>
      </c>
      <c r="G343">
        <v>185</v>
      </c>
      <c r="H343">
        <v>10</v>
      </c>
    </row>
    <row r="344" spans="1:8">
      <c r="A344" s="6"/>
      <c r="B344">
        <v>23</v>
      </c>
      <c r="C344">
        <v>40</v>
      </c>
      <c r="D344">
        <v>15</v>
      </c>
      <c r="E344">
        <v>40</v>
      </c>
      <c r="F344">
        <v>0</v>
      </c>
      <c r="G344">
        <v>195</v>
      </c>
      <c r="H344">
        <v>10</v>
      </c>
    </row>
    <row r="345" spans="1:8">
      <c r="A345" s="6"/>
      <c r="B345">
        <v>24</v>
      </c>
      <c r="C345">
        <v>38</v>
      </c>
      <c r="D345">
        <v>5</v>
      </c>
      <c r="E345">
        <v>30</v>
      </c>
      <c r="F345">
        <v>65</v>
      </c>
      <c r="G345">
        <v>95</v>
      </c>
      <c r="H345">
        <v>10</v>
      </c>
    </row>
    <row r="346" spans="1:8">
      <c r="A346" s="6"/>
      <c r="B346">
        <v>25</v>
      </c>
      <c r="C346">
        <v>38</v>
      </c>
      <c r="D346">
        <v>15</v>
      </c>
      <c r="E346">
        <v>10</v>
      </c>
      <c r="F346">
        <v>0</v>
      </c>
      <c r="G346">
        <v>194</v>
      </c>
      <c r="H346">
        <v>10</v>
      </c>
    </row>
    <row r="347" spans="1:8">
      <c r="A347" s="6"/>
      <c r="B347">
        <v>26</v>
      </c>
      <c r="C347">
        <v>35</v>
      </c>
      <c r="D347">
        <v>5</v>
      </c>
      <c r="E347">
        <v>20</v>
      </c>
      <c r="F347">
        <v>154</v>
      </c>
      <c r="G347">
        <v>184</v>
      </c>
      <c r="H347">
        <v>10</v>
      </c>
    </row>
    <row r="348" spans="1:8">
      <c r="A348" s="6"/>
      <c r="B348">
        <v>27</v>
      </c>
      <c r="C348">
        <v>95</v>
      </c>
      <c r="D348">
        <v>30</v>
      </c>
      <c r="E348">
        <v>30</v>
      </c>
      <c r="F348">
        <v>0</v>
      </c>
      <c r="G348">
        <v>171</v>
      </c>
      <c r="H348">
        <v>10</v>
      </c>
    </row>
    <row r="349" spans="1:8">
      <c r="A349" s="6"/>
      <c r="B349">
        <v>28</v>
      </c>
      <c r="C349">
        <v>95</v>
      </c>
      <c r="D349">
        <v>35</v>
      </c>
      <c r="E349">
        <v>20</v>
      </c>
      <c r="F349">
        <v>0</v>
      </c>
      <c r="G349">
        <v>172</v>
      </c>
      <c r="H349">
        <v>10</v>
      </c>
    </row>
    <row r="350" spans="1:8">
      <c r="A350" s="6"/>
      <c r="B350">
        <v>29</v>
      </c>
      <c r="C350">
        <v>92</v>
      </c>
      <c r="D350">
        <v>30</v>
      </c>
      <c r="E350">
        <v>10</v>
      </c>
      <c r="F350">
        <v>0</v>
      </c>
      <c r="G350">
        <v>174</v>
      </c>
      <c r="H350">
        <v>10</v>
      </c>
    </row>
    <row r="351" spans="1:8">
      <c r="A351" s="6"/>
      <c r="B351">
        <v>30</v>
      </c>
      <c r="C351">
        <v>90</v>
      </c>
      <c r="D351">
        <v>35</v>
      </c>
      <c r="E351">
        <v>10</v>
      </c>
      <c r="F351">
        <v>0</v>
      </c>
      <c r="G351">
        <v>177</v>
      </c>
      <c r="H351">
        <v>10</v>
      </c>
    </row>
    <row r="352" spans="1:8">
      <c r="A352" s="6"/>
      <c r="B352">
        <v>31</v>
      </c>
      <c r="C352">
        <v>88</v>
      </c>
      <c r="D352">
        <v>30</v>
      </c>
      <c r="E352">
        <v>10</v>
      </c>
      <c r="F352">
        <v>0</v>
      </c>
      <c r="G352">
        <v>178</v>
      </c>
      <c r="H352">
        <v>10</v>
      </c>
    </row>
    <row r="353" spans="1:8">
      <c r="A353" s="6"/>
      <c r="B353">
        <v>32</v>
      </c>
      <c r="C353">
        <v>88</v>
      </c>
      <c r="D353">
        <v>35</v>
      </c>
      <c r="E353">
        <v>20</v>
      </c>
      <c r="F353">
        <v>0</v>
      </c>
      <c r="G353">
        <v>179</v>
      </c>
      <c r="H353">
        <v>10</v>
      </c>
    </row>
    <row r="354" spans="1:8">
      <c r="A354" s="6"/>
      <c r="B354">
        <v>33</v>
      </c>
      <c r="C354">
        <v>87</v>
      </c>
      <c r="D354">
        <v>30</v>
      </c>
      <c r="E354">
        <v>10</v>
      </c>
      <c r="F354">
        <v>0</v>
      </c>
      <c r="G354">
        <v>178</v>
      </c>
      <c r="H354">
        <v>10</v>
      </c>
    </row>
    <row r="355" spans="1:8">
      <c r="A355" s="6"/>
      <c r="B355">
        <v>34</v>
      </c>
      <c r="C355">
        <v>85</v>
      </c>
      <c r="D355">
        <v>25</v>
      </c>
      <c r="E355">
        <v>10</v>
      </c>
      <c r="F355">
        <v>0</v>
      </c>
      <c r="G355">
        <v>178</v>
      </c>
      <c r="H355">
        <v>10</v>
      </c>
    </row>
    <row r="356" spans="1:8">
      <c r="A356" s="6"/>
      <c r="B356">
        <v>35</v>
      </c>
      <c r="C356">
        <v>85</v>
      </c>
      <c r="D356">
        <v>35</v>
      </c>
      <c r="E356">
        <v>30</v>
      </c>
      <c r="F356">
        <v>0</v>
      </c>
      <c r="G356">
        <v>182</v>
      </c>
      <c r="H356">
        <v>10</v>
      </c>
    </row>
    <row r="357" spans="1:8">
      <c r="A357" s="6"/>
      <c r="B357">
        <v>36</v>
      </c>
      <c r="C357">
        <v>67</v>
      </c>
      <c r="D357">
        <v>85</v>
      </c>
      <c r="E357">
        <v>20</v>
      </c>
      <c r="F357">
        <v>0</v>
      </c>
      <c r="G357">
        <v>185</v>
      </c>
      <c r="H357">
        <v>10</v>
      </c>
    </row>
    <row r="358" spans="1:8">
      <c r="A358" s="6"/>
      <c r="B358">
        <v>37</v>
      </c>
      <c r="C358">
        <v>65</v>
      </c>
      <c r="D358">
        <v>85</v>
      </c>
      <c r="E358">
        <v>40</v>
      </c>
      <c r="F358">
        <v>0</v>
      </c>
      <c r="G358">
        <v>186</v>
      </c>
      <c r="H358">
        <v>10</v>
      </c>
    </row>
    <row r="359" spans="1:8">
      <c r="A359" s="6"/>
      <c r="B359">
        <v>38</v>
      </c>
      <c r="C359">
        <v>65</v>
      </c>
      <c r="D359">
        <v>82</v>
      </c>
      <c r="E359">
        <v>10</v>
      </c>
      <c r="F359">
        <v>0</v>
      </c>
      <c r="G359">
        <v>189</v>
      </c>
      <c r="H359">
        <v>10</v>
      </c>
    </row>
    <row r="360" spans="1:8">
      <c r="A360" s="6"/>
      <c r="B360">
        <v>39</v>
      </c>
      <c r="C360">
        <v>62</v>
      </c>
      <c r="D360">
        <v>80</v>
      </c>
      <c r="E360">
        <v>30</v>
      </c>
      <c r="F360">
        <v>75</v>
      </c>
      <c r="G360">
        <v>105</v>
      </c>
      <c r="H360">
        <v>10</v>
      </c>
    </row>
    <row r="361" spans="1:8">
      <c r="A361" s="6"/>
      <c r="B361">
        <v>40</v>
      </c>
      <c r="C361">
        <v>60</v>
      </c>
      <c r="D361">
        <v>80</v>
      </c>
      <c r="E361">
        <v>10</v>
      </c>
      <c r="F361">
        <v>0</v>
      </c>
      <c r="G361">
        <v>193</v>
      </c>
      <c r="H361">
        <v>10</v>
      </c>
    </row>
    <row r="362" spans="1:8">
      <c r="A362" s="6"/>
      <c r="B362">
        <v>41</v>
      </c>
      <c r="C362">
        <v>60</v>
      </c>
      <c r="D362">
        <v>85</v>
      </c>
      <c r="E362">
        <v>30</v>
      </c>
      <c r="F362">
        <v>0</v>
      </c>
      <c r="G362">
        <v>189</v>
      </c>
      <c r="H362">
        <v>10</v>
      </c>
    </row>
    <row r="363" spans="1:8">
      <c r="A363" s="6"/>
      <c r="B363">
        <v>42</v>
      </c>
      <c r="C363">
        <v>58</v>
      </c>
      <c r="D363">
        <v>75</v>
      </c>
      <c r="E363">
        <v>20</v>
      </c>
      <c r="F363">
        <v>0</v>
      </c>
      <c r="G363">
        <v>199</v>
      </c>
      <c r="H363">
        <v>10</v>
      </c>
    </row>
    <row r="364" spans="1:8">
      <c r="A364" s="6"/>
      <c r="B364">
        <v>43</v>
      </c>
      <c r="C364">
        <v>55</v>
      </c>
      <c r="D364">
        <v>80</v>
      </c>
      <c r="E364">
        <v>10</v>
      </c>
      <c r="F364">
        <v>0</v>
      </c>
      <c r="G364">
        <v>196</v>
      </c>
      <c r="H364">
        <v>10</v>
      </c>
    </row>
    <row r="365" spans="1:8">
      <c r="A365" s="6"/>
      <c r="B365">
        <v>44</v>
      </c>
      <c r="C365">
        <v>55</v>
      </c>
      <c r="D365">
        <v>85</v>
      </c>
      <c r="E365">
        <v>20</v>
      </c>
      <c r="F365">
        <v>0</v>
      </c>
      <c r="G365">
        <v>191</v>
      </c>
      <c r="H365">
        <v>10</v>
      </c>
    </row>
    <row r="366" spans="1:8">
      <c r="A366" s="6"/>
      <c r="B366">
        <v>45</v>
      </c>
      <c r="C366">
        <v>55</v>
      </c>
      <c r="D366">
        <v>82</v>
      </c>
      <c r="E366">
        <v>10</v>
      </c>
      <c r="F366">
        <v>64</v>
      </c>
      <c r="G366">
        <v>94</v>
      </c>
      <c r="H366">
        <v>10</v>
      </c>
    </row>
    <row r="367" spans="1:8">
      <c r="A367" s="6"/>
      <c r="B367">
        <v>46</v>
      </c>
      <c r="C367">
        <v>20</v>
      </c>
      <c r="D367">
        <v>82</v>
      </c>
      <c r="E367">
        <v>10</v>
      </c>
      <c r="F367">
        <v>0</v>
      </c>
      <c r="G367">
        <v>192</v>
      </c>
      <c r="H367">
        <v>10</v>
      </c>
    </row>
    <row r="368" spans="1:8">
      <c r="A368" s="6"/>
      <c r="B368">
        <v>47</v>
      </c>
      <c r="C368">
        <v>18</v>
      </c>
      <c r="D368">
        <v>80</v>
      </c>
      <c r="E368">
        <v>10</v>
      </c>
      <c r="F368">
        <v>0</v>
      </c>
      <c r="G368">
        <v>192</v>
      </c>
      <c r="H368">
        <v>10</v>
      </c>
    </row>
    <row r="369" spans="1:8">
      <c r="A369" s="6"/>
      <c r="B369">
        <v>48</v>
      </c>
      <c r="C369">
        <v>2</v>
      </c>
      <c r="D369">
        <v>45</v>
      </c>
      <c r="E369">
        <v>10</v>
      </c>
      <c r="F369">
        <v>0</v>
      </c>
      <c r="G369">
        <v>191</v>
      </c>
      <c r="H369">
        <v>10</v>
      </c>
    </row>
    <row r="370" spans="1:8">
      <c r="A370" s="6"/>
      <c r="B370">
        <v>49</v>
      </c>
      <c r="C370">
        <v>42</v>
      </c>
      <c r="D370">
        <v>5</v>
      </c>
      <c r="E370">
        <v>10</v>
      </c>
      <c r="F370">
        <v>0</v>
      </c>
      <c r="G370">
        <v>184</v>
      </c>
      <c r="H370">
        <v>10</v>
      </c>
    </row>
    <row r="371" spans="1:8">
      <c r="A371" s="6"/>
      <c r="B371">
        <v>50</v>
      </c>
      <c r="C371">
        <v>42</v>
      </c>
      <c r="D371">
        <v>12</v>
      </c>
      <c r="E371">
        <v>10</v>
      </c>
      <c r="F371">
        <v>0</v>
      </c>
      <c r="G371">
        <v>191</v>
      </c>
      <c r="H371">
        <v>10</v>
      </c>
    </row>
    <row r="372" spans="1:8">
      <c r="A372" s="6"/>
      <c r="B372">
        <v>51</v>
      </c>
      <c r="C372">
        <v>72</v>
      </c>
      <c r="D372">
        <v>35</v>
      </c>
      <c r="E372">
        <v>30</v>
      </c>
      <c r="F372">
        <v>0</v>
      </c>
      <c r="G372">
        <v>194</v>
      </c>
      <c r="H372">
        <v>10</v>
      </c>
    </row>
    <row r="373" spans="1:8">
      <c r="A373" s="6"/>
      <c r="B373">
        <v>52</v>
      </c>
      <c r="C373">
        <v>55</v>
      </c>
      <c r="D373">
        <v>20</v>
      </c>
      <c r="E373">
        <v>19</v>
      </c>
      <c r="F373">
        <v>0</v>
      </c>
      <c r="G373">
        <v>196</v>
      </c>
      <c r="H373">
        <v>10</v>
      </c>
    </row>
    <row r="374" spans="1:8">
      <c r="A374" s="6"/>
      <c r="B374">
        <v>53</v>
      </c>
      <c r="C374">
        <v>25</v>
      </c>
      <c r="D374">
        <v>30</v>
      </c>
      <c r="E374">
        <v>3</v>
      </c>
      <c r="F374">
        <v>0</v>
      </c>
      <c r="G374">
        <v>205</v>
      </c>
      <c r="H374">
        <v>10</v>
      </c>
    </row>
    <row r="375" spans="1:8">
      <c r="A375" s="6"/>
      <c r="B375">
        <v>54</v>
      </c>
      <c r="C375">
        <v>20</v>
      </c>
      <c r="D375">
        <v>50</v>
      </c>
      <c r="E375">
        <v>5</v>
      </c>
      <c r="F375">
        <v>91</v>
      </c>
      <c r="G375">
        <v>121</v>
      </c>
      <c r="H375">
        <v>10</v>
      </c>
    </row>
    <row r="376" spans="1:8">
      <c r="A376" s="6"/>
      <c r="B376">
        <v>55</v>
      </c>
      <c r="C376">
        <v>55</v>
      </c>
      <c r="D376">
        <v>60</v>
      </c>
      <c r="E376">
        <v>16</v>
      </c>
      <c r="F376">
        <v>0</v>
      </c>
      <c r="G376">
        <v>211</v>
      </c>
      <c r="H376">
        <v>10</v>
      </c>
    </row>
    <row r="377" spans="1:8">
      <c r="A377" s="6"/>
      <c r="B377">
        <v>56</v>
      </c>
      <c r="C377">
        <v>30</v>
      </c>
      <c r="D377">
        <v>60</v>
      </c>
      <c r="E377">
        <v>16</v>
      </c>
      <c r="F377">
        <v>140</v>
      </c>
      <c r="G377">
        <v>170</v>
      </c>
      <c r="H377">
        <v>10</v>
      </c>
    </row>
    <row r="378" spans="1:8">
      <c r="A378" s="6"/>
      <c r="B378">
        <v>57</v>
      </c>
      <c r="C378">
        <v>50</v>
      </c>
      <c r="D378">
        <v>35</v>
      </c>
      <c r="E378">
        <v>19</v>
      </c>
      <c r="F378">
        <v>0</v>
      </c>
      <c r="G378">
        <v>211</v>
      </c>
      <c r="H378">
        <v>10</v>
      </c>
    </row>
    <row r="379" spans="1:8">
      <c r="A379" s="6"/>
      <c r="B379">
        <v>58</v>
      </c>
      <c r="C379">
        <v>30</v>
      </c>
      <c r="D379">
        <v>25</v>
      </c>
      <c r="E379">
        <v>23</v>
      </c>
      <c r="F379">
        <v>0</v>
      </c>
      <c r="G379">
        <v>203</v>
      </c>
      <c r="H379">
        <v>10</v>
      </c>
    </row>
    <row r="380" spans="1:8">
      <c r="A380" s="6"/>
      <c r="B380">
        <v>59</v>
      </c>
      <c r="C380">
        <v>15</v>
      </c>
      <c r="D380">
        <v>10</v>
      </c>
      <c r="E380">
        <v>20</v>
      </c>
      <c r="F380">
        <v>152</v>
      </c>
      <c r="G380">
        <v>182</v>
      </c>
      <c r="H380">
        <v>10</v>
      </c>
    </row>
    <row r="381" spans="1:8">
      <c r="A381" s="6"/>
      <c r="B381">
        <v>60</v>
      </c>
      <c r="C381">
        <v>10</v>
      </c>
      <c r="D381">
        <v>20</v>
      </c>
      <c r="E381">
        <v>19</v>
      </c>
      <c r="F381">
        <v>0</v>
      </c>
      <c r="G381">
        <v>187</v>
      </c>
      <c r="H381">
        <v>10</v>
      </c>
    </row>
    <row r="382" spans="1:8">
      <c r="A382" s="6"/>
      <c r="B382">
        <v>61</v>
      </c>
      <c r="C382">
        <v>15</v>
      </c>
      <c r="D382">
        <v>60</v>
      </c>
      <c r="E382">
        <v>17</v>
      </c>
      <c r="F382">
        <v>0</v>
      </c>
      <c r="G382">
        <v>203</v>
      </c>
      <c r="H382">
        <v>10</v>
      </c>
    </row>
    <row r="383" spans="1:8">
      <c r="A383" s="6"/>
      <c r="B383">
        <v>62</v>
      </c>
      <c r="C383">
        <v>45</v>
      </c>
      <c r="D383">
        <v>65</v>
      </c>
      <c r="E383">
        <v>9</v>
      </c>
      <c r="F383">
        <v>0</v>
      </c>
      <c r="G383">
        <v>214</v>
      </c>
      <c r="H383">
        <v>10</v>
      </c>
    </row>
    <row r="384" spans="1:8">
      <c r="A384" s="6"/>
      <c r="B384">
        <v>63</v>
      </c>
      <c r="C384">
        <v>65</v>
      </c>
      <c r="D384">
        <v>35</v>
      </c>
      <c r="E384">
        <v>3</v>
      </c>
      <c r="F384">
        <v>52</v>
      </c>
      <c r="G384">
        <v>82</v>
      </c>
      <c r="H384">
        <v>10</v>
      </c>
    </row>
    <row r="385" spans="1:8">
      <c r="A385" s="6"/>
      <c r="B385">
        <v>64</v>
      </c>
      <c r="C385">
        <v>65</v>
      </c>
      <c r="D385">
        <v>20</v>
      </c>
      <c r="E385">
        <v>6</v>
      </c>
      <c r="F385">
        <v>0</v>
      </c>
      <c r="G385">
        <v>190</v>
      </c>
      <c r="H385">
        <v>10</v>
      </c>
    </row>
    <row r="386" spans="1:8">
      <c r="A386" s="6"/>
      <c r="B386">
        <v>65</v>
      </c>
      <c r="C386">
        <v>45</v>
      </c>
      <c r="D386">
        <v>30</v>
      </c>
      <c r="E386">
        <v>17</v>
      </c>
      <c r="F386">
        <v>0</v>
      </c>
      <c r="G386">
        <v>209</v>
      </c>
      <c r="H386">
        <v>10</v>
      </c>
    </row>
    <row r="387" spans="1:8">
      <c r="A387" s="6"/>
      <c r="B387">
        <v>66</v>
      </c>
      <c r="C387">
        <v>35</v>
      </c>
      <c r="D387">
        <v>40</v>
      </c>
      <c r="E387">
        <v>16</v>
      </c>
      <c r="F387">
        <v>0</v>
      </c>
      <c r="G387">
        <v>218</v>
      </c>
      <c r="H387">
        <v>10</v>
      </c>
    </row>
    <row r="388" spans="1:8">
      <c r="A388" s="6"/>
      <c r="B388">
        <v>67</v>
      </c>
      <c r="C388">
        <v>41</v>
      </c>
      <c r="D388">
        <v>37</v>
      </c>
      <c r="E388">
        <v>16</v>
      </c>
      <c r="F388">
        <v>0</v>
      </c>
      <c r="G388">
        <v>216</v>
      </c>
      <c r="H388">
        <v>10</v>
      </c>
    </row>
    <row r="389" spans="1:8">
      <c r="A389" s="6"/>
      <c r="B389">
        <v>68</v>
      </c>
      <c r="C389">
        <v>64</v>
      </c>
      <c r="D389">
        <v>42</v>
      </c>
      <c r="E389">
        <v>9</v>
      </c>
      <c r="F389">
        <v>70</v>
      </c>
      <c r="G389">
        <v>100</v>
      </c>
      <c r="H389">
        <v>10</v>
      </c>
    </row>
    <row r="390" spans="1:8">
      <c r="A390" s="6"/>
      <c r="B390">
        <v>69</v>
      </c>
      <c r="C390">
        <v>40</v>
      </c>
      <c r="D390">
        <v>60</v>
      </c>
      <c r="E390">
        <v>21</v>
      </c>
      <c r="F390">
        <v>0</v>
      </c>
      <c r="G390">
        <v>220</v>
      </c>
      <c r="H390">
        <v>10</v>
      </c>
    </row>
    <row r="391" spans="1:8">
      <c r="A391" s="6"/>
      <c r="B391">
        <v>70</v>
      </c>
      <c r="C391">
        <v>31</v>
      </c>
      <c r="D391">
        <v>52</v>
      </c>
      <c r="E391">
        <v>27</v>
      </c>
      <c r="F391">
        <v>41</v>
      </c>
      <c r="G391">
        <v>71</v>
      </c>
      <c r="H391">
        <v>10</v>
      </c>
    </row>
    <row r="392" spans="1:8">
      <c r="A392" s="6"/>
      <c r="B392">
        <v>71</v>
      </c>
      <c r="C392">
        <v>35</v>
      </c>
      <c r="D392">
        <v>69</v>
      </c>
      <c r="E392">
        <v>23</v>
      </c>
      <c r="F392">
        <v>0</v>
      </c>
      <c r="G392">
        <v>210</v>
      </c>
      <c r="H392">
        <v>10</v>
      </c>
    </row>
    <row r="393" spans="1:8">
      <c r="A393" s="6"/>
      <c r="B393">
        <v>72</v>
      </c>
      <c r="C393">
        <v>65</v>
      </c>
      <c r="D393">
        <v>55</v>
      </c>
      <c r="E393">
        <v>14</v>
      </c>
      <c r="F393">
        <v>0</v>
      </c>
      <c r="G393">
        <v>204</v>
      </c>
      <c r="H393">
        <v>10</v>
      </c>
    </row>
    <row r="394" spans="1:8">
      <c r="A394" s="6"/>
      <c r="B394">
        <v>73</v>
      </c>
      <c r="C394">
        <v>63</v>
      </c>
      <c r="D394">
        <v>65</v>
      </c>
      <c r="E394">
        <v>8</v>
      </c>
      <c r="F394">
        <v>0</v>
      </c>
      <c r="G394">
        <v>202</v>
      </c>
      <c r="H394">
        <v>10</v>
      </c>
    </row>
    <row r="395" spans="1:8">
      <c r="A395" s="6"/>
      <c r="B395">
        <v>74</v>
      </c>
      <c r="C395">
        <v>2</v>
      </c>
      <c r="D395">
        <v>60</v>
      </c>
      <c r="E395">
        <v>5</v>
      </c>
      <c r="F395">
        <v>0</v>
      </c>
      <c r="G395">
        <v>190</v>
      </c>
      <c r="H395">
        <v>10</v>
      </c>
    </row>
    <row r="396" spans="1:8">
      <c r="A396" s="6"/>
      <c r="B396">
        <v>75</v>
      </c>
      <c r="C396">
        <v>20</v>
      </c>
      <c r="D396">
        <v>20</v>
      </c>
      <c r="E396">
        <v>8</v>
      </c>
      <c r="F396">
        <v>141</v>
      </c>
      <c r="G396">
        <v>171</v>
      </c>
      <c r="H396">
        <v>10</v>
      </c>
    </row>
    <row r="397" spans="1:8">
      <c r="A397" s="6"/>
      <c r="B397">
        <v>76</v>
      </c>
      <c r="C397">
        <v>5</v>
      </c>
      <c r="D397">
        <v>5</v>
      </c>
      <c r="E397">
        <v>16</v>
      </c>
      <c r="F397">
        <v>0</v>
      </c>
      <c r="G397">
        <v>172</v>
      </c>
      <c r="H397">
        <v>10</v>
      </c>
    </row>
    <row r="398" spans="1:8">
      <c r="A398" s="6"/>
      <c r="B398">
        <v>77</v>
      </c>
      <c r="C398">
        <v>60</v>
      </c>
      <c r="D398">
        <v>12</v>
      </c>
      <c r="E398">
        <v>31</v>
      </c>
      <c r="F398">
        <v>75</v>
      </c>
      <c r="G398">
        <v>105</v>
      </c>
      <c r="H398">
        <v>10</v>
      </c>
    </row>
    <row r="399" spans="1:8">
      <c r="A399" s="6"/>
      <c r="B399">
        <v>78</v>
      </c>
      <c r="C399">
        <v>23</v>
      </c>
      <c r="D399">
        <v>3</v>
      </c>
      <c r="E399">
        <v>7</v>
      </c>
      <c r="F399">
        <v>150</v>
      </c>
      <c r="G399">
        <v>180</v>
      </c>
      <c r="H399">
        <v>10</v>
      </c>
    </row>
    <row r="400" spans="1:8">
      <c r="A400" s="6"/>
      <c r="B400">
        <v>79</v>
      </c>
      <c r="C400">
        <v>8</v>
      </c>
      <c r="D400">
        <v>56</v>
      </c>
      <c r="E400">
        <v>27</v>
      </c>
      <c r="F400">
        <v>0</v>
      </c>
      <c r="G400">
        <v>197</v>
      </c>
      <c r="H400">
        <v>10</v>
      </c>
    </row>
    <row r="401" spans="1:8">
      <c r="A401" s="6"/>
      <c r="B401">
        <v>80</v>
      </c>
      <c r="C401">
        <v>6</v>
      </c>
      <c r="D401">
        <v>68</v>
      </c>
      <c r="E401">
        <v>30</v>
      </c>
      <c r="F401">
        <v>89</v>
      </c>
      <c r="G401">
        <v>119</v>
      </c>
      <c r="H401">
        <v>10</v>
      </c>
    </row>
    <row r="402" spans="1:8">
      <c r="A402" s="6"/>
      <c r="B402">
        <v>81</v>
      </c>
      <c r="C402">
        <v>47</v>
      </c>
      <c r="D402">
        <v>47</v>
      </c>
      <c r="E402">
        <v>13</v>
      </c>
      <c r="F402">
        <v>0</v>
      </c>
      <c r="G402">
        <v>222</v>
      </c>
      <c r="H402">
        <v>10</v>
      </c>
    </row>
    <row r="403" spans="1:8">
      <c r="A403" s="6"/>
      <c r="B403">
        <v>82</v>
      </c>
      <c r="C403">
        <v>49</v>
      </c>
      <c r="D403">
        <v>58</v>
      </c>
      <c r="E403">
        <v>10</v>
      </c>
      <c r="F403">
        <v>0</v>
      </c>
      <c r="G403">
        <v>217</v>
      </c>
      <c r="H403">
        <v>10</v>
      </c>
    </row>
    <row r="404" spans="1:8">
      <c r="A404" s="6"/>
      <c r="B404">
        <v>83</v>
      </c>
      <c r="C404">
        <v>27</v>
      </c>
      <c r="D404">
        <v>43</v>
      </c>
      <c r="E404">
        <v>9</v>
      </c>
      <c r="F404">
        <v>0</v>
      </c>
      <c r="G404">
        <v>215</v>
      </c>
      <c r="H404">
        <v>10</v>
      </c>
    </row>
    <row r="405" spans="1:8">
      <c r="A405" s="6"/>
      <c r="B405">
        <v>84</v>
      </c>
      <c r="C405">
        <v>37</v>
      </c>
      <c r="D405">
        <v>31</v>
      </c>
      <c r="E405">
        <v>14</v>
      </c>
      <c r="F405">
        <v>0</v>
      </c>
      <c r="G405">
        <v>210</v>
      </c>
      <c r="H405">
        <v>10</v>
      </c>
    </row>
    <row r="406" spans="1:8">
      <c r="A406" s="6"/>
      <c r="B406">
        <v>85</v>
      </c>
      <c r="C406">
        <v>57</v>
      </c>
      <c r="D406">
        <v>29</v>
      </c>
      <c r="E406">
        <v>18</v>
      </c>
      <c r="F406">
        <v>96</v>
      </c>
      <c r="G406">
        <v>126</v>
      </c>
      <c r="H406">
        <v>10</v>
      </c>
    </row>
    <row r="407" spans="1:8">
      <c r="A407" s="6"/>
      <c r="B407">
        <v>86</v>
      </c>
      <c r="C407">
        <v>63</v>
      </c>
      <c r="D407">
        <v>23</v>
      </c>
      <c r="E407">
        <v>2</v>
      </c>
      <c r="F407">
        <v>0</v>
      </c>
      <c r="G407">
        <v>194</v>
      </c>
      <c r="H407">
        <v>10</v>
      </c>
    </row>
    <row r="408" spans="1:8">
      <c r="A408" s="6"/>
      <c r="B408">
        <v>87</v>
      </c>
      <c r="C408">
        <v>21</v>
      </c>
      <c r="D408">
        <v>24</v>
      </c>
      <c r="E408">
        <v>28</v>
      </c>
      <c r="F408">
        <v>0</v>
      </c>
      <c r="G408">
        <v>197</v>
      </c>
      <c r="H408">
        <v>10</v>
      </c>
    </row>
    <row r="409" spans="1:8">
      <c r="A409" s="6"/>
      <c r="B409">
        <v>88</v>
      </c>
      <c r="C409">
        <v>12</v>
      </c>
      <c r="D409">
        <v>24</v>
      </c>
      <c r="E409">
        <v>13</v>
      </c>
      <c r="F409">
        <v>90</v>
      </c>
      <c r="G409">
        <v>120</v>
      </c>
      <c r="H409">
        <v>10</v>
      </c>
    </row>
    <row r="410" spans="1:8">
      <c r="A410" s="6"/>
      <c r="B410">
        <v>89</v>
      </c>
      <c r="C410">
        <v>24</v>
      </c>
      <c r="D410">
        <v>58</v>
      </c>
      <c r="E410">
        <v>19</v>
      </c>
      <c r="F410">
        <v>0</v>
      </c>
      <c r="G410">
        <v>212</v>
      </c>
      <c r="H410">
        <v>10</v>
      </c>
    </row>
    <row r="411" spans="1:8">
      <c r="A411" s="6"/>
      <c r="B411">
        <v>90</v>
      </c>
      <c r="C411">
        <v>67</v>
      </c>
      <c r="D411">
        <v>5</v>
      </c>
      <c r="E411">
        <v>25</v>
      </c>
      <c r="F411">
        <v>0</v>
      </c>
      <c r="G411">
        <v>177</v>
      </c>
      <c r="H411">
        <v>10</v>
      </c>
    </row>
    <row r="412" spans="1:8">
      <c r="A412" s="6"/>
      <c r="B412">
        <v>91</v>
      </c>
      <c r="C412">
        <v>37</v>
      </c>
      <c r="D412">
        <v>47</v>
      </c>
      <c r="E412">
        <v>6</v>
      </c>
      <c r="F412">
        <v>0</v>
      </c>
      <c r="G412">
        <v>225</v>
      </c>
      <c r="H412">
        <v>10</v>
      </c>
    </row>
    <row r="413" spans="1:8">
      <c r="A413" s="6"/>
      <c r="B413">
        <v>92</v>
      </c>
      <c r="C413">
        <v>49</v>
      </c>
      <c r="D413">
        <v>42</v>
      </c>
      <c r="E413">
        <v>13</v>
      </c>
      <c r="F413">
        <v>0</v>
      </c>
      <c r="G413">
        <v>217</v>
      </c>
      <c r="H413">
        <v>10</v>
      </c>
    </row>
    <row r="414" spans="1:8">
      <c r="A414" s="6"/>
      <c r="B414">
        <v>93</v>
      </c>
      <c r="C414">
        <v>53</v>
      </c>
      <c r="D414">
        <v>43</v>
      </c>
      <c r="E414">
        <v>14</v>
      </c>
      <c r="F414">
        <v>14</v>
      </c>
      <c r="G414">
        <v>44</v>
      </c>
      <c r="H414">
        <v>10</v>
      </c>
    </row>
    <row r="415" spans="1:8">
      <c r="A415" s="6"/>
      <c r="B415">
        <v>94</v>
      </c>
      <c r="C415">
        <v>61</v>
      </c>
      <c r="D415">
        <v>52</v>
      </c>
      <c r="E415">
        <v>3</v>
      </c>
      <c r="F415">
        <v>0</v>
      </c>
      <c r="G415">
        <v>208</v>
      </c>
      <c r="H415">
        <v>10</v>
      </c>
    </row>
    <row r="416" spans="1:8">
      <c r="A416" s="6"/>
      <c r="B416">
        <v>95</v>
      </c>
      <c r="C416">
        <v>57</v>
      </c>
      <c r="D416">
        <v>48</v>
      </c>
      <c r="E416">
        <v>23</v>
      </c>
      <c r="F416">
        <v>0</v>
      </c>
      <c r="G416">
        <v>212</v>
      </c>
      <c r="H416">
        <v>10</v>
      </c>
    </row>
    <row r="417" spans="1:8">
      <c r="A417" s="6"/>
      <c r="B417">
        <v>96</v>
      </c>
      <c r="C417">
        <v>56</v>
      </c>
      <c r="D417">
        <v>37</v>
      </c>
      <c r="E417">
        <v>6</v>
      </c>
      <c r="F417">
        <v>0</v>
      </c>
      <c r="G417">
        <v>209</v>
      </c>
      <c r="H417">
        <v>10</v>
      </c>
    </row>
    <row r="418" spans="1:8">
      <c r="A418" s="6"/>
      <c r="B418">
        <v>97</v>
      </c>
      <c r="C418">
        <v>55</v>
      </c>
      <c r="D418">
        <v>54</v>
      </c>
      <c r="E418">
        <v>26</v>
      </c>
      <c r="F418">
        <v>0</v>
      </c>
      <c r="G418">
        <v>214</v>
      </c>
      <c r="H418">
        <v>10</v>
      </c>
    </row>
    <row r="419" spans="1:8">
      <c r="A419" s="6"/>
      <c r="B419">
        <v>98</v>
      </c>
      <c r="C419">
        <v>4</v>
      </c>
      <c r="D419">
        <v>18</v>
      </c>
      <c r="E419">
        <v>35</v>
      </c>
      <c r="F419">
        <v>0</v>
      </c>
      <c r="G419">
        <v>181</v>
      </c>
      <c r="H419">
        <v>10</v>
      </c>
    </row>
    <row r="420" spans="1:8">
      <c r="A420" s="6"/>
      <c r="B420">
        <v>99</v>
      </c>
      <c r="C420">
        <v>26</v>
      </c>
      <c r="D420">
        <v>52</v>
      </c>
      <c r="E420">
        <v>9</v>
      </c>
      <c r="F420">
        <v>0</v>
      </c>
      <c r="G420">
        <v>215</v>
      </c>
      <c r="H420">
        <v>10</v>
      </c>
    </row>
    <row r="421" spans="1:8">
      <c r="A421" s="6"/>
      <c r="B421">
        <v>100</v>
      </c>
      <c r="C421">
        <v>26</v>
      </c>
      <c r="D421">
        <v>35</v>
      </c>
      <c r="E421">
        <v>15</v>
      </c>
      <c r="F421">
        <v>77</v>
      </c>
      <c r="G421">
        <v>107</v>
      </c>
      <c r="H421">
        <v>10</v>
      </c>
    </row>
    <row r="422" spans="1:8">
      <c r="A422" s="6"/>
      <c r="B422">
        <v>101</v>
      </c>
      <c r="C422">
        <v>31</v>
      </c>
      <c r="D422">
        <v>67</v>
      </c>
      <c r="E422">
        <v>3</v>
      </c>
      <c r="F422">
        <v>180</v>
      </c>
      <c r="G422">
        <v>210</v>
      </c>
      <c r="H422">
        <v>10</v>
      </c>
    </row>
    <row r="425" spans="1:8" ht="17.399999999999999">
      <c r="A425" s="7" t="s">
        <v>50</v>
      </c>
    </row>
    <row r="426" spans="1:8">
      <c r="A426" s="4"/>
      <c r="B426" t="s">
        <v>32</v>
      </c>
      <c r="C426" t="s">
        <v>26</v>
      </c>
      <c r="D426" t="s">
        <v>27</v>
      </c>
      <c r="E426" t="s">
        <v>28</v>
      </c>
      <c r="F426" t="s">
        <v>29</v>
      </c>
      <c r="G426" t="s">
        <v>30</v>
      </c>
      <c r="H426" t="s">
        <v>31</v>
      </c>
    </row>
    <row r="427" spans="1:8">
      <c r="A427" s="6"/>
      <c r="B427">
        <v>1</v>
      </c>
      <c r="C427">
        <v>40</v>
      </c>
      <c r="D427">
        <v>50</v>
      </c>
      <c r="E427">
        <v>0</v>
      </c>
      <c r="F427">
        <v>0</v>
      </c>
      <c r="G427">
        <v>240</v>
      </c>
      <c r="H427">
        <v>0</v>
      </c>
    </row>
    <row r="428" spans="1:8">
      <c r="A428" s="6"/>
      <c r="B428">
        <v>2</v>
      </c>
      <c r="C428">
        <v>25</v>
      </c>
      <c r="D428">
        <v>85</v>
      </c>
      <c r="E428">
        <v>20</v>
      </c>
      <c r="F428">
        <v>71</v>
      </c>
      <c r="G428">
        <v>191</v>
      </c>
      <c r="H428">
        <v>10</v>
      </c>
    </row>
    <row r="429" spans="1:8">
      <c r="A429" s="6"/>
      <c r="B429">
        <v>3</v>
      </c>
      <c r="C429">
        <v>22</v>
      </c>
      <c r="D429">
        <v>75</v>
      </c>
      <c r="E429">
        <v>30</v>
      </c>
      <c r="F429">
        <v>30</v>
      </c>
      <c r="G429">
        <v>150</v>
      </c>
      <c r="H429">
        <v>10</v>
      </c>
    </row>
    <row r="430" spans="1:8">
      <c r="A430" s="6"/>
      <c r="B430">
        <v>4</v>
      </c>
      <c r="C430">
        <v>22</v>
      </c>
      <c r="D430">
        <v>85</v>
      </c>
      <c r="E430">
        <v>10</v>
      </c>
      <c r="F430">
        <v>64</v>
      </c>
      <c r="G430">
        <v>184</v>
      </c>
      <c r="H430">
        <v>10</v>
      </c>
    </row>
    <row r="431" spans="1:8">
      <c r="A431" s="6"/>
      <c r="B431">
        <v>5</v>
      </c>
      <c r="C431">
        <v>20</v>
      </c>
      <c r="D431">
        <v>80</v>
      </c>
      <c r="E431">
        <v>40</v>
      </c>
      <c r="F431">
        <v>151</v>
      </c>
      <c r="G431">
        <v>161</v>
      </c>
      <c r="H431">
        <v>10</v>
      </c>
    </row>
    <row r="432" spans="1:8">
      <c r="A432" s="6"/>
      <c r="B432">
        <v>6</v>
      </c>
      <c r="C432">
        <v>20</v>
      </c>
      <c r="D432">
        <v>85</v>
      </c>
      <c r="E432">
        <v>20</v>
      </c>
      <c r="F432">
        <v>40</v>
      </c>
      <c r="G432">
        <v>160</v>
      </c>
      <c r="H432">
        <v>10</v>
      </c>
    </row>
    <row r="433" spans="1:8">
      <c r="A433" s="6"/>
      <c r="B433">
        <v>7</v>
      </c>
      <c r="C433">
        <v>18</v>
      </c>
      <c r="D433">
        <v>75</v>
      </c>
      <c r="E433">
        <v>20</v>
      </c>
      <c r="F433">
        <v>96</v>
      </c>
      <c r="G433">
        <v>123</v>
      </c>
      <c r="H433">
        <v>10</v>
      </c>
    </row>
    <row r="434" spans="1:8">
      <c r="A434" s="6"/>
      <c r="B434">
        <v>8</v>
      </c>
      <c r="C434">
        <v>15</v>
      </c>
      <c r="D434">
        <v>75</v>
      </c>
      <c r="E434">
        <v>20</v>
      </c>
      <c r="F434">
        <v>35</v>
      </c>
      <c r="G434">
        <v>155</v>
      </c>
      <c r="H434">
        <v>10</v>
      </c>
    </row>
    <row r="435" spans="1:8">
      <c r="A435" s="6"/>
      <c r="B435">
        <v>9</v>
      </c>
      <c r="C435">
        <v>15</v>
      </c>
      <c r="D435">
        <v>80</v>
      </c>
      <c r="E435">
        <v>10</v>
      </c>
      <c r="F435">
        <v>101</v>
      </c>
      <c r="G435">
        <v>111</v>
      </c>
      <c r="H435">
        <v>10</v>
      </c>
    </row>
    <row r="436" spans="1:8">
      <c r="A436" s="6"/>
      <c r="B436">
        <v>10</v>
      </c>
      <c r="C436">
        <v>10</v>
      </c>
      <c r="D436">
        <v>35</v>
      </c>
      <c r="E436">
        <v>20</v>
      </c>
      <c r="F436">
        <v>101</v>
      </c>
      <c r="G436">
        <v>111</v>
      </c>
      <c r="H436">
        <v>10</v>
      </c>
    </row>
    <row r="437" spans="1:8">
      <c r="A437" s="6"/>
      <c r="B437">
        <v>11</v>
      </c>
      <c r="C437">
        <v>10</v>
      </c>
      <c r="D437">
        <v>40</v>
      </c>
      <c r="E437">
        <v>30</v>
      </c>
      <c r="F437">
        <v>123</v>
      </c>
      <c r="G437">
        <v>144</v>
      </c>
      <c r="H437">
        <v>10</v>
      </c>
    </row>
    <row r="438" spans="1:8">
      <c r="A438" s="6"/>
      <c r="B438">
        <v>12</v>
      </c>
      <c r="C438">
        <v>8</v>
      </c>
      <c r="D438">
        <v>40</v>
      </c>
      <c r="E438">
        <v>40</v>
      </c>
      <c r="F438">
        <v>69</v>
      </c>
      <c r="G438">
        <v>79</v>
      </c>
      <c r="H438">
        <v>10</v>
      </c>
    </row>
    <row r="439" spans="1:8">
      <c r="A439" s="6"/>
      <c r="B439">
        <v>13</v>
      </c>
      <c r="C439">
        <v>8</v>
      </c>
      <c r="D439">
        <v>45</v>
      </c>
      <c r="E439">
        <v>20</v>
      </c>
      <c r="F439">
        <v>32</v>
      </c>
      <c r="G439">
        <v>152</v>
      </c>
      <c r="H439">
        <v>10</v>
      </c>
    </row>
    <row r="440" spans="1:8">
      <c r="A440" s="6"/>
      <c r="B440">
        <v>14</v>
      </c>
      <c r="C440">
        <v>5</v>
      </c>
      <c r="D440">
        <v>35</v>
      </c>
      <c r="E440">
        <v>10</v>
      </c>
      <c r="F440">
        <v>152</v>
      </c>
      <c r="G440">
        <v>162</v>
      </c>
      <c r="H440">
        <v>10</v>
      </c>
    </row>
    <row r="441" spans="1:8">
      <c r="A441" s="6"/>
      <c r="B441">
        <v>15</v>
      </c>
      <c r="C441">
        <v>5</v>
      </c>
      <c r="D441">
        <v>45</v>
      </c>
      <c r="E441">
        <v>10</v>
      </c>
      <c r="F441">
        <v>35</v>
      </c>
      <c r="G441">
        <v>117</v>
      </c>
      <c r="H441">
        <v>10</v>
      </c>
    </row>
    <row r="442" spans="1:8">
      <c r="A442" s="6"/>
      <c r="B442">
        <v>16</v>
      </c>
      <c r="C442">
        <v>2</v>
      </c>
      <c r="D442">
        <v>40</v>
      </c>
      <c r="E442">
        <v>20</v>
      </c>
      <c r="F442">
        <v>68</v>
      </c>
      <c r="G442">
        <v>78</v>
      </c>
      <c r="H442">
        <v>10</v>
      </c>
    </row>
    <row r="443" spans="1:8">
      <c r="A443" s="6"/>
      <c r="B443">
        <v>17</v>
      </c>
      <c r="C443">
        <v>0</v>
      </c>
      <c r="D443">
        <v>40</v>
      </c>
      <c r="E443">
        <v>20</v>
      </c>
      <c r="F443">
        <v>59</v>
      </c>
      <c r="G443">
        <v>114</v>
      </c>
      <c r="H443">
        <v>10</v>
      </c>
    </row>
    <row r="444" spans="1:8">
      <c r="A444" s="6"/>
      <c r="B444">
        <v>18</v>
      </c>
      <c r="C444">
        <v>0</v>
      </c>
      <c r="D444">
        <v>45</v>
      </c>
      <c r="E444">
        <v>20</v>
      </c>
      <c r="F444">
        <v>147</v>
      </c>
      <c r="G444">
        <v>180</v>
      </c>
      <c r="H444">
        <v>10</v>
      </c>
    </row>
    <row r="445" spans="1:8">
      <c r="A445" s="6"/>
      <c r="B445">
        <v>19</v>
      </c>
      <c r="C445">
        <v>44</v>
      </c>
      <c r="D445">
        <v>5</v>
      </c>
      <c r="E445">
        <v>20</v>
      </c>
      <c r="F445">
        <v>79</v>
      </c>
      <c r="G445">
        <v>124</v>
      </c>
      <c r="H445">
        <v>10</v>
      </c>
    </row>
    <row r="446" spans="1:8">
      <c r="A446" s="6"/>
      <c r="B446">
        <v>20</v>
      </c>
      <c r="C446">
        <v>42</v>
      </c>
      <c r="D446">
        <v>10</v>
      </c>
      <c r="E446">
        <v>40</v>
      </c>
      <c r="F446">
        <v>58</v>
      </c>
      <c r="G446">
        <v>115</v>
      </c>
      <c r="H446">
        <v>10</v>
      </c>
    </row>
    <row r="447" spans="1:8">
      <c r="A447" s="6"/>
      <c r="B447">
        <v>21</v>
      </c>
      <c r="C447">
        <v>42</v>
      </c>
      <c r="D447">
        <v>15</v>
      </c>
      <c r="E447">
        <v>10</v>
      </c>
      <c r="F447">
        <v>111</v>
      </c>
      <c r="G447">
        <v>162</v>
      </c>
      <c r="H447">
        <v>10</v>
      </c>
    </row>
    <row r="448" spans="1:8">
      <c r="A448" s="6"/>
      <c r="B448">
        <v>22</v>
      </c>
      <c r="C448">
        <v>40</v>
      </c>
      <c r="D448">
        <v>5</v>
      </c>
      <c r="E448">
        <v>10</v>
      </c>
      <c r="F448">
        <v>45</v>
      </c>
      <c r="G448">
        <v>165</v>
      </c>
      <c r="H448">
        <v>10</v>
      </c>
    </row>
    <row r="449" spans="1:8">
      <c r="A449" s="6"/>
      <c r="B449">
        <v>23</v>
      </c>
      <c r="C449">
        <v>40</v>
      </c>
      <c r="D449">
        <v>15</v>
      </c>
      <c r="E449">
        <v>40</v>
      </c>
      <c r="F449">
        <v>94</v>
      </c>
      <c r="G449">
        <v>119</v>
      </c>
      <c r="H449">
        <v>10</v>
      </c>
    </row>
    <row r="450" spans="1:8">
      <c r="A450" s="6"/>
      <c r="B450">
        <v>24</v>
      </c>
      <c r="C450">
        <v>38</v>
      </c>
      <c r="D450">
        <v>5</v>
      </c>
      <c r="E450">
        <v>30</v>
      </c>
      <c r="F450">
        <v>75</v>
      </c>
      <c r="G450">
        <v>85</v>
      </c>
      <c r="H450">
        <v>10</v>
      </c>
    </row>
    <row r="451" spans="1:8">
      <c r="A451" s="6"/>
      <c r="B451">
        <v>25</v>
      </c>
      <c r="C451">
        <v>38</v>
      </c>
      <c r="D451">
        <v>15</v>
      </c>
      <c r="E451">
        <v>10</v>
      </c>
      <c r="F451">
        <v>128</v>
      </c>
      <c r="G451">
        <v>194</v>
      </c>
      <c r="H451">
        <v>10</v>
      </c>
    </row>
    <row r="452" spans="1:8">
      <c r="A452" s="6"/>
      <c r="B452">
        <v>26</v>
      </c>
      <c r="C452">
        <v>35</v>
      </c>
      <c r="D452">
        <v>5</v>
      </c>
      <c r="E452">
        <v>20</v>
      </c>
      <c r="F452">
        <v>171</v>
      </c>
      <c r="G452">
        <v>181</v>
      </c>
      <c r="H452">
        <v>10</v>
      </c>
    </row>
    <row r="453" spans="1:8">
      <c r="A453" s="6"/>
      <c r="B453">
        <v>27</v>
      </c>
      <c r="C453">
        <v>95</v>
      </c>
      <c r="D453">
        <v>30</v>
      </c>
      <c r="E453">
        <v>30</v>
      </c>
      <c r="F453">
        <v>58</v>
      </c>
      <c r="G453">
        <v>171</v>
      </c>
      <c r="H453">
        <v>10</v>
      </c>
    </row>
    <row r="454" spans="1:8">
      <c r="A454" s="6"/>
      <c r="B454">
        <v>28</v>
      </c>
      <c r="C454">
        <v>95</v>
      </c>
      <c r="D454">
        <v>35</v>
      </c>
      <c r="E454">
        <v>20</v>
      </c>
      <c r="F454">
        <v>60</v>
      </c>
      <c r="G454">
        <v>93</v>
      </c>
      <c r="H454">
        <v>10</v>
      </c>
    </row>
    <row r="455" spans="1:8">
      <c r="A455" s="6"/>
      <c r="B455">
        <v>29</v>
      </c>
      <c r="C455">
        <v>92</v>
      </c>
      <c r="D455">
        <v>30</v>
      </c>
      <c r="E455">
        <v>10</v>
      </c>
      <c r="F455">
        <v>55</v>
      </c>
      <c r="G455">
        <v>120</v>
      </c>
      <c r="H455">
        <v>10</v>
      </c>
    </row>
    <row r="456" spans="1:8">
      <c r="A456" s="6"/>
      <c r="B456">
        <v>30</v>
      </c>
      <c r="C456">
        <v>90</v>
      </c>
      <c r="D456">
        <v>35</v>
      </c>
      <c r="E456">
        <v>10</v>
      </c>
      <c r="F456">
        <v>52</v>
      </c>
      <c r="G456">
        <v>112</v>
      </c>
      <c r="H456">
        <v>10</v>
      </c>
    </row>
    <row r="457" spans="1:8">
      <c r="A457" s="6"/>
      <c r="B457">
        <v>31</v>
      </c>
      <c r="C457">
        <v>88</v>
      </c>
      <c r="D457">
        <v>30</v>
      </c>
      <c r="E457">
        <v>10</v>
      </c>
      <c r="F457">
        <v>75</v>
      </c>
      <c r="G457">
        <v>102</v>
      </c>
      <c r="H457">
        <v>10</v>
      </c>
    </row>
    <row r="458" spans="1:8">
      <c r="A458" s="6"/>
      <c r="B458">
        <v>32</v>
      </c>
      <c r="C458">
        <v>88</v>
      </c>
      <c r="D458">
        <v>35</v>
      </c>
      <c r="E458">
        <v>20</v>
      </c>
      <c r="F458">
        <v>50</v>
      </c>
      <c r="G458">
        <v>170</v>
      </c>
      <c r="H458">
        <v>10</v>
      </c>
    </row>
    <row r="459" spans="1:8">
      <c r="A459" s="6"/>
      <c r="B459">
        <v>33</v>
      </c>
      <c r="C459">
        <v>87</v>
      </c>
      <c r="D459">
        <v>30</v>
      </c>
      <c r="E459">
        <v>10</v>
      </c>
      <c r="F459">
        <v>116</v>
      </c>
      <c r="G459">
        <v>175</v>
      </c>
      <c r="H459">
        <v>10</v>
      </c>
    </row>
    <row r="460" spans="1:8">
      <c r="A460" s="6"/>
      <c r="B460">
        <v>34</v>
      </c>
      <c r="C460">
        <v>85</v>
      </c>
      <c r="D460">
        <v>25</v>
      </c>
      <c r="E460">
        <v>10</v>
      </c>
      <c r="F460">
        <v>51</v>
      </c>
      <c r="G460">
        <v>85</v>
      </c>
      <c r="H460">
        <v>10</v>
      </c>
    </row>
    <row r="461" spans="1:8">
      <c r="A461" s="6"/>
      <c r="B461">
        <v>35</v>
      </c>
      <c r="C461">
        <v>85</v>
      </c>
      <c r="D461">
        <v>35</v>
      </c>
      <c r="E461">
        <v>30</v>
      </c>
      <c r="F461">
        <v>62</v>
      </c>
      <c r="G461">
        <v>182</v>
      </c>
      <c r="H461">
        <v>10</v>
      </c>
    </row>
    <row r="462" spans="1:8">
      <c r="A462" s="6"/>
      <c r="B462">
        <v>36</v>
      </c>
      <c r="C462">
        <v>67</v>
      </c>
      <c r="D462">
        <v>85</v>
      </c>
      <c r="E462">
        <v>20</v>
      </c>
      <c r="F462">
        <v>138</v>
      </c>
      <c r="G462">
        <v>169</v>
      </c>
      <c r="H462">
        <v>10</v>
      </c>
    </row>
    <row r="463" spans="1:8">
      <c r="A463" s="6"/>
      <c r="B463">
        <v>37</v>
      </c>
      <c r="C463">
        <v>65</v>
      </c>
      <c r="D463">
        <v>85</v>
      </c>
      <c r="E463">
        <v>40</v>
      </c>
      <c r="F463">
        <v>43</v>
      </c>
      <c r="G463">
        <v>78</v>
      </c>
      <c r="H463">
        <v>10</v>
      </c>
    </row>
    <row r="464" spans="1:8">
      <c r="A464" s="6"/>
      <c r="B464">
        <v>38</v>
      </c>
      <c r="C464">
        <v>65</v>
      </c>
      <c r="D464">
        <v>82</v>
      </c>
      <c r="E464">
        <v>10</v>
      </c>
      <c r="F464">
        <v>69</v>
      </c>
      <c r="G464">
        <v>189</v>
      </c>
      <c r="H464">
        <v>10</v>
      </c>
    </row>
    <row r="465" spans="1:8">
      <c r="A465" s="6"/>
      <c r="B465">
        <v>39</v>
      </c>
      <c r="C465">
        <v>62</v>
      </c>
      <c r="D465">
        <v>80</v>
      </c>
      <c r="E465">
        <v>30</v>
      </c>
      <c r="F465">
        <v>85</v>
      </c>
      <c r="G465">
        <v>95</v>
      </c>
      <c r="H465">
        <v>10</v>
      </c>
    </row>
    <row r="466" spans="1:8">
      <c r="A466" s="6"/>
      <c r="B466">
        <v>40</v>
      </c>
      <c r="C466">
        <v>60</v>
      </c>
      <c r="D466">
        <v>80</v>
      </c>
      <c r="E466">
        <v>10</v>
      </c>
      <c r="F466">
        <v>36</v>
      </c>
      <c r="G466">
        <v>74</v>
      </c>
      <c r="H466">
        <v>10</v>
      </c>
    </row>
    <row r="467" spans="1:8">
      <c r="A467" s="6"/>
      <c r="B467">
        <v>41</v>
      </c>
      <c r="C467">
        <v>60</v>
      </c>
      <c r="D467">
        <v>85</v>
      </c>
      <c r="E467">
        <v>30</v>
      </c>
      <c r="F467">
        <v>87</v>
      </c>
      <c r="G467">
        <v>112</v>
      </c>
      <c r="H467">
        <v>10</v>
      </c>
    </row>
    <row r="468" spans="1:8">
      <c r="A468" s="6"/>
      <c r="B468">
        <v>42</v>
      </c>
      <c r="C468">
        <v>58</v>
      </c>
      <c r="D468">
        <v>75</v>
      </c>
      <c r="E468">
        <v>20</v>
      </c>
      <c r="F468">
        <v>92</v>
      </c>
      <c r="G468">
        <v>121</v>
      </c>
      <c r="H468">
        <v>10</v>
      </c>
    </row>
    <row r="469" spans="1:8">
      <c r="A469" s="6"/>
      <c r="B469">
        <v>43</v>
      </c>
      <c r="C469">
        <v>55</v>
      </c>
      <c r="D469">
        <v>80</v>
      </c>
      <c r="E469">
        <v>10</v>
      </c>
      <c r="F469">
        <v>33</v>
      </c>
      <c r="G469">
        <v>66</v>
      </c>
      <c r="H469">
        <v>10</v>
      </c>
    </row>
    <row r="470" spans="1:8">
      <c r="A470" s="6"/>
      <c r="B470">
        <v>44</v>
      </c>
      <c r="C470">
        <v>55</v>
      </c>
      <c r="D470">
        <v>85</v>
      </c>
      <c r="E470">
        <v>20</v>
      </c>
      <c r="F470">
        <v>117</v>
      </c>
      <c r="G470">
        <v>168</v>
      </c>
      <c r="H470">
        <v>10</v>
      </c>
    </row>
    <row r="471" spans="1:8">
      <c r="A471" s="6"/>
      <c r="B471">
        <v>45</v>
      </c>
      <c r="C471">
        <v>55</v>
      </c>
      <c r="D471">
        <v>82</v>
      </c>
      <c r="E471">
        <v>10</v>
      </c>
      <c r="F471">
        <v>74</v>
      </c>
      <c r="G471">
        <v>84</v>
      </c>
      <c r="H471">
        <v>10</v>
      </c>
    </row>
    <row r="472" spans="1:8">
      <c r="A472" s="6"/>
      <c r="B472">
        <v>46</v>
      </c>
      <c r="C472">
        <v>20</v>
      </c>
      <c r="D472">
        <v>82</v>
      </c>
      <c r="E472">
        <v>10</v>
      </c>
      <c r="F472">
        <v>37</v>
      </c>
      <c r="G472">
        <v>72</v>
      </c>
      <c r="H472">
        <v>10</v>
      </c>
    </row>
    <row r="473" spans="1:8">
      <c r="A473" s="6"/>
      <c r="B473">
        <v>47</v>
      </c>
      <c r="C473">
        <v>18</v>
      </c>
      <c r="D473">
        <v>80</v>
      </c>
      <c r="E473">
        <v>10</v>
      </c>
      <c r="F473">
        <v>98</v>
      </c>
      <c r="G473">
        <v>157</v>
      </c>
      <c r="H473">
        <v>10</v>
      </c>
    </row>
    <row r="474" spans="1:8">
      <c r="A474" s="6"/>
      <c r="B474">
        <v>48</v>
      </c>
      <c r="C474">
        <v>2</v>
      </c>
      <c r="D474">
        <v>45</v>
      </c>
      <c r="E474">
        <v>10</v>
      </c>
      <c r="F474">
        <v>38</v>
      </c>
      <c r="G474">
        <v>109</v>
      </c>
      <c r="H474">
        <v>10</v>
      </c>
    </row>
    <row r="475" spans="1:8">
      <c r="A475" s="6"/>
      <c r="B475">
        <v>49</v>
      </c>
      <c r="C475">
        <v>42</v>
      </c>
      <c r="D475">
        <v>5</v>
      </c>
      <c r="E475">
        <v>10</v>
      </c>
      <c r="F475">
        <v>64</v>
      </c>
      <c r="G475">
        <v>184</v>
      </c>
      <c r="H475">
        <v>10</v>
      </c>
    </row>
    <row r="476" spans="1:8">
      <c r="A476" s="6"/>
      <c r="B476">
        <v>50</v>
      </c>
      <c r="C476">
        <v>42</v>
      </c>
      <c r="D476">
        <v>12</v>
      </c>
      <c r="E476">
        <v>10</v>
      </c>
      <c r="F476">
        <v>109</v>
      </c>
      <c r="G476">
        <v>128</v>
      </c>
      <c r="H476">
        <v>10</v>
      </c>
    </row>
    <row r="477" spans="1:8">
      <c r="A477" s="6"/>
      <c r="B477">
        <v>51</v>
      </c>
      <c r="C477">
        <v>72</v>
      </c>
      <c r="D477">
        <v>35</v>
      </c>
      <c r="E477">
        <v>30</v>
      </c>
      <c r="F477">
        <v>71</v>
      </c>
      <c r="G477">
        <v>191</v>
      </c>
      <c r="H477">
        <v>10</v>
      </c>
    </row>
    <row r="478" spans="1:8">
      <c r="A478" s="6"/>
      <c r="B478">
        <v>52</v>
      </c>
      <c r="C478">
        <v>55</v>
      </c>
      <c r="D478">
        <v>20</v>
      </c>
      <c r="E478">
        <v>19</v>
      </c>
      <c r="F478">
        <v>69</v>
      </c>
      <c r="G478">
        <v>126</v>
      </c>
      <c r="H478">
        <v>10</v>
      </c>
    </row>
    <row r="479" spans="1:8">
      <c r="A479" s="6"/>
      <c r="B479">
        <v>53</v>
      </c>
      <c r="C479">
        <v>25</v>
      </c>
      <c r="D479">
        <v>30</v>
      </c>
      <c r="E479">
        <v>3</v>
      </c>
      <c r="F479">
        <v>25</v>
      </c>
      <c r="G479">
        <v>145</v>
      </c>
      <c r="H479">
        <v>10</v>
      </c>
    </row>
    <row r="480" spans="1:8">
      <c r="A480" s="6"/>
      <c r="B480">
        <v>54</v>
      </c>
      <c r="C480">
        <v>20</v>
      </c>
      <c r="D480">
        <v>50</v>
      </c>
      <c r="E480">
        <v>5</v>
      </c>
      <c r="F480">
        <v>101</v>
      </c>
      <c r="G480">
        <v>111</v>
      </c>
      <c r="H480">
        <v>10</v>
      </c>
    </row>
    <row r="481" spans="1:8">
      <c r="A481" s="6"/>
      <c r="B481">
        <v>55</v>
      </c>
      <c r="C481">
        <v>55</v>
      </c>
      <c r="D481">
        <v>60</v>
      </c>
      <c r="E481">
        <v>16</v>
      </c>
      <c r="F481">
        <v>127</v>
      </c>
      <c r="G481">
        <v>180</v>
      </c>
      <c r="H481">
        <v>10</v>
      </c>
    </row>
    <row r="482" spans="1:8">
      <c r="A482" s="6"/>
      <c r="B482">
        <v>56</v>
      </c>
      <c r="C482">
        <v>30</v>
      </c>
      <c r="D482">
        <v>60</v>
      </c>
      <c r="E482">
        <v>16</v>
      </c>
      <c r="F482">
        <v>150</v>
      </c>
      <c r="G482">
        <v>160</v>
      </c>
      <c r="H482">
        <v>10</v>
      </c>
    </row>
    <row r="483" spans="1:8">
      <c r="A483" s="6"/>
      <c r="B483">
        <v>57</v>
      </c>
      <c r="C483">
        <v>50</v>
      </c>
      <c r="D483">
        <v>35</v>
      </c>
      <c r="E483">
        <v>19</v>
      </c>
      <c r="F483">
        <v>130</v>
      </c>
      <c r="G483">
        <v>159</v>
      </c>
      <c r="H483">
        <v>10</v>
      </c>
    </row>
    <row r="484" spans="1:8">
      <c r="A484" s="6"/>
      <c r="B484">
        <v>58</v>
      </c>
      <c r="C484">
        <v>30</v>
      </c>
      <c r="D484">
        <v>25</v>
      </c>
      <c r="E484">
        <v>23</v>
      </c>
      <c r="F484">
        <v>82</v>
      </c>
      <c r="G484">
        <v>139</v>
      </c>
      <c r="H484">
        <v>10</v>
      </c>
    </row>
    <row r="485" spans="1:8">
      <c r="A485" s="6"/>
      <c r="B485">
        <v>59</v>
      </c>
      <c r="C485">
        <v>15</v>
      </c>
      <c r="D485">
        <v>10</v>
      </c>
      <c r="E485">
        <v>20</v>
      </c>
      <c r="F485">
        <v>172</v>
      </c>
      <c r="G485">
        <v>182</v>
      </c>
      <c r="H485">
        <v>10</v>
      </c>
    </row>
    <row r="486" spans="1:8">
      <c r="A486" s="6"/>
      <c r="B486">
        <v>60</v>
      </c>
      <c r="C486">
        <v>10</v>
      </c>
      <c r="D486">
        <v>20</v>
      </c>
      <c r="E486">
        <v>19</v>
      </c>
      <c r="F486">
        <v>42</v>
      </c>
      <c r="G486">
        <v>162</v>
      </c>
      <c r="H486">
        <v>10</v>
      </c>
    </row>
    <row r="487" spans="1:8">
      <c r="A487" s="6"/>
      <c r="B487">
        <v>61</v>
      </c>
      <c r="C487">
        <v>15</v>
      </c>
      <c r="D487">
        <v>60</v>
      </c>
      <c r="E487">
        <v>17</v>
      </c>
      <c r="F487">
        <v>137</v>
      </c>
      <c r="G487">
        <v>202</v>
      </c>
      <c r="H487">
        <v>10</v>
      </c>
    </row>
    <row r="488" spans="1:8">
      <c r="A488" s="6"/>
      <c r="B488">
        <v>62</v>
      </c>
      <c r="C488">
        <v>45</v>
      </c>
      <c r="D488">
        <v>65</v>
      </c>
      <c r="E488">
        <v>9</v>
      </c>
      <c r="F488">
        <v>55</v>
      </c>
      <c r="G488">
        <v>106</v>
      </c>
      <c r="H488">
        <v>10</v>
      </c>
    </row>
    <row r="489" spans="1:8">
      <c r="A489" s="6"/>
      <c r="B489">
        <v>63</v>
      </c>
      <c r="C489">
        <v>65</v>
      </c>
      <c r="D489">
        <v>35</v>
      </c>
      <c r="E489">
        <v>3</v>
      </c>
      <c r="F489">
        <v>62</v>
      </c>
      <c r="G489">
        <v>72</v>
      </c>
      <c r="H489">
        <v>10</v>
      </c>
    </row>
    <row r="490" spans="1:8">
      <c r="A490" s="6"/>
      <c r="B490">
        <v>64</v>
      </c>
      <c r="C490">
        <v>65</v>
      </c>
      <c r="D490">
        <v>20</v>
      </c>
      <c r="E490">
        <v>6</v>
      </c>
      <c r="F490">
        <v>39</v>
      </c>
      <c r="G490">
        <v>108</v>
      </c>
      <c r="H490">
        <v>10</v>
      </c>
    </row>
    <row r="491" spans="1:8">
      <c r="A491" s="6"/>
      <c r="B491">
        <v>65</v>
      </c>
      <c r="C491">
        <v>45</v>
      </c>
      <c r="D491">
        <v>30</v>
      </c>
      <c r="E491">
        <v>17</v>
      </c>
      <c r="F491">
        <v>53</v>
      </c>
      <c r="G491">
        <v>82</v>
      </c>
      <c r="H491">
        <v>10</v>
      </c>
    </row>
    <row r="492" spans="1:8">
      <c r="A492" s="6"/>
      <c r="B492">
        <v>66</v>
      </c>
      <c r="C492">
        <v>35</v>
      </c>
      <c r="D492">
        <v>40</v>
      </c>
      <c r="E492">
        <v>16</v>
      </c>
      <c r="F492">
        <v>11</v>
      </c>
      <c r="G492">
        <v>43</v>
      </c>
      <c r="H492">
        <v>10</v>
      </c>
    </row>
    <row r="493" spans="1:8">
      <c r="A493" s="6"/>
      <c r="B493">
        <v>67</v>
      </c>
      <c r="C493">
        <v>41</v>
      </c>
      <c r="D493">
        <v>37</v>
      </c>
      <c r="E493">
        <v>16</v>
      </c>
      <c r="F493">
        <v>134</v>
      </c>
      <c r="G493">
        <v>161</v>
      </c>
      <c r="H493">
        <v>10</v>
      </c>
    </row>
    <row r="494" spans="1:8">
      <c r="A494" s="6"/>
      <c r="B494">
        <v>68</v>
      </c>
      <c r="C494">
        <v>64</v>
      </c>
      <c r="D494">
        <v>42</v>
      </c>
      <c r="E494">
        <v>9</v>
      </c>
      <c r="F494">
        <v>80</v>
      </c>
      <c r="G494">
        <v>90</v>
      </c>
      <c r="H494">
        <v>10</v>
      </c>
    </row>
    <row r="495" spans="1:8">
      <c r="A495" s="6"/>
      <c r="B495">
        <v>69</v>
      </c>
      <c r="C495">
        <v>40</v>
      </c>
      <c r="D495">
        <v>60</v>
      </c>
      <c r="E495">
        <v>21</v>
      </c>
      <c r="F495">
        <v>144</v>
      </c>
      <c r="G495">
        <v>173</v>
      </c>
      <c r="H495">
        <v>10</v>
      </c>
    </row>
    <row r="496" spans="1:8">
      <c r="A496" s="6"/>
      <c r="B496">
        <v>70</v>
      </c>
      <c r="C496">
        <v>31</v>
      </c>
      <c r="D496">
        <v>52</v>
      </c>
      <c r="E496">
        <v>27</v>
      </c>
      <c r="F496">
        <v>51</v>
      </c>
      <c r="G496">
        <v>61</v>
      </c>
      <c r="H496">
        <v>10</v>
      </c>
    </row>
    <row r="497" spans="1:8">
      <c r="A497" s="6"/>
      <c r="B497">
        <v>71</v>
      </c>
      <c r="C497">
        <v>35</v>
      </c>
      <c r="D497">
        <v>69</v>
      </c>
      <c r="E497">
        <v>23</v>
      </c>
      <c r="F497">
        <v>172</v>
      </c>
      <c r="G497">
        <v>210</v>
      </c>
      <c r="H497">
        <v>10</v>
      </c>
    </row>
    <row r="498" spans="1:8">
      <c r="A498" s="6"/>
      <c r="B498">
        <v>72</v>
      </c>
      <c r="C498">
        <v>65</v>
      </c>
      <c r="D498">
        <v>55</v>
      </c>
      <c r="E498">
        <v>14</v>
      </c>
      <c r="F498">
        <v>52</v>
      </c>
      <c r="G498">
        <v>107</v>
      </c>
      <c r="H498">
        <v>10</v>
      </c>
    </row>
    <row r="499" spans="1:8">
      <c r="A499" s="6"/>
      <c r="B499">
        <v>73</v>
      </c>
      <c r="C499">
        <v>63</v>
      </c>
      <c r="D499">
        <v>65</v>
      </c>
      <c r="E499">
        <v>8</v>
      </c>
      <c r="F499">
        <v>27</v>
      </c>
      <c r="G499">
        <v>147</v>
      </c>
      <c r="H499">
        <v>10</v>
      </c>
    </row>
    <row r="500" spans="1:8">
      <c r="A500" s="6"/>
      <c r="B500">
        <v>74</v>
      </c>
      <c r="C500">
        <v>2</v>
      </c>
      <c r="D500">
        <v>60</v>
      </c>
      <c r="E500">
        <v>5</v>
      </c>
      <c r="F500">
        <v>65</v>
      </c>
      <c r="G500">
        <v>118</v>
      </c>
      <c r="H500">
        <v>10</v>
      </c>
    </row>
    <row r="501" spans="1:8">
      <c r="A501" s="6"/>
      <c r="B501">
        <v>75</v>
      </c>
      <c r="C501">
        <v>20</v>
      </c>
      <c r="D501">
        <v>20</v>
      </c>
      <c r="E501">
        <v>8</v>
      </c>
      <c r="F501">
        <v>151</v>
      </c>
      <c r="G501">
        <v>161</v>
      </c>
      <c r="H501">
        <v>10</v>
      </c>
    </row>
    <row r="502" spans="1:8">
      <c r="A502" s="6"/>
      <c r="B502">
        <v>76</v>
      </c>
      <c r="C502">
        <v>5</v>
      </c>
      <c r="D502">
        <v>5</v>
      </c>
      <c r="E502">
        <v>16</v>
      </c>
      <c r="F502">
        <v>57</v>
      </c>
      <c r="G502">
        <v>172</v>
      </c>
      <c r="H502">
        <v>10</v>
      </c>
    </row>
    <row r="503" spans="1:8">
      <c r="A503" s="6"/>
      <c r="B503">
        <v>77</v>
      </c>
      <c r="C503">
        <v>60</v>
      </c>
      <c r="D503">
        <v>12</v>
      </c>
      <c r="E503">
        <v>31</v>
      </c>
      <c r="F503">
        <v>85</v>
      </c>
      <c r="G503">
        <v>95</v>
      </c>
      <c r="H503">
        <v>10</v>
      </c>
    </row>
    <row r="504" spans="1:8">
      <c r="A504" s="6"/>
      <c r="B504">
        <v>78</v>
      </c>
      <c r="C504">
        <v>23</v>
      </c>
      <c r="D504">
        <v>3</v>
      </c>
      <c r="E504">
        <v>7</v>
      </c>
      <c r="F504">
        <v>163</v>
      </c>
      <c r="G504">
        <v>173</v>
      </c>
      <c r="H504">
        <v>10</v>
      </c>
    </row>
    <row r="505" spans="1:8">
      <c r="A505" s="6"/>
      <c r="B505">
        <v>79</v>
      </c>
      <c r="C505">
        <v>8</v>
      </c>
      <c r="D505">
        <v>56</v>
      </c>
      <c r="E505">
        <v>27</v>
      </c>
      <c r="F505">
        <v>90</v>
      </c>
      <c r="G505">
        <v>119</v>
      </c>
      <c r="H505">
        <v>10</v>
      </c>
    </row>
    <row r="506" spans="1:8">
      <c r="A506" s="6"/>
      <c r="B506">
        <v>80</v>
      </c>
      <c r="C506">
        <v>6</v>
      </c>
      <c r="D506">
        <v>68</v>
      </c>
      <c r="E506">
        <v>30</v>
      </c>
      <c r="F506">
        <v>99</v>
      </c>
      <c r="G506">
        <v>109</v>
      </c>
      <c r="H506">
        <v>10</v>
      </c>
    </row>
    <row r="507" spans="1:8">
      <c r="A507" s="6"/>
      <c r="B507">
        <v>81</v>
      </c>
      <c r="C507">
        <v>47</v>
      </c>
      <c r="D507">
        <v>47</v>
      </c>
      <c r="E507">
        <v>13</v>
      </c>
      <c r="F507">
        <v>190</v>
      </c>
      <c r="G507">
        <v>222</v>
      </c>
      <c r="H507">
        <v>10</v>
      </c>
    </row>
    <row r="508" spans="1:8">
      <c r="A508" s="6"/>
      <c r="B508">
        <v>82</v>
      </c>
      <c r="C508">
        <v>49</v>
      </c>
      <c r="D508">
        <v>58</v>
      </c>
      <c r="E508">
        <v>10</v>
      </c>
      <c r="F508">
        <v>80</v>
      </c>
      <c r="G508">
        <v>121</v>
      </c>
      <c r="H508">
        <v>10</v>
      </c>
    </row>
    <row r="509" spans="1:8">
      <c r="A509" s="6"/>
      <c r="B509">
        <v>83</v>
      </c>
      <c r="C509">
        <v>27</v>
      </c>
      <c r="D509">
        <v>43</v>
      </c>
      <c r="E509">
        <v>9</v>
      </c>
      <c r="F509">
        <v>14</v>
      </c>
      <c r="G509">
        <v>134</v>
      </c>
      <c r="H509">
        <v>10</v>
      </c>
    </row>
    <row r="510" spans="1:8">
      <c r="A510" s="6"/>
      <c r="B510">
        <v>84</v>
      </c>
      <c r="C510">
        <v>37</v>
      </c>
      <c r="D510">
        <v>31</v>
      </c>
      <c r="E510">
        <v>14</v>
      </c>
      <c r="F510">
        <v>19</v>
      </c>
      <c r="G510">
        <v>139</v>
      </c>
      <c r="H510">
        <v>10</v>
      </c>
    </row>
    <row r="511" spans="1:8">
      <c r="A511" s="6"/>
      <c r="B511">
        <v>85</v>
      </c>
      <c r="C511">
        <v>57</v>
      </c>
      <c r="D511">
        <v>29</v>
      </c>
      <c r="E511">
        <v>18</v>
      </c>
      <c r="F511">
        <v>106</v>
      </c>
      <c r="G511">
        <v>116</v>
      </c>
      <c r="H511">
        <v>10</v>
      </c>
    </row>
    <row r="512" spans="1:8">
      <c r="A512" s="6"/>
      <c r="B512">
        <v>86</v>
      </c>
      <c r="C512">
        <v>63</v>
      </c>
      <c r="D512">
        <v>23</v>
      </c>
      <c r="E512">
        <v>2</v>
      </c>
      <c r="F512">
        <v>42</v>
      </c>
      <c r="G512">
        <v>162</v>
      </c>
      <c r="H512">
        <v>10</v>
      </c>
    </row>
    <row r="513" spans="1:8">
      <c r="A513" s="6"/>
      <c r="B513">
        <v>87</v>
      </c>
      <c r="C513">
        <v>21</v>
      </c>
      <c r="D513">
        <v>24</v>
      </c>
      <c r="E513">
        <v>28</v>
      </c>
      <c r="F513">
        <v>77</v>
      </c>
      <c r="G513">
        <v>126</v>
      </c>
      <c r="H513">
        <v>10</v>
      </c>
    </row>
    <row r="514" spans="1:8">
      <c r="A514" s="6"/>
      <c r="B514">
        <v>88</v>
      </c>
      <c r="C514">
        <v>12</v>
      </c>
      <c r="D514">
        <v>24</v>
      </c>
      <c r="E514">
        <v>13</v>
      </c>
      <c r="F514">
        <v>100</v>
      </c>
      <c r="G514">
        <v>110</v>
      </c>
      <c r="H514">
        <v>10</v>
      </c>
    </row>
    <row r="515" spans="1:8">
      <c r="A515" s="6"/>
      <c r="B515">
        <v>89</v>
      </c>
      <c r="C515">
        <v>24</v>
      </c>
      <c r="D515">
        <v>58</v>
      </c>
      <c r="E515">
        <v>19</v>
      </c>
      <c r="F515">
        <v>67</v>
      </c>
      <c r="G515">
        <v>96</v>
      </c>
      <c r="H515">
        <v>10</v>
      </c>
    </row>
    <row r="516" spans="1:8">
      <c r="A516" s="6"/>
      <c r="B516">
        <v>90</v>
      </c>
      <c r="C516">
        <v>67</v>
      </c>
      <c r="D516">
        <v>5</v>
      </c>
      <c r="E516">
        <v>25</v>
      </c>
      <c r="F516">
        <v>105</v>
      </c>
      <c r="G516">
        <v>177</v>
      </c>
      <c r="H516">
        <v>10</v>
      </c>
    </row>
    <row r="517" spans="1:8">
      <c r="A517" s="6"/>
      <c r="B517">
        <v>91</v>
      </c>
      <c r="C517">
        <v>37</v>
      </c>
      <c r="D517">
        <v>47</v>
      </c>
      <c r="E517">
        <v>6</v>
      </c>
      <c r="F517">
        <v>74</v>
      </c>
      <c r="G517">
        <v>127</v>
      </c>
      <c r="H517">
        <v>10</v>
      </c>
    </row>
    <row r="518" spans="1:8">
      <c r="A518" s="6"/>
      <c r="B518">
        <v>92</v>
      </c>
      <c r="C518">
        <v>49</v>
      </c>
      <c r="D518">
        <v>42</v>
      </c>
      <c r="E518">
        <v>13</v>
      </c>
      <c r="F518">
        <v>97</v>
      </c>
      <c r="G518">
        <v>217</v>
      </c>
      <c r="H518">
        <v>10</v>
      </c>
    </row>
    <row r="519" spans="1:8">
      <c r="A519" s="6"/>
      <c r="B519">
        <v>93</v>
      </c>
      <c r="C519">
        <v>53</v>
      </c>
      <c r="D519">
        <v>43</v>
      </c>
      <c r="E519">
        <v>14</v>
      </c>
      <c r="F519">
        <v>15</v>
      </c>
      <c r="G519">
        <v>25</v>
      </c>
      <c r="H519">
        <v>10</v>
      </c>
    </row>
    <row r="520" spans="1:8">
      <c r="A520" s="6"/>
      <c r="B520">
        <v>94</v>
      </c>
      <c r="C520">
        <v>61</v>
      </c>
      <c r="D520">
        <v>52</v>
      </c>
      <c r="E520">
        <v>3</v>
      </c>
      <c r="F520">
        <v>173</v>
      </c>
      <c r="G520">
        <v>208</v>
      </c>
      <c r="H520">
        <v>10</v>
      </c>
    </row>
    <row r="521" spans="1:8">
      <c r="A521" s="6"/>
      <c r="B521">
        <v>95</v>
      </c>
      <c r="C521">
        <v>57</v>
      </c>
      <c r="D521">
        <v>48</v>
      </c>
      <c r="E521">
        <v>23</v>
      </c>
      <c r="F521">
        <v>50</v>
      </c>
      <c r="G521">
        <v>170</v>
      </c>
      <c r="H521">
        <v>10</v>
      </c>
    </row>
    <row r="522" spans="1:8">
      <c r="A522" s="6"/>
      <c r="B522">
        <v>96</v>
      </c>
      <c r="C522">
        <v>56</v>
      </c>
      <c r="D522">
        <v>37</v>
      </c>
      <c r="E522">
        <v>6</v>
      </c>
      <c r="F522">
        <v>20</v>
      </c>
      <c r="G522">
        <v>140</v>
      </c>
      <c r="H522">
        <v>10</v>
      </c>
    </row>
    <row r="523" spans="1:8">
      <c r="A523" s="6"/>
      <c r="B523">
        <v>97</v>
      </c>
      <c r="C523">
        <v>55</v>
      </c>
      <c r="D523">
        <v>54</v>
      </c>
      <c r="E523">
        <v>26</v>
      </c>
      <c r="F523">
        <v>87</v>
      </c>
      <c r="G523">
        <v>207</v>
      </c>
      <c r="H523">
        <v>10</v>
      </c>
    </row>
    <row r="524" spans="1:8">
      <c r="A524" s="6"/>
      <c r="B524">
        <v>98</v>
      </c>
      <c r="C524">
        <v>4</v>
      </c>
      <c r="D524">
        <v>18</v>
      </c>
      <c r="E524">
        <v>35</v>
      </c>
      <c r="F524">
        <v>112</v>
      </c>
      <c r="G524">
        <v>157</v>
      </c>
      <c r="H524">
        <v>10</v>
      </c>
    </row>
    <row r="525" spans="1:8">
      <c r="A525" s="6"/>
      <c r="B525">
        <v>99</v>
      </c>
      <c r="C525">
        <v>26</v>
      </c>
      <c r="D525">
        <v>52</v>
      </c>
      <c r="E525">
        <v>9</v>
      </c>
      <c r="F525">
        <v>14</v>
      </c>
      <c r="G525">
        <v>134</v>
      </c>
      <c r="H525">
        <v>10</v>
      </c>
    </row>
    <row r="526" spans="1:8">
      <c r="A526" s="6"/>
      <c r="B526">
        <v>100</v>
      </c>
      <c r="C526">
        <v>26</v>
      </c>
      <c r="D526">
        <v>35</v>
      </c>
      <c r="E526">
        <v>15</v>
      </c>
      <c r="F526">
        <v>87</v>
      </c>
      <c r="G526">
        <v>97</v>
      </c>
      <c r="H526">
        <v>10</v>
      </c>
    </row>
    <row r="527" spans="1:8">
      <c r="A527" s="6"/>
      <c r="B527">
        <v>101</v>
      </c>
      <c r="C527">
        <v>31</v>
      </c>
      <c r="D527">
        <v>67</v>
      </c>
      <c r="E527">
        <v>3</v>
      </c>
      <c r="F527">
        <v>200</v>
      </c>
      <c r="G527">
        <v>210</v>
      </c>
      <c r="H527">
        <v>10</v>
      </c>
    </row>
    <row r="530" spans="1:8" ht="17.399999999999999">
      <c r="A530" s="7" t="s">
        <v>51</v>
      </c>
    </row>
    <row r="531" spans="1:8">
      <c r="A531" s="4"/>
      <c r="B531" t="s">
        <v>32</v>
      </c>
      <c r="C531" t="s">
        <v>26</v>
      </c>
      <c r="D531" t="s">
        <v>27</v>
      </c>
      <c r="E531" t="s">
        <v>28</v>
      </c>
      <c r="F531" t="s">
        <v>29</v>
      </c>
      <c r="G531" t="s">
        <v>30</v>
      </c>
      <c r="H531" t="s">
        <v>31</v>
      </c>
    </row>
    <row r="532" spans="1:8">
      <c r="A532" s="6"/>
      <c r="B532">
        <v>1</v>
      </c>
      <c r="C532">
        <v>40</v>
      </c>
      <c r="D532">
        <v>50</v>
      </c>
      <c r="E532">
        <v>0</v>
      </c>
      <c r="F532">
        <v>0</v>
      </c>
      <c r="G532">
        <v>240</v>
      </c>
      <c r="H532">
        <v>0</v>
      </c>
    </row>
    <row r="533" spans="1:8">
      <c r="A533" s="6"/>
      <c r="B533">
        <v>2</v>
      </c>
      <c r="C533">
        <v>25</v>
      </c>
      <c r="D533">
        <v>85</v>
      </c>
      <c r="E533">
        <v>20</v>
      </c>
      <c r="F533">
        <v>130</v>
      </c>
      <c r="G533">
        <v>190</v>
      </c>
      <c r="H533">
        <v>10</v>
      </c>
    </row>
    <row r="534" spans="1:8">
      <c r="A534" s="6"/>
      <c r="B534">
        <v>3</v>
      </c>
      <c r="C534">
        <v>22</v>
      </c>
      <c r="D534">
        <v>75</v>
      </c>
      <c r="E534">
        <v>30</v>
      </c>
      <c r="F534">
        <v>35</v>
      </c>
      <c r="G534">
        <v>95</v>
      </c>
      <c r="H534">
        <v>10</v>
      </c>
    </row>
    <row r="535" spans="1:8">
      <c r="A535" s="6"/>
      <c r="B535">
        <v>4</v>
      </c>
      <c r="C535">
        <v>22</v>
      </c>
      <c r="D535">
        <v>85</v>
      </c>
      <c r="E535">
        <v>10</v>
      </c>
      <c r="F535">
        <v>94</v>
      </c>
      <c r="G535">
        <v>154</v>
      </c>
      <c r="H535">
        <v>10</v>
      </c>
    </row>
    <row r="536" spans="1:8">
      <c r="A536" s="6"/>
      <c r="B536">
        <v>5</v>
      </c>
      <c r="C536">
        <v>20</v>
      </c>
      <c r="D536">
        <v>80</v>
      </c>
      <c r="E536">
        <v>40</v>
      </c>
      <c r="F536">
        <v>126</v>
      </c>
      <c r="G536">
        <v>186</v>
      </c>
      <c r="H536">
        <v>10</v>
      </c>
    </row>
    <row r="537" spans="1:8">
      <c r="A537" s="6"/>
      <c r="B537">
        <v>6</v>
      </c>
      <c r="C537">
        <v>20</v>
      </c>
      <c r="D537">
        <v>85</v>
      </c>
      <c r="E537">
        <v>20</v>
      </c>
      <c r="F537">
        <v>40</v>
      </c>
      <c r="G537">
        <v>100</v>
      </c>
      <c r="H537">
        <v>10</v>
      </c>
    </row>
    <row r="538" spans="1:8">
      <c r="A538" s="6"/>
      <c r="B538">
        <v>7</v>
      </c>
      <c r="C538">
        <v>18</v>
      </c>
      <c r="D538">
        <v>75</v>
      </c>
      <c r="E538">
        <v>20</v>
      </c>
      <c r="F538">
        <v>80</v>
      </c>
      <c r="G538">
        <v>140</v>
      </c>
      <c r="H538">
        <v>10</v>
      </c>
    </row>
    <row r="539" spans="1:8">
      <c r="A539" s="6"/>
      <c r="B539">
        <v>8</v>
      </c>
      <c r="C539">
        <v>15</v>
      </c>
      <c r="D539">
        <v>75</v>
      </c>
      <c r="E539">
        <v>20</v>
      </c>
      <c r="F539">
        <v>64</v>
      </c>
      <c r="G539">
        <v>124</v>
      </c>
      <c r="H539">
        <v>10</v>
      </c>
    </row>
    <row r="540" spans="1:8">
      <c r="A540" s="6"/>
      <c r="B540">
        <v>9</v>
      </c>
      <c r="C540">
        <v>15</v>
      </c>
      <c r="D540">
        <v>80</v>
      </c>
      <c r="E540">
        <v>10</v>
      </c>
      <c r="F540">
        <v>76</v>
      </c>
      <c r="G540">
        <v>136</v>
      </c>
      <c r="H540">
        <v>10</v>
      </c>
    </row>
    <row r="541" spans="1:8">
      <c r="A541" s="6"/>
      <c r="B541">
        <v>10</v>
      </c>
      <c r="C541">
        <v>10</v>
      </c>
      <c r="D541">
        <v>35</v>
      </c>
      <c r="E541">
        <v>20</v>
      </c>
      <c r="F541">
        <v>76</v>
      </c>
      <c r="G541">
        <v>136</v>
      </c>
      <c r="H541">
        <v>10</v>
      </c>
    </row>
    <row r="542" spans="1:8">
      <c r="A542" s="6"/>
      <c r="B542">
        <v>11</v>
      </c>
      <c r="C542">
        <v>10</v>
      </c>
      <c r="D542">
        <v>40</v>
      </c>
      <c r="E542">
        <v>30</v>
      </c>
      <c r="F542">
        <v>104</v>
      </c>
      <c r="G542">
        <v>164</v>
      </c>
      <c r="H542">
        <v>10</v>
      </c>
    </row>
    <row r="543" spans="1:8">
      <c r="A543" s="6"/>
      <c r="B543">
        <v>12</v>
      </c>
      <c r="C543">
        <v>8</v>
      </c>
      <c r="D543">
        <v>40</v>
      </c>
      <c r="E543">
        <v>40</v>
      </c>
      <c r="F543">
        <v>44</v>
      </c>
      <c r="G543">
        <v>104</v>
      </c>
      <c r="H543">
        <v>10</v>
      </c>
    </row>
    <row r="544" spans="1:8">
      <c r="A544" s="6"/>
      <c r="B544">
        <v>13</v>
      </c>
      <c r="C544">
        <v>8</v>
      </c>
      <c r="D544">
        <v>45</v>
      </c>
      <c r="E544">
        <v>20</v>
      </c>
      <c r="F544">
        <v>49</v>
      </c>
      <c r="G544">
        <v>109</v>
      </c>
      <c r="H544">
        <v>10</v>
      </c>
    </row>
    <row r="545" spans="1:8">
      <c r="A545" s="6"/>
      <c r="B545">
        <v>14</v>
      </c>
      <c r="C545">
        <v>5</v>
      </c>
      <c r="D545">
        <v>35</v>
      </c>
      <c r="E545">
        <v>10</v>
      </c>
      <c r="F545">
        <v>127</v>
      </c>
      <c r="G545">
        <v>187</v>
      </c>
      <c r="H545">
        <v>10</v>
      </c>
    </row>
    <row r="546" spans="1:8">
      <c r="A546" s="6"/>
      <c r="B546">
        <v>15</v>
      </c>
      <c r="C546">
        <v>5</v>
      </c>
      <c r="D546">
        <v>45</v>
      </c>
      <c r="E546">
        <v>10</v>
      </c>
      <c r="F546">
        <v>35</v>
      </c>
      <c r="G546">
        <v>95</v>
      </c>
      <c r="H546">
        <v>10</v>
      </c>
    </row>
    <row r="547" spans="1:8">
      <c r="A547" s="6"/>
      <c r="B547">
        <v>16</v>
      </c>
      <c r="C547">
        <v>2</v>
      </c>
      <c r="D547">
        <v>40</v>
      </c>
      <c r="E547">
        <v>20</v>
      </c>
      <c r="F547">
        <v>43</v>
      </c>
      <c r="G547">
        <v>103</v>
      </c>
      <c r="H547">
        <v>10</v>
      </c>
    </row>
    <row r="548" spans="1:8">
      <c r="A548" s="6"/>
      <c r="B548">
        <v>17</v>
      </c>
      <c r="C548">
        <v>0</v>
      </c>
      <c r="D548">
        <v>40</v>
      </c>
      <c r="E548">
        <v>20</v>
      </c>
      <c r="F548">
        <v>57</v>
      </c>
      <c r="G548">
        <v>117</v>
      </c>
      <c r="H548">
        <v>10</v>
      </c>
    </row>
    <row r="549" spans="1:8">
      <c r="A549" s="6"/>
      <c r="B549">
        <v>18</v>
      </c>
      <c r="C549">
        <v>0</v>
      </c>
      <c r="D549">
        <v>45</v>
      </c>
      <c r="E549">
        <v>20</v>
      </c>
      <c r="F549">
        <v>129</v>
      </c>
      <c r="G549">
        <v>189</v>
      </c>
      <c r="H549">
        <v>10</v>
      </c>
    </row>
    <row r="550" spans="1:8">
      <c r="A550" s="6"/>
      <c r="B550">
        <v>19</v>
      </c>
      <c r="C550">
        <v>44</v>
      </c>
      <c r="D550">
        <v>5</v>
      </c>
      <c r="E550">
        <v>20</v>
      </c>
      <c r="F550">
        <v>72</v>
      </c>
      <c r="G550">
        <v>132</v>
      </c>
      <c r="H550">
        <v>10</v>
      </c>
    </row>
    <row r="551" spans="1:8">
      <c r="A551" s="6"/>
      <c r="B551">
        <v>20</v>
      </c>
      <c r="C551">
        <v>42</v>
      </c>
      <c r="D551">
        <v>10</v>
      </c>
      <c r="E551">
        <v>40</v>
      </c>
      <c r="F551">
        <v>57</v>
      </c>
      <c r="G551">
        <v>117</v>
      </c>
      <c r="H551">
        <v>10</v>
      </c>
    </row>
    <row r="552" spans="1:8">
      <c r="A552" s="6"/>
      <c r="B552">
        <v>21</v>
      </c>
      <c r="C552">
        <v>42</v>
      </c>
      <c r="D552">
        <v>15</v>
      </c>
      <c r="E552">
        <v>10</v>
      </c>
      <c r="F552">
        <v>107</v>
      </c>
      <c r="G552">
        <v>167</v>
      </c>
      <c r="H552">
        <v>10</v>
      </c>
    </row>
    <row r="553" spans="1:8">
      <c r="A553" s="6"/>
      <c r="B553">
        <v>22</v>
      </c>
      <c r="C553">
        <v>40</v>
      </c>
      <c r="D553">
        <v>5</v>
      </c>
      <c r="E553">
        <v>10</v>
      </c>
      <c r="F553">
        <v>52</v>
      </c>
      <c r="G553">
        <v>112</v>
      </c>
      <c r="H553">
        <v>10</v>
      </c>
    </row>
    <row r="554" spans="1:8">
      <c r="A554" s="6"/>
      <c r="B554">
        <v>23</v>
      </c>
      <c r="C554">
        <v>40</v>
      </c>
      <c r="D554">
        <v>15</v>
      </c>
      <c r="E554">
        <v>40</v>
      </c>
      <c r="F554">
        <v>77</v>
      </c>
      <c r="G554">
        <v>137</v>
      </c>
      <c r="H554">
        <v>10</v>
      </c>
    </row>
    <row r="555" spans="1:8">
      <c r="A555" s="6"/>
      <c r="B555">
        <v>24</v>
      </c>
      <c r="C555">
        <v>38</v>
      </c>
      <c r="D555">
        <v>5</v>
      </c>
      <c r="E555">
        <v>30</v>
      </c>
      <c r="F555">
        <v>50</v>
      </c>
      <c r="G555">
        <v>110</v>
      </c>
      <c r="H555">
        <v>10</v>
      </c>
    </row>
    <row r="556" spans="1:8">
      <c r="A556" s="6"/>
      <c r="B556">
        <v>25</v>
      </c>
      <c r="C556">
        <v>38</v>
      </c>
      <c r="D556">
        <v>15</v>
      </c>
      <c r="E556">
        <v>10</v>
      </c>
      <c r="F556">
        <v>133</v>
      </c>
      <c r="G556">
        <v>193</v>
      </c>
      <c r="H556">
        <v>10</v>
      </c>
    </row>
    <row r="557" spans="1:8">
      <c r="A557" s="6"/>
      <c r="B557">
        <v>26</v>
      </c>
      <c r="C557">
        <v>35</v>
      </c>
      <c r="D557">
        <v>5</v>
      </c>
      <c r="E557">
        <v>20</v>
      </c>
      <c r="F557">
        <v>124</v>
      </c>
      <c r="G557">
        <v>184</v>
      </c>
      <c r="H557">
        <v>10</v>
      </c>
    </row>
    <row r="558" spans="1:8">
      <c r="A558" s="6"/>
      <c r="B558">
        <v>27</v>
      </c>
      <c r="C558">
        <v>95</v>
      </c>
      <c r="D558">
        <v>30</v>
      </c>
      <c r="E558">
        <v>30</v>
      </c>
      <c r="F558">
        <v>100</v>
      </c>
      <c r="G558">
        <v>160</v>
      </c>
      <c r="H558">
        <v>10</v>
      </c>
    </row>
    <row r="559" spans="1:8">
      <c r="A559" s="6"/>
      <c r="B559">
        <v>28</v>
      </c>
      <c r="C559">
        <v>95</v>
      </c>
      <c r="D559">
        <v>35</v>
      </c>
      <c r="E559">
        <v>20</v>
      </c>
      <c r="F559">
        <v>57</v>
      </c>
      <c r="G559">
        <v>117</v>
      </c>
      <c r="H559">
        <v>10</v>
      </c>
    </row>
    <row r="560" spans="1:8">
      <c r="A560" s="6"/>
      <c r="B560">
        <v>29</v>
      </c>
      <c r="C560">
        <v>92</v>
      </c>
      <c r="D560">
        <v>30</v>
      </c>
      <c r="E560">
        <v>10</v>
      </c>
      <c r="F560">
        <v>55</v>
      </c>
      <c r="G560">
        <v>115</v>
      </c>
      <c r="H560">
        <v>10</v>
      </c>
    </row>
    <row r="561" spans="1:8">
      <c r="A561" s="6"/>
      <c r="B561">
        <v>30</v>
      </c>
      <c r="C561">
        <v>90</v>
      </c>
      <c r="D561">
        <v>35</v>
      </c>
      <c r="E561">
        <v>10</v>
      </c>
      <c r="F561">
        <v>52</v>
      </c>
      <c r="G561">
        <v>112</v>
      </c>
      <c r="H561">
        <v>10</v>
      </c>
    </row>
    <row r="562" spans="1:8">
      <c r="A562" s="6"/>
      <c r="B562">
        <v>31</v>
      </c>
      <c r="C562">
        <v>88</v>
      </c>
      <c r="D562">
        <v>30</v>
      </c>
      <c r="E562">
        <v>10</v>
      </c>
      <c r="F562">
        <v>59</v>
      </c>
      <c r="G562">
        <v>119</v>
      </c>
      <c r="H562">
        <v>10</v>
      </c>
    </row>
    <row r="563" spans="1:8">
      <c r="A563" s="6"/>
      <c r="B563">
        <v>32</v>
      </c>
      <c r="C563">
        <v>88</v>
      </c>
      <c r="D563">
        <v>35</v>
      </c>
      <c r="E563">
        <v>20</v>
      </c>
      <c r="F563">
        <v>50</v>
      </c>
      <c r="G563">
        <v>110</v>
      </c>
      <c r="H563">
        <v>10</v>
      </c>
    </row>
    <row r="564" spans="1:8">
      <c r="A564" s="6"/>
      <c r="B564">
        <v>33</v>
      </c>
      <c r="C564">
        <v>87</v>
      </c>
      <c r="D564">
        <v>30</v>
      </c>
      <c r="E564">
        <v>10</v>
      </c>
      <c r="F564">
        <v>116</v>
      </c>
      <c r="G564">
        <v>176</v>
      </c>
      <c r="H564">
        <v>10</v>
      </c>
    </row>
    <row r="565" spans="1:8">
      <c r="A565" s="6"/>
      <c r="B565">
        <v>34</v>
      </c>
      <c r="C565">
        <v>85</v>
      </c>
      <c r="D565">
        <v>25</v>
      </c>
      <c r="E565">
        <v>10</v>
      </c>
      <c r="F565">
        <v>51</v>
      </c>
      <c r="G565">
        <v>111</v>
      </c>
      <c r="H565">
        <v>10</v>
      </c>
    </row>
    <row r="566" spans="1:8">
      <c r="A566" s="6"/>
      <c r="B566">
        <v>35</v>
      </c>
      <c r="C566">
        <v>85</v>
      </c>
      <c r="D566">
        <v>35</v>
      </c>
      <c r="E566">
        <v>30</v>
      </c>
      <c r="F566">
        <v>96</v>
      </c>
      <c r="G566">
        <v>156</v>
      </c>
      <c r="H566">
        <v>10</v>
      </c>
    </row>
    <row r="567" spans="1:8">
      <c r="A567" s="6"/>
      <c r="B567">
        <v>36</v>
      </c>
      <c r="C567">
        <v>67</v>
      </c>
      <c r="D567">
        <v>85</v>
      </c>
      <c r="E567">
        <v>20</v>
      </c>
      <c r="F567">
        <v>124</v>
      </c>
      <c r="G567">
        <v>184</v>
      </c>
      <c r="H567">
        <v>10</v>
      </c>
    </row>
    <row r="568" spans="1:8">
      <c r="A568" s="6"/>
      <c r="B568">
        <v>37</v>
      </c>
      <c r="C568">
        <v>65</v>
      </c>
      <c r="D568">
        <v>85</v>
      </c>
      <c r="E568">
        <v>40</v>
      </c>
      <c r="F568">
        <v>43</v>
      </c>
      <c r="G568">
        <v>103</v>
      </c>
      <c r="H568">
        <v>10</v>
      </c>
    </row>
    <row r="569" spans="1:8">
      <c r="A569" s="6"/>
      <c r="B569">
        <v>38</v>
      </c>
      <c r="C569">
        <v>65</v>
      </c>
      <c r="D569">
        <v>82</v>
      </c>
      <c r="E569">
        <v>10</v>
      </c>
      <c r="F569">
        <v>109</v>
      </c>
      <c r="G569">
        <v>169</v>
      </c>
      <c r="H569">
        <v>10</v>
      </c>
    </row>
    <row r="570" spans="1:8">
      <c r="A570" s="6"/>
      <c r="B570">
        <v>39</v>
      </c>
      <c r="C570">
        <v>62</v>
      </c>
      <c r="D570">
        <v>80</v>
      </c>
      <c r="E570">
        <v>30</v>
      </c>
      <c r="F570">
        <v>60</v>
      </c>
      <c r="G570">
        <v>120</v>
      </c>
      <c r="H570">
        <v>10</v>
      </c>
    </row>
    <row r="571" spans="1:8">
      <c r="A571" s="6"/>
      <c r="B571">
        <v>40</v>
      </c>
      <c r="C571">
        <v>60</v>
      </c>
      <c r="D571">
        <v>80</v>
      </c>
      <c r="E571">
        <v>10</v>
      </c>
      <c r="F571">
        <v>36</v>
      </c>
      <c r="G571">
        <v>96</v>
      </c>
      <c r="H571">
        <v>10</v>
      </c>
    </row>
    <row r="572" spans="1:8">
      <c r="A572" s="6"/>
      <c r="B572">
        <v>41</v>
      </c>
      <c r="C572">
        <v>60</v>
      </c>
      <c r="D572">
        <v>85</v>
      </c>
      <c r="E572">
        <v>30</v>
      </c>
      <c r="F572">
        <v>70</v>
      </c>
      <c r="G572">
        <v>130</v>
      </c>
      <c r="H572">
        <v>10</v>
      </c>
    </row>
    <row r="573" spans="1:8">
      <c r="A573" s="6"/>
      <c r="B573">
        <v>42</v>
      </c>
      <c r="C573">
        <v>58</v>
      </c>
      <c r="D573">
        <v>75</v>
      </c>
      <c r="E573">
        <v>20</v>
      </c>
      <c r="F573">
        <v>77</v>
      </c>
      <c r="G573">
        <v>137</v>
      </c>
      <c r="H573">
        <v>10</v>
      </c>
    </row>
    <row r="574" spans="1:8">
      <c r="A574" s="6"/>
      <c r="B574">
        <v>43</v>
      </c>
      <c r="C574">
        <v>55</v>
      </c>
      <c r="D574">
        <v>80</v>
      </c>
      <c r="E574">
        <v>10</v>
      </c>
      <c r="F574">
        <v>33</v>
      </c>
      <c r="G574">
        <v>93</v>
      </c>
      <c r="H574">
        <v>10</v>
      </c>
    </row>
    <row r="575" spans="1:8">
      <c r="A575" s="6"/>
      <c r="B575">
        <v>44</v>
      </c>
      <c r="C575">
        <v>55</v>
      </c>
      <c r="D575">
        <v>85</v>
      </c>
      <c r="E575">
        <v>20</v>
      </c>
      <c r="F575">
        <v>113</v>
      </c>
      <c r="G575">
        <v>173</v>
      </c>
      <c r="H575">
        <v>10</v>
      </c>
    </row>
    <row r="576" spans="1:8">
      <c r="A576" s="6"/>
      <c r="B576">
        <v>45</v>
      </c>
      <c r="C576">
        <v>55</v>
      </c>
      <c r="D576">
        <v>82</v>
      </c>
      <c r="E576">
        <v>10</v>
      </c>
      <c r="F576">
        <v>49</v>
      </c>
      <c r="G576">
        <v>109</v>
      </c>
      <c r="H576">
        <v>10</v>
      </c>
    </row>
    <row r="577" spans="1:8">
      <c r="A577" s="6"/>
      <c r="B577">
        <v>46</v>
      </c>
      <c r="C577">
        <v>20</v>
      </c>
      <c r="D577">
        <v>82</v>
      </c>
      <c r="E577">
        <v>10</v>
      </c>
      <c r="F577">
        <v>37</v>
      </c>
      <c r="G577">
        <v>97</v>
      </c>
      <c r="H577">
        <v>10</v>
      </c>
    </row>
    <row r="578" spans="1:8">
      <c r="A578" s="6"/>
      <c r="B578">
        <v>47</v>
      </c>
      <c r="C578">
        <v>18</v>
      </c>
      <c r="D578">
        <v>80</v>
      </c>
      <c r="E578">
        <v>10</v>
      </c>
      <c r="F578">
        <v>98</v>
      </c>
      <c r="G578">
        <v>158</v>
      </c>
      <c r="H578">
        <v>10</v>
      </c>
    </row>
    <row r="579" spans="1:8">
      <c r="A579" s="6"/>
      <c r="B579">
        <v>48</v>
      </c>
      <c r="C579">
        <v>2</v>
      </c>
      <c r="D579">
        <v>45</v>
      </c>
      <c r="E579">
        <v>10</v>
      </c>
      <c r="F579">
        <v>38</v>
      </c>
      <c r="G579">
        <v>98</v>
      </c>
      <c r="H579">
        <v>10</v>
      </c>
    </row>
    <row r="580" spans="1:8">
      <c r="A580" s="6"/>
      <c r="B580">
        <v>49</v>
      </c>
      <c r="C580">
        <v>42</v>
      </c>
      <c r="D580">
        <v>5</v>
      </c>
      <c r="E580">
        <v>10</v>
      </c>
      <c r="F580">
        <v>124</v>
      </c>
      <c r="G580">
        <v>184</v>
      </c>
      <c r="H580">
        <v>10</v>
      </c>
    </row>
    <row r="581" spans="1:8">
      <c r="A581" s="6"/>
      <c r="B581">
        <v>50</v>
      </c>
      <c r="C581">
        <v>42</v>
      </c>
      <c r="D581">
        <v>12</v>
      </c>
      <c r="E581">
        <v>10</v>
      </c>
      <c r="F581">
        <v>89</v>
      </c>
      <c r="G581">
        <v>149</v>
      </c>
      <c r="H581">
        <v>10</v>
      </c>
    </row>
    <row r="582" spans="1:8">
      <c r="A582" s="6"/>
      <c r="B582">
        <v>51</v>
      </c>
      <c r="C582">
        <v>72</v>
      </c>
      <c r="D582">
        <v>35</v>
      </c>
      <c r="E582">
        <v>30</v>
      </c>
      <c r="F582">
        <v>101</v>
      </c>
      <c r="G582">
        <v>161</v>
      </c>
      <c r="H582">
        <v>10</v>
      </c>
    </row>
    <row r="583" spans="1:8">
      <c r="A583" s="6"/>
      <c r="B583">
        <v>52</v>
      </c>
      <c r="C583">
        <v>55</v>
      </c>
      <c r="D583">
        <v>20</v>
      </c>
      <c r="E583">
        <v>19</v>
      </c>
      <c r="F583">
        <v>68</v>
      </c>
      <c r="G583">
        <v>128</v>
      </c>
      <c r="H583">
        <v>10</v>
      </c>
    </row>
    <row r="584" spans="1:8">
      <c r="A584" s="6"/>
      <c r="B584">
        <v>53</v>
      </c>
      <c r="C584">
        <v>25</v>
      </c>
      <c r="D584">
        <v>30</v>
      </c>
      <c r="E584">
        <v>3</v>
      </c>
      <c r="F584">
        <v>37</v>
      </c>
      <c r="G584">
        <v>97</v>
      </c>
      <c r="H584">
        <v>10</v>
      </c>
    </row>
    <row r="585" spans="1:8">
      <c r="A585" s="6"/>
      <c r="B585">
        <v>54</v>
      </c>
      <c r="C585">
        <v>20</v>
      </c>
      <c r="D585">
        <v>50</v>
      </c>
      <c r="E585">
        <v>5</v>
      </c>
      <c r="F585">
        <v>76</v>
      </c>
      <c r="G585">
        <v>136</v>
      </c>
      <c r="H585">
        <v>10</v>
      </c>
    </row>
    <row r="586" spans="1:8">
      <c r="A586" s="6"/>
      <c r="B586">
        <v>55</v>
      </c>
      <c r="C586">
        <v>55</v>
      </c>
      <c r="D586">
        <v>60</v>
      </c>
      <c r="E586">
        <v>16</v>
      </c>
      <c r="F586">
        <v>124</v>
      </c>
      <c r="G586">
        <v>184</v>
      </c>
      <c r="H586">
        <v>10</v>
      </c>
    </row>
    <row r="587" spans="1:8">
      <c r="A587" s="6"/>
      <c r="B587">
        <v>56</v>
      </c>
      <c r="C587">
        <v>30</v>
      </c>
      <c r="D587">
        <v>60</v>
      </c>
      <c r="E587">
        <v>16</v>
      </c>
      <c r="F587">
        <v>125</v>
      </c>
      <c r="G587">
        <v>185</v>
      </c>
      <c r="H587">
        <v>10</v>
      </c>
    </row>
    <row r="588" spans="1:8">
      <c r="A588" s="6"/>
      <c r="B588">
        <v>57</v>
      </c>
      <c r="C588">
        <v>50</v>
      </c>
      <c r="D588">
        <v>35</v>
      </c>
      <c r="E588">
        <v>19</v>
      </c>
      <c r="F588">
        <v>115</v>
      </c>
      <c r="G588">
        <v>175</v>
      </c>
      <c r="H588">
        <v>10</v>
      </c>
    </row>
    <row r="589" spans="1:8">
      <c r="A589" s="6"/>
      <c r="B589">
        <v>58</v>
      </c>
      <c r="C589">
        <v>30</v>
      </c>
      <c r="D589">
        <v>25</v>
      </c>
      <c r="E589">
        <v>23</v>
      </c>
      <c r="F589">
        <v>81</v>
      </c>
      <c r="G589">
        <v>141</v>
      </c>
      <c r="H589">
        <v>10</v>
      </c>
    </row>
    <row r="590" spans="1:8">
      <c r="A590" s="6"/>
      <c r="B590">
        <v>59</v>
      </c>
      <c r="C590">
        <v>15</v>
      </c>
      <c r="D590">
        <v>10</v>
      </c>
      <c r="E590">
        <v>20</v>
      </c>
      <c r="F590">
        <v>122</v>
      </c>
      <c r="G590">
        <v>182</v>
      </c>
      <c r="H590">
        <v>10</v>
      </c>
    </row>
    <row r="591" spans="1:8">
      <c r="A591" s="6"/>
      <c r="B591">
        <v>60</v>
      </c>
      <c r="C591">
        <v>10</v>
      </c>
      <c r="D591">
        <v>20</v>
      </c>
      <c r="E591">
        <v>19</v>
      </c>
      <c r="F591">
        <v>42</v>
      </c>
      <c r="G591">
        <v>102</v>
      </c>
      <c r="H591">
        <v>10</v>
      </c>
    </row>
    <row r="592" spans="1:8">
      <c r="A592" s="6"/>
      <c r="B592">
        <v>61</v>
      </c>
      <c r="C592">
        <v>15</v>
      </c>
      <c r="D592">
        <v>60</v>
      </c>
      <c r="E592">
        <v>17</v>
      </c>
      <c r="F592">
        <v>140</v>
      </c>
      <c r="G592">
        <v>200</v>
      </c>
      <c r="H592">
        <v>10</v>
      </c>
    </row>
    <row r="593" spans="1:8">
      <c r="A593" s="6"/>
      <c r="B593">
        <v>62</v>
      </c>
      <c r="C593">
        <v>45</v>
      </c>
      <c r="D593">
        <v>65</v>
      </c>
      <c r="E593">
        <v>9</v>
      </c>
      <c r="F593">
        <v>51</v>
      </c>
      <c r="G593">
        <v>111</v>
      </c>
      <c r="H593">
        <v>10</v>
      </c>
    </row>
    <row r="594" spans="1:8">
      <c r="A594" s="6"/>
      <c r="B594">
        <v>63</v>
      </c>
      <c r="C594">
        <v>65</v>
      </c>
      <c r="D594">
        <v>35</v>
      </c>
      <c r="E594">
        <v>3</v>
      </c>
      <c r="F594">
        <v>37</v>
      </c>
      <c r="G594">
        <v>97</v>
      </c>
      <c r="H594">
        <v>10</v>
      </c>
    </row>
    <row r="595" spans="1:8">
      <c r="A595" s="6"/>
      <c r="B595">
        <v>64</v>
      </c>
      <c r="C595">
        <v>65</v>
      </c>
      <c r="D595">
        <v>20</v>
      </c>
      <c r="E595">
        <v>6</v>
      </c>
      <c r="F595">
        <v>39</v>
      </c>
      <c r="G595">
        <v>99</v>
      </c>
      <c r="H595">
        <v>10</v>
      </c>
    </row>
    <row r="596" spans="1:8">
      <c r="A596" s="6"/>
      <c r="B596">
        <v>65</v>
      </c>
      <c r="C596">
        <v>45</v>
      </c>
      <c r="D596">
        <v>30</v>
      </c>
      <c r="E596">
        <v>17</v>
      </c>
      <c r="F596">
        <v>38</v>
      </c>
      <c r="G596">
        <v>98</v>
      </c>
      <c r="H596">
        <v>10</v>
      </c>
    </row>
    <row r="597" spans="1:8">
      <c r="A597" s="6"/>
      <c r="B597">
        <v>66</v>
      </c>
      <c r="C597">
        <v>35</v>
      </c>
      <c r="D597">
        <v>40</v>
      </c>
      <c r="E597">
        <v>16</v>
      </c>
      <c r="F597">
        <v>11</v>
      </c>
      <c r="G597">
        <v>71</v>
      </c>
      <c r="H597">
        <v>10</v>
      </c>
    </row>
    <row r="598" spans="1:8">
      <c r="A598" s="6"/>
      <c r="B598">
        <v>67</v>
      </c>
      <c r="C598">
        <v>41</v>
      </c>
      <c r="D598">
        <v>37</v>
      </c>
      <c r="E598">
        <v>16</v>
      </c>
      <c r="F598">
        <v>118</v>
      </c>
      <c r="G598">
        <v>178</v>
      </c>
      <c r="H598">
        <v>10</v>
      </c>
    </row>
    <row r="599" spans="1:8">
      <c r="A599" s="6"/>
      <c r="B599">
        <v>68</v>
      </c>
      <c r="C599">
        <v>64</v>
      </c>
      <c r="D599">
        <v>42</v>
      </c>
      <c r="E599">
        <v>9</v>
      </c>
      <c r="F599">
        <v>55</v>
      </c>
      <c r="G599">
        <v>115</v>
      </c>
      <c r="H599">
        <v>10</v>
      </c>
    </row>
    <row r="600" spans="1:8">
      <c r="A600" s="6"/>
      <c r="B600">
        <v>69</v>
      </c>
      <c r="C600">
        <v>40</v>
      </c>
      <c r="D600">
        <v>60</v>
      </c>
      <c r="E600">
        <v>21</v>
      </c>
      <c r="F600">
        <v>129</v>
      </c>
      <c r="G600">
        <v>189</v>
      </c>
      <c r="H600">
        <v>10</v>
      </c>
    </row>
    <row r="601" spans="1:8">
      <c r="A601" s="6"/>
      <c r="B601">
        <v>70</v>
      </c>
      <c r="C601">
        <v>31</v>
      </c>
      <c r="D601">
        <v>52</v>
      </c>
      <c r="E601">
        <v>27</v>
      </c>
      <c r="F601">
        <v>26</v>
      </c>
      <c r="G601">
        <v>86</v>
      </c>
      <c r="H601">
        <v>10</v>
      </c>
    </row>
    <row r="602" spans="1:8">
      <c r="A602" s="6"/>
      <c r="B602">
        <v>71</v>
      </c>
      <c r="C602">
        <v>35</v>
      </c>
      <c r="D602">
        <v>69</v>
      </c>
      <c r="E602">
        <v>23</v>
      </c>
      <c r="F602">
        <v>150</v>
      </c>
      <c r="G602">
        <v>210</v>
      </c>
      <c r="H602">
        <v>10</v>
      </c>
    </row>
    <row r="603" spans="1:8">
      <c r="A603" s="6"/>
      <c r="B603">
        <v>72</v>
      </c>
      <c r="C603">
        <v>65</v>
      </c>
      <c r="D603">
        <v>55</v>
      </c>
      <c r="E603">
        <v>14</v>
      </c>
      <c r="F603">
        <v>50</v>
      </c>
      <c r="G603">
        <v>110</v>
      </c>
      <c r="H603">
        <v>10</v>
      </c>
    </row>
    <row r="604" spans="1:8">
      <c r="A604" s="6"/>
      <c r="B604">
        <v>73</v>
      </c>
      <c r="C604">
        <v>63</v>
      </c>
      <c r="D604">
        <v>65</v>
      </c>
      <c r="E604">
        <v>8</v>
      </c>
      <c r="F604">
        <v>27</v>
      </c>
      <c r="G604">
        <v>87</v>
      </c>
      <c r="H604">
        <v>10</v>
      </c>
    </row>
    <row r="605" spans="1:8">
      <c r="A605" s="6"/>
      <c r="B605">
        <v>74</v>
      </c>
      <c r="C605">
        <v>2</v>
      </c>
      <c r="D605">
        <v>60</v>
      </c>
      <c r="E605">
        <v>5</v>
      </c>
      <c r="F605">
        <v>62</v>
      </c>
      <c r="G605">
        <v>122</v>
      </c>
      <c r="H605">
        <v>10</v>
      </c>
    </row>
    <row r="606" spans="1:8">
      <c r="A606" s="6"/>
      <c r="B606">
        <v>75</v>
      </c>
      <c r="C606">
        <v>20</v>
      </c>
      <c r="D606">
        <v>20</v>
      </c>
      <c r="E606">
        <v>8</v>
      </c>
      <c r="F606">
        <v>126</v>
      </c>
      <c r="G606">
        <v>186</v>
      </c>
      <c r="H606">
        <v>10</v>
      </c>
    </row>
    <row r="607" spans="1:8">
      <c r="A607" s="6"/>
      <c r="B607">
        <v>76</v>
      </c>
      <c r="C607">
        <v>5</v>
      </c>
      <c r="D607">
        <v>5</v>
      </c>
      <c r="E607">
        <v>16</v>
      </c>
      <c r="F607">
        <v>59</v>
      </c>
      <c r="G607">
        <v>119</v>
      </c>
      <c r="H607">
        <v>10</v>
      </c>
    </row>
    <row r="608" spans="1:8">
      <c r="A608" s="6"/>
      <c r="B608">
        <v>77</v>
      </c>
      <c r="C608">
        <v>60</v>
      </c>
      <c r="D608">
        <v>12</v>
      </c>
      <c r="E608">
        <v>31</v>
      </c>
      <c r="F608">
        <v>60</v>
      </c>
      <c r="G608">
        <v>120</v>
      </c>
      <c r="H608">
        <v>10</v>
      </c>
    </row>
    <row r="609" spans="1:8">
      <c r="A609" s="6"/>
      <c r="B609">
        <v>78</v>
      </c>
      <c r="C609">
        <v>23</v>
      </c>
      <c r="D609">
        <v>3</v>
      </c>
      <c r="E609">
        <v>7</v>
      </c>
      <c r="F609">
        <v>120</v>
      </c>
      <c r="G609">
        <v>180</v>
      </c>
      <c r="H609">
        <v>10</v>
      </c>
    </row>
    <row r="610" spans="1:8">
      <c r="A610" s="6"/>
      <c r="B610">
        <v>79</v>
      </c>
      <c r="C610">
        <v>8</v>
      </c>
      <c r="D610">
        <v>56</v>
      </c>
      <c r="E610">
        <v>27</v>
      </c>
      <c r="F610">
        <v>75</v>
      </c>
      <c r="G610">
        <v>135</v>
      </c>
      <c r="H610">
        <v>10</v>
      </c>
    </row>
    <row r="611" spans="1:8">
      <c r="A611" s="6"/>
      <c r="B611">
        <v>80</v>
      </c>
      <c r="C611">
        <v>6</v>
      </c>
      <c r="D611">
        <v>68</v>
      </c>
      <c r="E611">
        <v>30</v>
      </c>
      <c r="F611">
        <v>74</v>
      </c>
      <c r="G611">
        <v>134</v>
      </c>
      <c r="H611">
        <v>10</v>
      </c>
    </row>
    <row r="612" spans="1:8">
      <c r="A612" s="6"/>
      <c r="B612">
        <v>81</v>
      </c>
      <c r="C612">
        <v>47</v>
      </c>
      <c r="D612">
        <v>47</v>
      </c>
      <c r="E612">
        <v>13</v>
      </c>
      <c r="F612">
        <v>162</v>
      </c>
      <c r="G612">
        <v>222</v>
      </c>
      <c r="H612">
        <v>10</v>
      </c>
    </row>
    <row r="613" spans="1:8">
      <c r="A613" s="6"/>
      <c r="B613">
        <v>82</v>
      </c>
      <c r="C613">
        <v>49</v>
      </c>
      <c r="D613">
        <v>58</v>
      </c>
      <c r="E613">
        <v>10</v>
      </c>
      <c r="F613">
        <v>71</v>
      </c>
      <c r="G613">
        <v>131</v>
      </c>
      <c r="H613">
        <v>10</v>
      </c>
    </row>
    <row r="614" spans="1:8">
      <c r="A614" s="6"/>
      <c r="B614">
        <v>83</v>
      </c>
      <c r="C614">
        <v>27</v>
      </c>
      <c r="D614">
        <v>43</v>
      </c>
      <c r="E614">
        <v>9</v>
      </c>
      <c r="F614">
        <v>27</v>
      </c>
      <c r="G614">
        <v>87</v>
      </c>
      <c r="H614">
        <v>10</v>
      </c>
    </row>
    <row r="615" spans="1:8">
      <c r="A615" s="6"/>
      <c r="B615">
        <v>84</v>
      </c>
      <c r="C615">
        <v>37</v>
      </c>
      <c r="D615">
        <v>31</v>
      </c>
      <c r="E615">
        <v>14</v>
      </c>
      <c r="F615">
        <v>20</v>
      </c>
      <c r="G615">
        <v>80</v>
      </c>
      <c r="H615">
        <v>10</v>
      </c>
    </row>
    <row r="616" spans="1:8">
      <c r="A616" s="6"/>
      <c r="B616">
        <v>85</v>
      </c>
      <c r="C616">
        <v>57</v>
      </c>
      <c r="D616">
        <v>29</v>
      </c>
      <c r="E616">
        <v>18</v>
      </c>
      <c r="F616">
        <v>81</v>
      </c>
      <c r="G616">
        <v>141</v>
      </c>
      <c r="H616">
        <v>10</v>
      </c>
    </row>
    <row r="617" spans="1:8">
      <c r="A617" s="6"/>
      <c r="B617">
        <v>86</v>
      </c>
      <c r="C617">
        <v>63</v>
      </c>
      <c r="D617">
        <v>23</v>
      </c>
      <c r="E617">
        <v>2</v>
      </c>
      <c r="F617">
        <v>72</v>
      </c>
      <c r="G617">
        <v>132</v>
      </c>
      <c r="H617">
        <v>10</v>
      </c>
    </row>
    <row r="618" spans="1:8">
      <c r="A618" s="6"/>
      <c r="B618">
        <v>87</v>
      </c>
      <c r="C618">
        <v>21</v>
      </c>
      <c r="D618">
        <v>24</v>
      </c>
      <c r="E618">
        <v>28</v>
      </c>
      <c r="F618">
        <v>72</v>
      </c>
      <c r="G618">
        <v>132</v>
      </c>
      <c r="H618">
        <v>10</v>
      </c>
    </row>
    <row r="619" spans="1:8">
      <c r="A619" s="6"/>
      <c r="B619">
        <v>88</v>
      </c>
      <c r="C619">
        <v>12</v>
      </c>
      <c r="D619">
        <v>24</v>
      </c>
      <c r="E619">
        <v>13</v>
      </c>
      <c r="F619">
        <v>75</v>
      </c>
      <c r="G619">
        <v>135</v>
      </c>
      <c r="H619">
        <v>10</v>
      </c>
    </row>
    <row r="620" spans="1:8">
      <c r="A620" s="6"/>
      <c r="B620">
        <v>89</v>
      </c>
      <c r="C620">
        <v>24</v>
      </c>
      <c r="D620">
        <v>58</v>
      </c>
      <c r="E620">
        <v>19</v>
      </c>
      <c r="F620">
        <v>52</v>
      </c>
      <c r="G620">
        <v>112</v>
      </c>
      <c r="H620">
        <v>10</v>
      </c>
    </row>
    <row r="621" spans="1:8">
      <c r="A621" s="6"/>
      <c r="B621">
        <v>90</v>
      </c>
      <c r="C621">
        <v>67</v>
      </c>
      <c r="D621">
        <v>5</v>
      </c>
      <c r="E621">
        <v>25</v>
      </c>
      <c r="F621">
        <v>117</v>
      </c>
      <c r="G621">
        <v>177</v>
      </c>
      <c r="H621">
        <v>10</v>
      </c>
    </row>
    <row r="622" spans="1:8">
      <c r="A622" s="6"/>
      <c r="B622">
        <v>91</v>
      </c>
      <c r="C622">
        <v>37</v>
      </c>
      <c r="D622">
        <v>47</v>
      </c>
      <c r="E622">
        <v>6</v>
      </c>
      <c r="F622">
        <v>71</v>
      </c>
      <c r="G622">
        <v>131</v>
      </c>
      <c r="H622">
        <v>10</v>
      </c>
    </row>
    <row r="623" spans="1:8">
      <c r="A623" s="6"/>
      <c r="B623">
        <v>92</v>
      </c>
      <c r="C623">
        <v>49</v>
      </c>
      <c r="D623">
        <v>42</v>
      </c>
      <c r="E623">
        <v>13</v>
      </c>
      <c r="F623">
        <v>152</v>
      </c>
      <c r="G623">
        <v>212</v>
      </c>
      <c r="H623">
        <v>10</v>
      </c>
    </row>
    <row r="624" spans="1:8">
      <c r="A624" s="6"/>
      <c r="B624">
        <v>93</v>
      </c>
      <c r="C624">
        <v>53</v>
      </c>
      <c r="D624">
        <v>43</v>
      </c>
      <c r="E624">
        <v>14</v>
      </c>
      <c r="F624">
        <v>14</v>
      </c>
      <c r="G624">
        <v>74</v>
      </c>
      <c r="H624">
        <v>10</v>
      </c>
    </row>
    <row r="625" spans="1:8">
      <c r="A625" s="6"/>
      <c r="B625">
        <v>94</v>
      </c>
      <c r="C625">
        <v>61</v>
      </c>
      <c r="D625">
        <v>52</v>
      </c>
      <c r="E625">
        <v>3</v>
      </c>
      <c r="F625">
        <v>148</v>
      </c>
      <c r="G625">
        <v>208</v>
      </c>
      <c r="H625">
        <v>10</v>
      </c>
    </row>
    <row r="626" spans="1:8">
      <c r="A626" s="6"/>
      <c r="B626">
        <v>95</v>
      </c>
      <c r="C626">
        <v>57</v>
      </c>
      <c r="D626">
        <v>48</v>
      </c>
      <c r="E626">
        <v>23</v>
      </c>
      <c r="F626">
        <v>80</v>
      </c>
      <c r="G626">
        <v>140</v>
      </c>
      <c r="H626">
        <v>10</v>
      </c>
    </row>
    <row r="627" spans="1:8">
      <c r="A627" s="6"/>
      <c r="B627">
        <v>96</v>
      </c>
      <c r="C627">
        <v>56</v>
      </c>
      <c r="D627">
        <v>37</v>
      </c>
      <c r="E627">
        <v>6</v>
      </c>
      <c r="F627">
        <v>20</v>
      </c>
      <c r="G627">
        <v>80</v>
      </c>
      <c r="H627">
        <v>10</v>
      </c>
    </row>
    <row r="628" spans="1:8">
      <c r="A628" s="6"/>
      <c r="B628">
        <v>97</v>
      </c>
      <c r="C628">
        <v>55</v>
      </c>
      <c r="D628">
        <v>54</v>
      </c>
      <c r="E628">
        <v>26</v>
      </c>
      <c r="F628">
        <v>117</v>
      </c>
      <c r="G628">
        <v>177</v>
      </c>
      <c r="H628">
        <v>10</v>
      </c>
    </row>
    <row r="629" spans="1:8">
      <c r="A629" s="6"/>
      <c r="B629">
        <v>98</v>
      </c>
      <c r="C629">
        <v>4</v>
      </c>
      <c r="D629">
        <v>18</v>
      </c>
      <c r="E629">
        <v>35</v>
      </c>
      <c r="F629">
        <v>105</v>
      </c>
      <c r="G629">
        <v>165</v>
      </c>
      <c r="H629">
        <v>10</v>
      </c>
    </row>
    <row r="630" spans="1:8">
      <c r="A630" s="6"/>
      <c r="B630">
        <v>99</v>
      </c>
      <c r="C630">
        <v>26</v>
      </c>
      <c r="D630">
        <v>52</v>
      </c>
      <c r="E630">
        <v>9</v>
      </c>
      <c r="F630">
        <v>31</v>
      </c>
      <c r="G630">
        <v>91</v>
      </c>
      <c r="H630">
        <v>10</v>
      </c>
    </row>
    <row r="631" spans="1:8">
      <c r="A631" s="6"/>
      <c r="B631">
        <v>100</v>
      </c>
      <c r="C631">
        <v>26</v>
      </c>
      <c r="D631">
        <v>35</v>
      </c>
      <c r="E631">
        <v>15</v>
      </c>
      <c r="F631">
        <v>62</v>
      </c>
      <c r="G631">
        <v>122</v>
      </c>
      <c r="H631">
        <v>10</v>
      </c>
    </row>
    <row r="632" spans="1:8">
      <c r="A632" s="6"/>
      <c r="B632">
        <v>101</v>
      </c>
      <c r="C632">
        <v>31</v>
      </c>
      <c r="D632">
        <v>67</v>
      </c>
      <c r="E632">
        <v>3</v>
      </c>
      <c r="F632">
        <v>150</v>
      </c>
      <c r="G632">
        <v>210</v>
      </c>
      <c r="H632">
        <v>10</v>
      </c>
    </row>
    <row r="635" spans="1:8" ht="17.399999999999999">
      <c r="A635" s="7" t="s">
        <v>52</v>
      </c>
    </row>
    <row r="636" spans="1:8">
      <c r="A636" s="4"/>
      <c r="B636" t="s">
        <v>32</v>
      </c>
      <c r="C636" t="s">
        <v>26</v>
      </c>
      <c r="D636" t="s">
        <v>27</v>
      </c>
      <c r="E636" t="s">
        <v>28</v>
      </c>
      <c r="F636" t="s">
        <v>29</v>
      </c>
      <c r="G636" t="s">
        <v>30</v>
      </c>
      <c r="H636" t="s">
        <v>31</v>
      </c>
    </row>
    <row r="637" spans="1:8">
      <c r="A637" s="6"/>
      <c r="B637">
        <v>1</v>
      </c>
      <c r="C637">
        <v>40</v>
      </c>
      <c r="D637">
        <v>50</v>
      </c>
      <c r="E637">
        <v>0</v>
      </c>
      <c r="F637">
        <v>0</v>
      </c>
      <c r="G637">
        <v>240</v>
      </c>
      <c r="H637">
        <v>0</v>
      </c>
    </row>
    <row r="638" spans="1:8">
      <c r="A638" s="6"/>
      <c r="B638">
        <v>2</v>
      </c>
      <c r="C638">
        <v>25</v>
      </c>
      <c r="D638">
        <v>85</v>
      </c>
      <c r="E638">
        <v>20</v>
      </c>
      <c r="F638">
        <v>125</v>
      </c>
      <c r="G638">
        <v>191</v>
      </c>
      <c r="H638">
        <v>10</v>
      </c>
    </row>
    <row r="639" spans="1:8">
      <c r="A639" s="6"/>
      <c r="B639">
        <v>3</v>
      </c>
      <c r="C639">
        <v>22</v>
      </c>
      <c r="D639">
        <v>75</v>
      </c>
      <c r="E639">
        <v>30</v>
      </c>
      <c r="F639">
        <v>32</v>
      </c>
      <c r="G639">
        <v>97</v>
      </c>
      <c r="H639">
        <v>10</v>
      </c>
    </row>
    <row r="640" spans="1:8">
      <c r="A640" s="6"/>
      <c r="B640">
        <v>4</v>
      </c>
      <c r="C640">
        <v>22</v>
      </c>
      <c r="D640">
        <v>85</v>
      </c>
      <c r="E640">
        <v>10</v>
      </c>
      <c r="F640">
        <v>101</v>
      </c>
      <c r="G640">
        <v>146</v>
      </c>
      <c r="H640">
        <v>10</v>
      </c>
    </row>
    <row r="641" spans="1:8">
      <c r="A641" s="6"/>
      <c r="B641">
        <v>5</v>
      </c>
      <c r="C641">
        <v>20</v>
      </c>
      <c r="D641">
        <v>80</v>
      </c>
      <c r="E641">
        <v>40</v>
      </c>
      <c r="F641">
        <v>71</v>
      </c>
      <c r="G641">
        <v>193</v>
      </c>
      <c r="H641">
        <v>10</v>
      </c>
    </row>
    <row r="642" spans="1:8">
      <c r="A642" s="6"/>
      <c r="B642">
        <v>6</v>
      </c>
      <c r="C642">
        <v>20</v>
      </c>
      <c r="D642">
        <v>85</v>
      </c>
      <c r="E642">
        <v>20</v>
      </c>
      <c r="F642">
        <v>40</v>
      </c>
      <c r="G642">
        <v>113</v>
      </c>
      <c r="H642">
        <v>10</v>
      </c>
    </row>
    <row r="643" spans="1:8">
      <c r="A643" s="6"/>
      <c r="B643">
        <v>7</v>
      </c>
      <c r="C643">
        <v>18</v>
      </c>
      <c r="D643">
        <v>75</v>
      </c>
      <c r="E643">
        <v>20</v>
      </c>
      <c r="F643">
        <v>55</v>
      </c>
      <c r="G643">
        <v>164</v>
      </c>
      <c r="H643">
        <v>10</v>
      </c>
    </row>
    <row r="644" spans="1:8">
      <c r="A644" s="6"/>
      <c r="B644">
        <v>8</v>
      </c>
      <c r="C644">
        <v>15</v>
      </c>
      <c r="D644">
        <v>75</v>
      </c>
      <c r="E644">
        <v>20</v>
      </c>
      <c r="F644">
        <v>69</v>
      </c>
      <c r="G644">
        <v>118</v>
      </c>
      <c r="H644">
        <v>10</v>
      </c>
    </row>
    <row r="645" spans="1:8">
      <c r="A645" s="6"/>
      <c r="B645">
        <v>9</v>
      </c>
      <c r="C645">
        <v>15</v>
      </c>
      <c r="D645">
        <v>80</v>
      </c>
      <c r="E645">
        <v>10</v>
      </c>
      <c r="F645">
        <v>56</v>
      </c>
      <c r="G645">
        <v>155</v>
      </c>
      <c r="H645">
        <v>10</v>
      </c>
    </row>
    <row r="646" spans="1:8">
      <c r="A646" s="6"/>
      <c r="B646">
        <v>10</v>
      </c>
      <c r="C646">
        <v>10</v>
      </c>
      <c r="D646">
        <v>35</v>
      </c>
      <c r="E646">
        <v>20</v>
      </c>
      <c r="F646">
        <v>51</v>
      </c>
      <c r="G646">
        <v>160</v>
      </c>
      <c r="H646">
        <v>10</v>
      </c>
    </row>
    <row r="647" spans="1:8">
      <c r="A647" s="6"/>
      <c r="B647">
        <v>11</v>
      </c>
      <c r="C647">
        <v>10</v>
      </c>
      <c r="D647">
        <v>40</v>
      </c>
      <c r="E647">
        <v>30</v>
      </c>
      <c r="F647">
        <v>90</v>
      </c>
      <c r="G647">
        <v>177</v>
      </c>
      <c r="H647">
        <v>10</v>
      </c>
    </row>
    <row r="648" spans="1:8">
      <c r="A648" s="6"/>
      <c r="B648">
        <v>12</v>
      </c>
      <c r="C648">
        <v>8</v>
      </c>
      <c r="D648">
        <v>40</v>
      </c>
      <c r="E648">
        <v>40</v>
      </c>
      <c r="F648">
        <v>33</v>
      </c>
      <c r="G648">
        <v>152</v>
      </c>
      <c r="H648">
        <v>10</v>
      </c>
    </row>
    <row r="649" spans="1:8">
      <c r="A649" s="6"/>
      <c r="B649">
        <v>13</v>
      </c>
      <c r="C649">
        <v>8</v>
      </c>
      <c r="D649">
        <v>45</v>
      </c>
      <c r="E649">
        <v>20</v>
      </c>
      <c r="F649">
        <v>49</v>
      </c>
      <c r="G649">
        <v>108</v>
      </c>
      <c r="H649">
        <v>10</v>
      </c>
    </row>
    <row r="650" spans="1:8">
      <c r="A650" s="6"/>
      <c r="B650">
        <v>14</v>
      </c>
      <c r="C650">
        <v>5</v>
      </c>
      <c r="D650">
        <v>35</v>
      </c>
      <c r="E650">
        <v>10</v>
      </c>
      <c r="F650">
        <v>62</v>
      </c>
      <c r="G650">
        <v>191</v>
      </c>
      <c r="H650">
        <v>10</v>
      </c>
    </row>
    <row r="651" spans="1:8">
      <c r="A651" s="6"/>
      <c r="B651">
        <v>15</v>
      </c>
      <c r="C651">
        <v>5</v>
      </c>
      <c r="D651">
        <v>45</v>
      </c>
      <c r="E651">
        <v>10</v>
      </c>
      <c r="F651">
        <v>35</v>
      </c>
      <c r="G651">
        <v>117</v>
      </c>
      <c r="H651">
        <v>10</v>
      </c>
    </row>
    <row r="652" spans="1:8">
      <c r="A652" s="6"/>
      <c r="B652">
        <v>16</v>
      </c>
      <c r="C652">
        <v>2</v>
      </c>
      <c r="D652">
        <v>40</v>
      </c>
      <c r="E652">
        <v>20</v>
      </c>
      <c r="F652">
        <v>39</v>
      </c>
      <c r="G652">
        <v>161</v>
      </c>
      <c r="H652">
        <v>10</v>
      </c>
    </row>
    <row r="653" spans="1:8">
      <c r="A653" s="6"/>
      <c r="B653">
        <v>17</v>
      </c>
      <c r="C653">
        <v>0</v>
      </c>
      <c r="D653">
        <v>40</v>
      </c>
      <c r="E653">
        <v>20</v>
      </c>
      <c r="F653">
        <v>59</v>
      </c>
      <c r="G653">
        <v>114</v>
      </c>
      <c r="H653">
        <v>10</v>
      </c>
    </row>
    <row r="654" spans="1:8">
      <c r="A654" s="6"/>
      <c r="B654">
        <v>18</v>
      </c>
      <c r="C654">
        <v>0</v>
      </c>
      <c r="D654">
        <v>45</v>
      </c>
      <c r="E654">
        <v>20</v>
      </c>
      <c r="F654">
        <v>60</v>
      </c>
      <c r="G654">
        <v>189</v>
      </c>
      <c r="H654">
        <v>10</v>
      </c>
    </row>
    <row r="655" spans="1:8">
      <c r="A655" s="6"/>
      <c r="B655">
        <v>19</v>
      </c>
      <c r="C655">
        <v>44</v>
      </c>
      <c r="D655">
        <v>5</v>
      </c>
      <c r="E655">
        <v>20</v>
      </c>
      <c r="F655">
        <v>79</v>
      </c>
      <c r="G655">
        <v>124</v>
      </c>
      <c r="H655">
        <v>10</v>
      </c>
    </row>
    <row r="656" spans="1:8">
      <c r="A656" s="6"/>
      <c r="B656">
        <v>20</v>
      </c>
      <c r="C656">
        <v>42</v>
      </c>
      <c r="D656">
        <v>10</v>
      </c>
      <c r="E656">
        <v>40</v>
      </c>
      <c r="F656">
        <v>58</v>
      </c>
      <c r="G656">
        <v>115</v>
      </c>
      <c r="H656">
        <v>10</v>
      </c>
    </row>
    <row r="657" spans="1:8">
      <c r="A657" s="6"/>
      <c r="B657">
        <v>21</v>
      </c>
      <c r="C657">
        <v>42</v>
      </c>
      <c r="D657">
        <v>15</v>
      </c>
      <c r="E657">
        <v>10</v>
      </c>
      <c r="F657">
        <v>111</v>
      </c>
      <c r="G657">
        <v>162</v>
      </c>
      <c r="H657">
        <v>10</v>
      </c>
    </row>
    <row r="658" spans="1:8">
      <c r="A658" s="6"/>
      <c r="B658">
        <v>22</v>
      </c>
      <c r="C658">
        <v>40</v>
      </c>
      <c r="D658">
        <v>5</v>
      </c>
      <c r="E658">
        <v>10</v>
      </c>
      <c r="F658">
        <v>52</v>
      </c>
      <c r="G658">
        <v>111</v>
      </c>
      <c r="H658">
        <v>10</v>
      </c>
    </row>
    <row r="659" spans="1:8">
      <c r="A659" s="6"/>
      <c r="B659">
        <v>23</v>
      </c>
      <c r="C659">
        <v>40</v>
      </c>
      <c r="D659">
        <v>15</v>
      </c>
      <c r="E659">
        <v>40</v>
      </c>
      <c r="F659">
        <v>55</v>
      </c>
      <c r="G659">
        <v>158</v>
      </c>
      <c r="H659">
        <v>10</v>
      </c>
    </row>
    <row r="660" spans="1:8">
      <c r="A660" s="6"/>
      <c r="B660">
        <v>24</v>
      </c>
      <c r="C660">
        <v>38</v>
      </c>
      <c r="D660">
        <v>5</v>
      </c>
      <c r="E660">
        <v>30</v>
      </c>
      <c r="F660">
        <v>45</v>
      </c>
      <c r="G660">
        <v>164</v>
      </c>
      <c r="H660">
        <v>10</v>
      </c>
    </row>
    <row r="661" spans="1:8">
      <c r="A661" s="6"/>
      <c r="B661">
        <v>25</v>
      </c>
      <c r="C661">
        <v>38</v>
      </c>
      <c r="D661">
        <v>15</v>
      </c>
      <c r="E661">
        <v>10</v>
      </c>
      <c r="F661">
        <v>128</v>
      </c>
      <c r="G661">
        <v>194</v>
      </c>
      <c r="H661">
        <v>10</v>
      </c>
    </row>
    <row r="662" spans="1:8">
      <c r="A662" s="6"/>
      <c r="B662">
        <v>26</v>
      </c>
      <c r="C662">
        <v>35</v>
      </c>
      <c r="D662">
        <v>5</v>
      </c>
      <c r="E662">
        <v>20</v>
      </c>
      <c r="F662">
        <v>54</v>
      </c>
      <c r="G662">
        <v>184</v>
      </c>
      <c r="H662">
        <v>10</v>
      </c>
    </row>
    <row r="663" spans="1:8">
      <c r="A663" s="6"/>
      <c r="B663">
        <v>27</v>
      </c>
      <c r="C663">
        <v>95</v>
      </c>
      <c r="D663">
        <v>30</v>
      </c>
      <c r="E663">
        <v>30</v>
      </c>
      <c r="F663">
        <v>105</v>
      </c>
      <c r="G663">
        <v>154</v>
      </c>
      <c r="H663">
        <v>10</v>
      </c>
    </row>
    <row r="664" spans="1:8">
      <c r="A664" s="6"/>
      <c r="B664">
        <v>28</v>
      </c>
      <c r="C664">
        <v>95</v>
      </c>
      <c r="D664">
        <v>35</v>
      </c>
      <c r="E664">
        <v>20</v>
      </c>
      <c r="F664">
        <v>57</v>
      </c>
      <c r="G664">
        <v>172</v>
      </c>
      <c r="H664">
        <v>10</v>
      </c>
    </row>
    <row r="665" spans="1:8">
      <c r="A665" s="6"/>
      <c r="B665">
        <v>29</v>
      </c>
      <c r="C665">
        <v>92</v>
      </c>
      <c r="D665">
        <v>30</v>
      </c>
      <c r="E665">
        <v>10</v>
      </c>
      <c r="F665">
        <v>55</v>
      </c>
      <c r="G665">
        <v>120</v>
      </c>
      <c r="H665">
        <v>10</v>
      </c>
    </row>
    <row r="666" spans="1:8">
      <c r="A666" s="6"/>
      <c r="B666">
        <v>30</v>
      </c>
      <c r="C666">
        <v>90</v>
      </c>
      <c r="D666">
        <v>35</v>
      </c>
      <c r="E666">
        <v>10</v>
      </c>
      <c r="F666">
        <v>52</v>
      </c>
      <c r="G666">
        <v>112</v>
      </c>
      <c r="H666">
        <v>10</v>
      </c>
    </row>
    <row r="667" spans="1:8">
      <c r="A667" s="6"/>
      <c r="B667">
        <v>31</v>
      </c>
      <c r="C667">
        <v>88</v>
      </c>
      <c r="D667">
        <v>30</v>
      </c>
      <c r="E667">
        <v>10</v>
      </c>
      <c r="F667">
        <v>52</v>
      </c>
      <c r="G667">
        <v>159</v>
      </c>
      <c r="H667">
        <v>10</v>
      </c>
    </row>
    <row r="668" spans="1:8">
      <c r="A668" s="6"/>
      <c r="B668">
        <v>32</v>
      </c>
      <c r="C668">
        <v>88</v>
      </c>
      <c r="D668">
        <v>35</v>
      </c>
      <c r="E668">
        <v>20</v>
      </c>
      <c r="F668">
        <v>50</v>
      </c>
      <c r="G668">
        <v>110</v>
      </c>
      <c r="H668">
        <v>10</v>
      </c>
    </row>
    <row r="669" spans="1:8">
      <c r="A669" s="6"/>
      <c r="B669">
        <v>33</v>
      </c>
      <c r="C669">
        <v>87</v>
      </c>
      <c r="D669">
        <v>30</v>
      </c>
      <c r="E669">
        <v>10</v>
      </c>
      <c r="F669">
        <v>116</v>
      </c>
      <c r="G669">
        <v>175</v>
      </c>
      <c r="H669">
        <v>10</v>
      </c>
    </row>
    <row r="670" spans="1:8">
      <c r="A670" s="6"/>
      <c r="B670">
        <v>34</v>
      </c>
      <c r="C670">
        <v>85</v>
      </c>
      <c r="D670">
        <v>25</v>
      </c>
      <c r="E670">
        <v>10</v>
      </c>
      <c r="F670">
        <v>51</v>
      </c>
      <c r="G670">
        <v>178</v>
      </c>
      <c r="H670">
        <v>10</v>
      </c>
    </row>
    <row r="671" spans="1:8">
      <c r="A671" s="6"/>
      <c r="B671">
        <v>35</v>
      </c>
      <c r="C671">
        <v>85</v>
      </c>
      <c r="D671">
        <v>35</v>
      </c>
      <c r="E671">
        <v>30</v>
      </c>
      <c r="F671">
        <v>100</v>
      </c>
      <c r="G671">
        <v>151</v>
      </c>
      <c r="H671">
        <v>10</v>
      </c>
    </row>
    <row r="672" spans="1:8">
      <c r="A672" s="6"/>
      <c r="B672">
        <v>36</v>
      </c>
      <c r="C672">
        <v>67</v>
      </c>
      <c r="D672">
        <v>85</v>
      </c>
      <c r="E672">
        <v>20</v>
      </c>
      <c r="F672">
        <v>61</v>
      </c>
      <c r="G672">
        <v>185</v>
      </c>
      <c r="H672">
        <v>10</v>
      </c>
    </row>
    <row r="673" spans="1:8">
      <c r="A673" s="6"/>
      <c r="B673">
        <v>37</v>
      </c>
      <c r="C673">
        <v>65</v>
      </c>
      <c r="D673">
        <v>85</v>
      </c>
      <c r="E673">
        <v>40</v>
      </c>
      <c r="F673">
        <v>43</v>
      </c>
      <c r="G673">
        <v>186</v>
      </c>
      <c r="H673">
        <v>10</v>
      </c>
    </row>
    <row r="674" spans="1:8">
      <c r="A674" s="6"/>
      <c r="B674">
        <v>38</v>
      </c>
      <c r="C674">
        <v>65</v>
      </c>
      <c r="D674">
        <v>82</v>
      </c>
      <c r="E674">
        <v>10</v>
      </c>
      <c r="F674">
        <v>113</v>
      </c>
      <c r="G674">
        <v>164</v>
      </c>
      <c r="H674">
        <v>10</v>
      </c>
    </row>
    <row r="675" spans="1:8">
      <c r="A675" s="6"/>
      <c r="B675">
        <v>39</v>
      </c>
      <c r="C675">
        <v>62</v>
      </c>
      <c r="D675">
        <v>80</v>
      </c>
      <c r="E675">
        <v>30</v>
      </c>
      <c r="F675">
        <v>37</v>
      </c>
      <c r="G675">
        <v>148</v>
      </c>
      <c r="H675">
        <v>10</v>
      </c>
    </row>
    <row r="676" spans="1:8">
      <c r="A676" s="6"/>
      <c r="B676">
        <v>40</v>
      </c>
      <c r="C676">
        <v>60</v>
      </c>
      <c r="D676">
        <v>80</v>
      </c>
      <c r="E676">
        <v>10</v>
      </c>
      <c r="F676">
        <v>36</v>
      </c>
      <c r="G676">
        <v>191</v>
      </c>
      <c r="H676">
        <v>10</v>
      </c>
    </row>
    <row r="677" spans="1:8">
      <c r="A677" s="6"/>
      <c r="B677">
        <v>41</v>
      </c>
      <c r="C677">
        <v>60</v>
      </c>
      <c r="D677">
        <v>85</v>
      </c>
      <c r="E677">
        <v>30</v>
      </c>
      <c r="F677">
        <v>50</v>
      </c>
      <c r="G677">
        <v>149</v>
      </c>
      <c r="H677">
        <v>10</v>
      </c>
    </row>
    <row r="678" spans="1:8">
      <c r="A678" s="6"/>
      <c r="B678">
        <v>42</v>
      </c>
      <c r="C678">
        <v>58</v>
      </c>
      <c r="D678">
        <v>75</v>
      </c>
      <c r="E678">
        <v>20</v>
      </c>
      <c r="F678">
        <v>48</v>
      </c>
      <c r="G678">
        <v>165</v>
      </c>
      <c r="H678">
        <v>10</v>
      </c>
    </row>
    <row r="679" spans="1:8">
      <c r="A679" s="6"/>
      <c r="B679">
        <v>43</v>
      </c>
      <c r="C679">
        <v>55</v>
      </c>
      <c r="D679">
        <v>80</v>
      </c>
      <c r="E679">
        <v>10</v>
      </c>
      <c r="F679">
        <v>33</v>
      </c>
      <c r="G679">
        <v>166</v>
      </c>
      <c r="H679">
        <v>10</v>
      </c>
    </row>
    <row r="680" spans="1:8">
      <c r="A680" s="6"/>
      <c r="B680">
        <v>44</v>
      </c>
      <c r="C680">
        <v>55</v>
      </c>
      <c r="D680">
        <v>85</v>
      </c>
      <c r="E680">
        <v>20</v>
      </c>
      <c r="F680">
        <v>117</v>
      </c>
      <c r="G680">
        <v>168</v>
      </c>
      <c r="H680">
        <v>10</v>
      </c>
    </row>
    <row r="681" spans="1:8">
      <c r="A681" s="6"/>
      <c r="B681">
        <v>45</v>
      </c>
      <c r="C681">
        <v>55</v>
      </c>
      <c r="D681">
        <v>82</v>
      </c>
      <c r="E681">
        <v>10</v>
      </c>
      <c r="F681">
        <v>35</v>
      </c>
      <c r="G681">
        <v>148</v>
      </c>
      <c r="H681">
        <v>10</v>
      </c>
    </row>
    <row r="682" spans="1:8">
      <c r="A682" s="6"/>
      <c r="B682">
        <v>46</v>
      </c>
      <c r="C682">
        <v>20</v>
      </c>
      <c r="D682">
        <v>82</v>
      </c>
      <c r="E682">
        <v>10</v>
      </c>
      <c r="F682">
        <v>37</v>
      </c>
      <c r="G682">
        <v>177</v>
      </c>
      <c r="H682">
        <v>10</v>
      </c>
    </row>
    <row r="683" spans="1:8">
      <c r="A683" s="6"/>
      <c r="B683">
        <v>47</v>
      </c>
      <c r="C683">
        <v>18</v>
      </c>
      <c r="D683">
        <v>80</v>
      </c>
      <c r="E683">
        <v>10</v>
      </c>
      <c r="F683">
        <v>98</v>
      </c>
      <c r="G683">
        <v>157</v>
      </c>
      <c r="H683">
        <v>10</v>
      </c>
    </row>
    <row r="684" spans="1:8">
      <c r="A684" s="6"/>
      <c r="B684">
        <v>48</v>
      </c>
      <c r="C684">
        <v>2</v>
      </c>
      <c r="D684">
        <v>45</v>
      </c>
      <c r="E684">
        <v>10</v>
      </c>
      <c r="F684">
        <v>38</v>
      </c>
      <c r="G684">
        <v>109</v>
      </c>
      <c r="H684">
        <v>10</v>
      </c>
    </row>
    <row r="685" spans="1:8">
      <c r="A685" s="6"/>
      <c r="B685">
        <v>49</v>
      </c>
      <c r="C685">
        <v>42</v>
      </c>
      <c r="D685">
        <v>5</v>
      </c>
      <c r="E685">
        <v>10</v>
      </c>
      <c r="F685">
        <v>120</v>
      </c>
      <c r="G685">
        <v>184</v>
      </c>
      <c r="H685">
        <v>10</v>
      </c>
    </row>
    <row r="686" spans="1:8">
      <c r="A686" s="6"/>
      <c r="B686">
        <v>50</v>
      </c>
      <c r="C686">
        <v>42</v>
      </c>
      <c r="D686">
        <v>12</v>
      </c>
      <c r="E686">
        <v>10</v>
      </c>
      <c r="F686">
        <v>79</v>
      </c>
      <c r="G686">
        <v>158</v>
      </c>
      <c r="H686">
        <v>10</v>
      </c>
    </row>
    <row r="687" spans="1:8">
      <c r="A687" s="6"/>
      <c r="B687">
        <v>51</v>
      </c>
      <c r="C687">
        <v>72</v>
      </c>
      <c r="D687">
        <v>35</v>
      </c>
      <c r="E687">
        <v>30</v>
      </c>
      <c r="F687">
        <v>104</v>
      </c>
      <c r="G687">
        <v>157</v>
      </c>
      <c r="H687">
        <v>10</v>
      </c>
    </row>
    <row r="688" spans="1:8">
      <c r="A688" s="6"/>
      <c r="B688">
        <v>52</v>
      </c>
      <c r="C688">
        <v>55</v>
      </c>
      <c r="D688">
        <v>20</v>
      </c>
      <c r="E688">
        <v>19</v>
      </c>
      <c r="F688">
        <v>69</v>
      </c>
      <c r="G688">
        <v>126</v>
      </c>
      <c r="H688">
        <v>10</v>
      </c>
    </row>
    <row r="689" spans="1:8">
      <c r="A689" s="6"/>
      <c r="B689">
        <v>53</v>
      </c>
      <c r="C689">
        <v>25</v>
      </c>
      <c r="D689">
        <v>30</v>
      </c>
      <c r="E689">
        <v>3</v>
      </c>
      <c r="F689">
        <v>36</v>
      </c>
      <c r="G689">
        <v>97</v>
      </c>
      <c r="H689">
        <v>10</v>
      </c>
    </row>
    <row r="690" spans="1:8">
      <c r="A690" s="6"/>
      <c r="B690">
        <v>54</v>
      </c>
      <c r="C690">
        <v>20</v>
      </c>
      <c r="D690">
        <v>50</v>
      </c>
      <c r="E690">
        <v>5</v>
      </c>
      <c r="F690">
        <v>57</v>
      </c>
      <c r="G690">
        <v>154</v>
      </c>
      <c r="H690">
        <v>10</v>
      </c>
    </row>
    <row r="691" spans="1:8">
      <c r="A691" s="6"/>
      <c r="B691">
        <v>55</v>
      </c>
      <c r="C691">
        <v>55</v>
      </c>
      <c r="D691">
        <v>60</v>
      </c>
      <c r="E691">
        <v>16</v>
      </c>
      <c r="F691">
        <v>127</v>
      </c>
      <c r="G691">
        <v>180</v>
      </c>
      <c r="H691">
        <v>10</v>
      </c>
    </row>
    <row r="692" spans="1:8">
      <c r="A692" s="6"/>
      <c r="B692">
        <v>56</v>
      </c>
      <c r="C692">
        <v>30</v>
      </c>
      <c r="D692">
        <v>60</v>
      </c>
      <c r="E692">
        <v>16</v>
      </c>
      <c r="F692">
        <v>95</v>
      </c>
      <c r="G692">
        <v>214</v>
      </c>
      <c r="H692">
        <v>10</v>
      </c>
    </row>
    <row r="693" spans="1:8">
      <c r="A693" s="6"/>
      <c r="B693">
        <v>57</v>
      </c>
      <c r="C693">
        <v>50</v>
      </c>
      <c r="D693">
        <v>35</v>
      </c>
      <c r="E693">
        <v>19</v>
      </c>
      <c r="F693">
        <v>88</v>
      </c>
      <c r="G693">
        <v>201</v>
      </c>
      <c r="H693">
        <v>10</v>
      </c>
    </row>
    <row r="694" spans="1:8">
      <c r="A694" s="6"/>
      <c r="B694">
        <v>58</v>
      </c>
      <c r="C694">
        <v>30</v>
      </c>
      <c r="D694">
        <v>25</v>
      </c>
      <c r="E694">
        <v>23</v>
      </c>
      <c r="F694">
        <v>82</v>
      </c>
      <c r="G694">
        <v>139</v>
      </c>
      <c r="H694">
        <v>10</v>
      </c>
    </row>
    <row r="695" spans="1:8">
      <c r="A695" s="6"/>
      <c r="B695">
        <v>59</v>
      </c>
      <c r="C695">
        <v>15</v>
      </c>
      <c r="D695">
        <v>10</v>
      </c>
      <c r="E695">
        <v>20</v>
      </c>
      <c r="F695">
        <v>56</v>
      </c>
      <c r="G695">
        <v>182</v>
      </c>
      <c r="H695">
        <v>10</v>
      </c>
    </row>
    <row r="696" spans="1:8">
      <c r="A696" s="6"/>
      <c r="B696">
        <v>60</v>
      </c>
      <c r="C696">
        <v>10</v>
      </c>
      <c r="D696">
        <v>20</v>
      </c>
      <c r="E696">
        <v>19</v>
      </c>
      <c r="F696">
        <v>42</v>
      </c>
      <c r="G696">
        <v>125</v>
      </c>
      <c r="H696">
        <v>10</v>
      </c>
    </row>
    <row r="697" spans="1:8">
      <c r="A697" s="6"/>
      <c r="B697">
        <v>61</v>
      </c>
      <c r="C697">
        <v>15</v>
      </c>
      <c r="D697">
        <v>60</v>
      </c>
      <c r="E697">
        <v>17</v>
      </c>
      <c r="F697">
        <v>137</v>
      </c>
      <c r="G697">
        <v>202</v>
      </c>
      <c r="H697">
        <v>10</v>
      </c>
    </row>
    <row r="698" spans="1:8">
      <c r="A698" s="6"/>
      <c r="B698">
        <v>62</v>
      </c>
      <c r="C698">
        <v>45</v>
      </c>
      <c r="D698">
        <v>65</v>
      </c>
      <c r="E698">
        <v>9</v>
      </c>
      <c r="F698">
        <v>55</v>
      </c>
      <c r="G698">
        <v>106</v>
      </c>
      <c r="H698">
        <v>10</v>
      </c>
    </row>
    <row r="699" spans="1:8">
      <c r="A699" s="6"/>
      <c r="B699">
        <v>63</v>
      </c>
      <c r="C699">
        <v>65</v>
      </c>
      <c r="D699">
        <v>35</v>
      </c>
      <c r="E699">
        <v>3</v>
      </c>
      <c r="F699">
        <v>29</v>
      </c>
      <c r="G699">
        <v>158</v>
      </c>
      <c r="H699">
        <v>10</v>
      </c>
    </row>
    <row r="700" spans="1:8">
      <c r="A700" s="6"/>
      <c r="B700">
        <v>64</v>
      </c>
      <c r="C700">
        <v>65</v>
      </c>
      <c r="D700">
        <v>20</v>
      </c>
      <c r="E700">
        <v>6</v>
      </c>
      <c r="F700">
        <v>39</v>
      </c>
      <c r="G700">
        <v>108</v>
      </c>
      <c r="H700">
        <v>10</v>
      </c>
    </row>
    <row r="701" spans="1:8">
      <c r="A701" s="6"/>
      <c r="B701">
        <v>65</v>
      </c>
      <c r="C701">
        <v>45</v>
      </c>
      <c r="D701">
        <v>30</v>
      </c>
      <c r="E701">
        <v>17</v>
      </c>
      <c r="F701">
        <v>20</v>
      </c>
      <c r="G701">
        <v>139</v>
      </c>
      <c r="H701">
        <v>10</v>
      </c>
    </row>
    <row r="702" spans="1:8">
      <c r="A702" s="6"/>
      <c r="B702">
        <v>66</v>
      </c>
      <c r="C702">
        <v>35</v>
      </c>
      <c r="D702">
        <v>40</v>
      </c>
      <c r="E702">
        <v>16</v>
      </c>
      <c r="F702">
        <v>11</v>
      </c>
      <c r="G702">
        <v>140</v>
      </c>
      <c r="H702">
        <v>10</v>
      </c>
    </row>
    <row r="703" spans="1:8">
      <c r="A703" s="6"/>
      <c r="B703">
        <v>67</v>
      </c>
      <c r="C703">
        <v>41</v>
      </c>
      <c r="D703">
        <v>37</v>
      </c>
      <c r="E703">
        <v>16</v>
      </c>
      <c r="F703">
        <v>92</v>
      </c>
      <c r="G703">
        <v>203</v>
      </c>
      <c r="H703">
        <v>10</v>
      </c>
    </row>
    <row r="704" spans="1:8">
      <c r="A704" s="6"/>
      <c r="B704">
        <v>68</v>
      </c>
      <c r="C704">
        <v>64</v>
      </c>
      <c r="D704">
        <v>42</v>
      </c>
      <c r="E704">
        <v>9</v>
      </c>
      <c r="F704">
        <v>28</v>
      </c>
      <c r="G704">
        <v>141</v>
      </c>
      <c r="H704">
        <v>10</v>
      </c>
    </row>
    <row r="705" spans="1:8">
      <c r="A705" s="6"/>
      <c r="B705">
        <v>69</v>
      </c>
      <c r="C705">
        <v>40</v>
      </c>
      <c r="D705">
        <v>60</v>
      </c>
      <c r="E705">
        <v>21</v>
      </c>
      <c r="F705">
        <v>100</v>
      </c>
      <c r="G705">
        <v>217</v>
      </c>
      <c r="H705">
        <v>10</v>
      </c>
    </row>
    <row r="706" spans="1:8">
      <c r="A706" s="6"/>
      <c r="B706">
        <v>70</v>
      </c>
      <c r="C706">
        <v>31</v>
      </c>
      <c r="D706">
        <v>52</v>
      </c>
      <c r="E706">
        <v>27</v>
      </c>
      <c r="F706">
        <v>9</v>
      </c>
      <c r="G706">
        <v>134</v>
      </c>
      <c r="H706">
        <v>10</v>
      </c>
    </row>
    <row r="707" spans="1:8">
      <c r="A707" s="6"/>
      <c r="B707">
        <v>71</v>
      </c>
      <c r="C707">
        <v>35</v>
      </c>
      <c r="D707">
        <v>69</v>
      </c>
      <c r="E707">
        <v>23</v>
      </c>
      <c r="F707">
        <v>60</v>
      </c>
      <c r="G707">
        <v>210</v>
      </c>
      <c r="H707">
        <v>10</v>
      </c>
    </row>
    <row r="708" spans="1:8">
      <c r="A708" s="6"/>
      <c r="B708">
        <v>72</v>
      </c>
      <c r="C708">
        <v>65</v>
      </c>
      <c r="D708">
        <v>55</v>
      </c>
      <c r="E708">
        <v>14</v>
      </c>
      <c r="F708">
        <v>52</v>
      </c>
      <c r="G708">
        <v>107</v>
      </c>
      <c r="H708">
        <v>10</v>
      </c>
    </row>
    <row r="709" spans="1:8">
      <c r="A709" s="6"/>
      <c r="B709">
        <v>73</v>
      </c>
      <c r="C709">
        <v>63</v>
      </c>
      <c r="D709">
        <v>65</v>
      </c>
      <c r="E709">
        <v>8</v>
      </c>
      <c r="F709">
        <v>27</v>
      </c>
      <c r="G709">
        <v>101</v>
      </c>
      <c r="H709">
        <v>10</v>
      </c>
    </row>
    <row r="710" spans="1:8">
      <c r="A710" s="6"/>
      <c r="B710">
        <v>74</v>
      </c>
      <c r="C710">
        <v>2</v>
      </c>
      <c r="D710">
        <v>60</v>
      </c>
      <c r="E710">
        <v>5</v>
      </c>
      <c r="F710">
        <v>65</v>
      </c>
      <c r="G710">
        <v>118</v>
      </c>
      <c r="H710">
        <v>10</v>
      </c>
    </row>
    <row r="711" spans="1:8">
      <c r="A711" s="6"/>
      <c r="B711">
        <v>75</v>
      </c>
      <c r="C711">
        <v>20</v>
      </c>
      <c r="D711">
        <v>20</v>
      </c>
      <c r="E711">
        <v>8</v>
      </c>
      <c r="F711">
        <v>72</v>
      </c>
      <c r="G711">
        <v>193</v>
      </c>
      <c r="H711">
        <v>10</v>
      </c>
    </row>
    <row r="712" spans="1:8">
      <c r="A712" s="6"/>
      <c r="B712">
        <v>76</v>
      </c>
      <c r="C712">
        <v>5</v>
      </c>
      <c r="D712">
        <v>5</v>
      </c>
      <c r="E712">
        <v>16</v>
      </c>
      <c r="F712">
        <v>60</v>
      </c>
      <c r="G712">
        <v>117</v>
      </c>
      <c r="H712">
        <v>10</v>
      </c>
    </row>
    <row r="713" spans="1:8">
      <c r="A713" s="6"/>
      <c r="B713">
        <v>77</v>
      </c>
      <c r="C713">
        <v>60</v>
      </c>
      <c r="D713">
        <v>12</v>
      </c>
      <c r="E713">
        <v>31</v>
      </c>
      <c r="F713">
        <v>42</v>
      </c>
      <c r="G713">
        <v>143</v>
      </c>
      <c r="H713">
        <v>10</v>
      </c>
    </row>
    <row r="714" spans="1:8">
      <c r="A714" s="6"/>
      <c r="B714">
        <v>78</v>
      </c>
      <c r="C714">
        <v>23</v>
      </c>
      <c r="D714">
        <v>3</v>
      </c>
      <c r="E714">
        <v>7</v>
      </c>
      <c r="F714">
        <v>52</v>
      </c>
      <c r="G714">
        <v>180</v>
      </c>
      <c r="H714">
        <v>10</v>
      </c>
    </row>
    <row r="715" spans="1:8">
      <c r="A715" s="6"/>
      <c r="B715">
        <v>79</v>
      </c>
      <c r="C715">
        <v>8</v>
      </c>
      <c r="D715">
        <v>56</v>
      </c>
      <c r="E715">
        <v>27</v>
      </c>
      <c r="F715">
        <v>46</v>
      </c>
      <c r="G715">
        <v>163</v>
      </c>
      <c r="H715">
        <v>10</v>
      </c>
    </row>
    <row r="716" spans="1:8">
      <c r="A716" s="6"/>
      <c r="B716">
        <v>80</v>
      </c>
      <c r="C716">
        <v>6</v>
      </c>
      <c r="D716">
        <v>68</v>
      </c>
      <c r="E716">
        <v>30</v>
      </c>
      <c r="F716">
        <v>54</v>
      </c>
      <c r="G716">
        <v>153</v>
      </c>
      <c r="H716">
        <v>10</v>
      </c>
    </row>
    <row r="717" spans="1:8">
      <c r="A717" s="6"/>
      <c r="B717">
        <v>81</v>
      </c>
      <c r="C717">
        <v>47</v>
      </c>
      <c r="D717">
        <v>47</v>
      </c>
      <c r="E717">
        <v>13</v>
      </c>
      <c r="F717">
        <v>97</v>
      </c>
      <c r="G717">
        <v>222</v>
      </c>
      <c r="H717">
        <v>10</v>
      </c>
    </row>
    <row r="718" spans="1:8">
      <c r="A718" s="6"/>
      <c r="B718">
        <v>82</v>
      </c>
      <c r="C718">
        <v>49</v>
      </c>
      <c r="D718">
        <v>58</v>
      </c>
      <c r="E718">
        <v>10</v>
      </c>
      <c r="F718">
        <v>80</v>
      </c>
      <c r="G718">
        <v>121</v>
      </c>
      <c r="H718">
        <v>10</v>
      </c>
    </row>
    <row r="719" spans="1:8">
      <c r="A719" s="6"/>
      <c r="B719">
        <v>83</v>
      </c>
      <c r="C719">
        <v>27</v>
      </c>
      <c r="D719">
        <v>43</v>
      </c>
      <c r="E719">
        <v>9</v>
      </c>
      <c r="F719">
        <v>26</v>
      </c>
      <c r="G719">
        <v>87</v>
      </c>
      <c r="H719">
        <v>10</v>
      </c>
    </row>
    <row r="720" spans="1:8">
      <c r="A720" s="6"/>
      <c r="B720">
        <v>84</v>
      </c>
      <c r="C720">
        <v>37</v>
      </c>
      <c r="D720">
        <v>31</v>
      </c>
      <c r="E720">
        <v>14</v>
      </c>
      <c r="F720">
        <v>19</v>
      </c>
      <c r="G720">
        <v>87</v>
      </c>
      <c r="H720">
        <v>10</v>
      </c>
    </row>
    <row r="721" spans="1:8">
      <c r="A721" s="6"/>
      <c r="B721">
        <v>85</v>
      </c>
      <c r="C721">
        <v>57</v>
      </c>
      <c r="D721">
        <v>29</v>
      </c>
      <c r="E721">
        <v>18</v>
      </c>
      <c r="F721">
        <v>62</v>
      </c>
      <c r="G721">
        <v>159</v>
      </c>
      <c r="H721">
        <v>10</v>
      </c>
    </row>
    <row r="722" spans="1:8">
      <c r="A722" s="6"/>
      <c r="B722">
        <v>86</v>
      </c>
      <c r="C722">
        <v>63</v>
      </c>
      <c r="D722">
        <v>23</v>
      </c>
      <c r="E722">
        <v>2</v>
      </c>
      <c r="F722">
        <v>76</v>
      </c>
      <c r="G722">
        <v>127</v>
      </c>
      <c r="H722">
        <v>10</v>
      </c>
    </row>
    <row r="723" spans="1:8">
      <c r="A723" s="6"/>
      <c r="B723">
        <v>87</v>
      </c>
      <c r="C723">
        <v>21</v>
      </c>
      <c r="D723">
        <v>24</v>
      </c>
      <c r="E723">
        <v>28</v>
      </c>
      <c r="F723">
        <v>77</v>
      </c>
      <c r="G723">
        <v>126</v>
      </c>
      <c r="H723">
        <v>10</v>
      </c>
    </row>
    <row r="724" spans="1:8">
      <c r="A724" s="6"/>
      <c r="B724">
        <v>88</v>
      </c>
      <c r="C724">
        <v>12</v>
      </c>
      <c r="D724">
        <v>24</v>
      </c>
      <c r="E724">
        <v>13</v>
      </c>
      <c r="F724">
        <v>68</v>
      </c>
      <c r="G724">
        <v>141</v>
      </c>
      <c r="H724">
        <v>10</v>
      </c>
    </row>
    <row r="725" spans="1:8">
      <c r="A725" s="6"/>
      <c r="B725">
        <v>89</v>
      </c>
      <c r="C725">
        <v>24</v>
      </c>
      <c r="D725">
        <v>58</v>
      </c>
      <c r="E725">
        <v>19</v>
      </c>
      <c r="F725">
        <v>24</v>
      </c>
      <c r="G725">
        <v>139</v>
      </c>
      <c r="H725">
        <v>10</v>
      </c>
    </row>
    <row r="726" spans="1:8">
      <c r="A726" s="6"/>
      <c r="B726">
        <v>90</v>
      </c>
      <c r="C726">
        <v>67</v>
      </c>
      <c r="D726">
        <v>5</v>
      </c>
      <c r="E726">
        <v>25</v>
      </c>
      <c r="F726">
        <v>105</v>
      </c>
      <c r="G726">
        <v>177</v>
      </c>
      <c r="H726">
        <v>10</v>
      </c>
    </row>
    <row r="727" spans="1:8">
      <c r="A727" s="6"/>
      <c r="B727">
        <v>91</v>
      </c>
      <c r="C727">
        <v>37</v>
      </c>
      <c r="D727">
        <v>47</v>
      </c>
      <c r="E727">
        <v>6</v>
      </c>
      <c r="F727">
        <v>74</v>
      </c>
      <c r="G727">
        <v>127</v>
      </c>
      <c r="H727">
        <v>10</v>
      </c>
    </row>
    <row r="728" spans="1:8">
      <c r="A728" s="6"/>
      <c r="B728">
        <v>92</v>
      </c>
      <c r="C728">
        <v>49</v>
      </c>
      <c r="D728">
        <v>42</v>
      </c>
      <c r="E728">
        <v>13</v>
      </c>
      <c r="F728">
        <v>151</v>
      </c>
      <c r="G728">
        <v>212</v>
      </c>
      <c r="H728">
        <v>10</v>
      </c>
    </row>
    <row r="729" spans="1:8">
      <c r="A729" s="6"/>
      <c r="B729">
        <v>93</v>
      </c>
      <c r="C729">
        <v>53</v>
      </c>
      <c r="D729">
        <v>43</v>
      </c>
      <c r="E729">
        <v>14</v>
      </c>
      <c r="F729">
        <v>14</v>
      </c>
      <c r="G729">
        <v>155</v>
      </c>
      <c r="H729">
        <v>10</v>
      </c>
    </row>
    <row r="730" spans="1:8">
      <c r="A730" s="6"/>
      <c r="B730">
        <v>94</v>
      </c>
      <c r="C730">
        <v>61</v>
      </c>
      <c r="D730">
        <v>52</v>
      </c>
      <c r="E730">
        <v>3</v>
      </c>
      <c r="F730">
        <v>69</v>
      </c>
      <c r="G730">
        <v>208</v>
      </c>
      <c r="H730">
        <v>10</v>
      </c>
    </row>
    <row r="731" spans="1:8">
      <c r="A731" s="6"/>
      <c r="B731">
        <v>95</v>
      </c>
      <c r="C731">
        <v>57</v>
      </c>
      <c r="D731">
        <v>48</v>
      </c>
      <c r="E731">
        <v>23</v>
      </c>
      <c r="F731">
        <v>86</v>
      </c>
      <c r="G731">
        <v>133</v>
      </c>
      <c r="H731">
        <v>10</v>
      </c>
    </row>
    <row r="732" spans="1:8">
      <c r="A732" s="6"/>
      <c r="B732">
        <v>96</v>
      </c>
      <c r="C732">
        <v>56</v>
      </c>
      <c r="D732">
        <v>37</v>
      </c>
      <c r="E732">
        <v>6</v>
      </c>
      <c r="F732">
        <v>20</v>
      </c>
      <c r="G732">
        <v>84</v>
      </c>
      <c r="H732">
        <v>10</v>
      </c>
    </row>
    <row r="733" spans="1:8">
      <c r="A733" s="6"/>
      <c r="B733">
        <v>97</v>
      </c>
      <c r="C733">
        <v>55</v>
      </c>
      <c r="D733">
        <v>54</v>
      </c>
      <c r="E733">
        <v>26</v>
      </c>
      <c r="F733">
        <v>121</v>
      </c>
      <c r="G733">
        <v>172</v>
      </c>
      <c r="H733">
        <v>10</v>
      </c>
    </row>
    <row r="734" spans="1:8">
      <c r="A734" s="6"/>
      <c r="B734">
        <v>98</v>
      </c>
      <c r="C734">
        <v>4</v>
      </c>
      <c r="D734">
        <v>18</v>
      </c>
      <c r="E734">
        <v>35</v>
      </c>
      <c r="F734">
        <v>112</v>
      </c>
      <c r="G734">
        <v>157</v>
      </c>
      <c r="H734">
        <v>10</v>
      </c>
    </row>
    <row r="735" spans="1:8">
      <c r="A735" s="6"/>
      <c r="B735">
        <v>99</v>
      </c>
      <c r="C735">
        <v>26</v>
      </c>
      <c r="D735">
        <v>52</v>
      </c>
      <c r="E735">
        <v>9</v>
      </c>
      <c r="F735">
        <v>30</v>
      </c>
      <c r="G735">
        <v>91</v>
      </c>
      <c r="H735">
        <v>10</v>
      </c>
    </row>
    <row r="736" spans="1:8">
      <c r="A736" s="6"/>
      <c r="B736">
        <v>100</v>
      </c>
      <c r="C736">
        <v>26</v>
      </c>
      <c r="D736">
        <v>35</v>
      </c>
      <c r="E736">
        <v>15</v>
      </c>
      <c r="F736">
        <v>37</v>
      </c>
      <c r="G736">
        <v>146</v>
      </c>
      <c r="H736">
        <v>10</v>
      </c>
    </row>
    <row r="737" spans="1:8">
      <c r="A737" s="6"/>
      <c r="B737">
        <v>101</v>
      </c>
      <c r="C737">
        <v>31</v>
      </c>
      <c r="D737">
        <v>67</v>
      </c>
      <c r="E737">
        <v>3</v>
      </c>
      <c r="F737">
        <v>66</v>
      </c>
      <c r="G737">
        <v>210</v>
      </c>
      <c r="H737">
        <v>10</v>
      </c>
    </row>
    <row r="740" spans="1:8" ht="17.399999999999999">
      <c r="A740" s="7" t="s">
        <v>53</v>
      </c>
    </row>
    <row r="741" spans="1:8">
      <c r="A741" s="4"/>
      <c r="B741" t="s">
        <v>32</v>
      </c>
      <c r="C741" t="s">
        <v>26</v>
      </c>
      <c r="D741" t="s">
        <v>27</v>
      </c>
      <c r="E741" t="s">
        <v>28</v>
      </c>
      <c r="F741" t="s">
        <v>29</v>
      </c>
      <c r="G741" t="s">
        <v>30</v>
      </c>
      <c r="H741" t="s">
        <v>31</v>
      </c>
    </row>
    <row r="742" spans="1:8">
      <c r="A742" s="6"/>
      <c r="B742">
        <v>1</v>
      </c>
      <c r="C742">
        <v>40</v>
      </c>
      <c r="D742">
        <v>50</v>
      </c>
      <c r="E742">
        <v>0</v>
      </c>
      <c r="F742">
        <v>0</v>
      </c>
      <c r="G742">
        <v>240</v>
      </c>
      <c r="H742">
        <v>0</v>
      </c>
    </row>
    <row r="743" spans="1:8">
      <c r="A743" s="6"/>
      <c r="B743">
        <v>2</v>
      </c>
      <c r="C743">
        <v>25</v>
      </c>
      <c r="D743">
        <v>85</v>
      </c>
      <c r="E743">
        <v>20</v>
      </c>
      <c r="F743">
        <v>49</v>
      </c>
      <c r="G743">
        <v>191</v>
      </c>
      <c r="H743">
        <v>10</v>
      </c>
    </row>
    <row r="744" spans="1:8">
      <c r="A744" s="6"/>
      <c r="B744">
        <v>3</v>
      </c>
      <c r="C744">
        <v>22</v>
      </c>
      <c r="D744">
        <v>75</v>
      </c>
      <c r="E744">
        <v>30</v>
      </c>
      <c r="F744">
        <v>30</v>
      </c>
      <c r="G744">
        <v>168</v>
      </c>
      <c r="H744">
        <v>10</v>
      </c>
    </row>
    <row r="745" spans="1:8">
      <c r="A745" s="6"/>
      <c r="B745">
        <v>4</v>
      </c>
      <c r="C745">
        <v>22</v>
      </c>
      <c r="D745">
        <v>85</v>
      </c>
      <c r="E745">
        <v>10</v>
      </c>
      <c r="F745">
        <v>95</v>
      </c>
      <c r="G745">
        <v>152</v>
      </c>
      <c r="H745">
        <v>10</v>
      </c>
    </row>
    <row r="746" spans="1:8">
      <c r="A746" s="6"/>
      <c r="B746">
        <v>5</v>
      </c>
      <c r="C746">
        <v>20</v>
      </c>
      <c r="D746">
        <v>80</v>
      </c>
      <c r="E746">
        <v>40</v>
      </c>
      <c r="F746">
        <v>69</v>
      </c>
      <c r="G746">
        <v>193</v>
      </c>
      <c r="H746">
        <v>10</v>
      </c>
    </row>
    <row r="747" spans="1:8">
      <c r="A747" s="6"/>
      <c r="B747">
        <v>6</v>
      </c>
      <c r="C747">
        <v>20</v>
      </c>
      <c r="D747">
        <v>85</v>
      </c>
      <c r="E747">
        <v>20</v>
      </c>
      <c r="F747">
        <v>40</v>
      </c>
      <c r="G747">
        <v>189</v>
      </c>
      <c r="H747">
        <v>10</v>
      </c>
    </row>
    <row r="748" spans="1:8">
      <c r="A748" s="6"/>
      <c r="B748">
        <v>7</v>
      </c>
      <c r="C748">
        <v>18</v>
      </c>
      <c r="D748">
        <v>75</v>
      </c>
      <c r="E748">
        <v>20</v>
      </c>
      <c r="F748">
        <v>60</v>
      </c>
      <c r="G748">
        <v>159</v>
      </c>
      <c r="H748">
        <v>10</v>
      </c>
    </row>
    <row r="749" spans="1:8">
      <c r="A749" s="6"/>
      <c r="B749">
        <v>8</v>
      </c>
      <c r="C749">
        <v>15</v>
      </c>
      <c r="D749">
        <v>75</v>
      </c>
      <c r="E749">
        <v>20</v>
      </c>
      <c r="F749">
        <v>54</v>
      </c>
      <c r="G749">
        <v>133</v>
      </c>
      <c r="H749">
        <v>10</v>
      </c>
    </row>
    <row r="750" spans="1:8">
      <c r="A750" s="6"/>
      <c r="B750">
        <v>9</v>
      </c>
      <c r="C750">
        <v>15</v>
      </c>
      <c r="D750">
        <v>80</v>
      </c>
      <c r="E750">
        <v>10</v>
      </c>
      <c r="F750">
        <v>67</v>
      </c>
      <c r="G750">
        <v>144</v>
      </c>
      <c r="H750">
        <v>10</v>
      </c>
    </row>
    <row r="751" spans="1:8">
      <c r="A751" s="6"/>
      <c r="B751">
        <v>10</v>
      </c>
      <c r="C751">
        <v>10</v>
      </c>
      <c r="D751">
        <v>35</v>
      </c>
      <c r="E751">
        <v>20</v>
      </c>
      <c r="F751">
        <v>57</v>
      </c>
      <c r="G751">
        <v>154</v>
      </c>
      <c r="H751">
        <v>10</v>
      </c>
    </row>
    <row r="752" spans="1:8">
      <c r="A752" s="6"/>
      <c r="B752">
        <v>11</v>
      </c>
      <c r="C752">
        <v>10</v>
      </c>
      <c r="D752">
        <v>40</v>
      </c>
      <c r="E752">
        <v>30</v>
      </c>
      <c r="F752">
        <v>106</v>
      </c>
      <c r="G752">
        <v>161</v>
      </c>
      <c r="H752">
        <v>10</v>
      </c>
    </row>
    <row r="753" spans="1:8">
      <c r="A753" s="6"/>
      <c r="B753">
        <v>12</v>
      </c>
      <c r="C753">
        <v>8</v>
      </c>
      <c r="D753">
        <v>40</v>
      </c>
      <c r="E753">
        <v>40</v>
      </c>
      <c r="F753">
        <v>33</v>
      </c>
      <c r="G753">
        <v>152</v>
      </c>
      <c r="H753">
        <v>10</v>
      </c>
    </row>
    <row r="754" spans="1:8">
      <c r="A754" s="6"/>
      <c r="B754">
        <v>13</v>
      </c>
      <c r="C754">
        <v>8</v>
      </c>
      <c r="D754">
        <v>45</v>
      </c>
      <c r="E754">
        <v>20</v>
      </c>
      <c r="F754">
        <v>32</v>
      </c>
      <c r="G754">
        <v>148</v>
      </c>
      <c r="H754">
        <v>10</v>
      </c>
    </row>
    <row r="755" spans="1:8">
      <c r="A755" s="6"/>
      <c r="B755">
        <v>14</v>
      </c>
      <c r="C755">
        <v>5</v>
      </c>
      <c r="D755">
        <v>35</v>
      </c>
      <c r="E755">
        <v>10</v>
      </c>
      <c r="F755">
        <v>53</v>
      </c>
      <c r="G755">
        <v>191</v>
      </c>
      <c r="H755">
        <v>10</v>
      </c>
    </row>
    <row r="756" spans="1:8">
      <c r="A756" s="6"/>
      <c r="B756">
        <v>15</v>
      </c>
      <c r="C756">
        <v>5</v>
      </c>
      <c r="D756">
        <v>45</v>
      </c>
      <c r="E756">
        <v>10</v>
      </c>
      <c r="F756">
        <v>35</v>
      </c>
      <c r="G756">
        <v>194</v>
      </c>
      <c r="H756">
        <v>10</v>
      </c>
    </row>
    <row r="757" spans="1:8">
      <c r="A757" s="6"/>
      <c r="B757">
        <v>16</v>
      </c>
      <c r="C757">
        <v>2</v>
      </c>
      <c r="D757">
        <v>40</v>
      </c>
      <c r="E757">
        <v>20</v>
      </c>
      <c r="F757">
        <v>39</v>
      </c>
      <c r="G757">
        <v>163</v>
      </c>
      <c r="H757">
        <v>10</v>
      </c>
    </row>
    <row r="758" spans="1:8">
      <c r="A758" s="6"/>
      <c r="B758">
        <v>17</v>
      </c>
      <c r="C758">
        <v>0</v>
      </c>
      <c r="D758">
        <v>40</v>
      </c>
      <c r="E758">
        <v>20</v>
      </c>
      <c r="F758">
        <v>41</v>
      </c>
      <c r="G758">
        <v>141</v>
      </c>
      <c r="H758">
        <v>10</v>
      </c>
    </row>
    <row r="759" spans="1:8">
      <c r="A759" s="6"/>
      <c r="B759">
        <v>18</v>
      </c>
      <c r="C759">
        <v>0</v>
      </c>
      <c r="D759">
        <v>45</v>
      </c>
      <c r="E759">
        <v>20</v>
      </c>
      <c r="F759">
        <v>51</v>
      </c>
      <c r="G759">
        <v>189</v>
      </c>
      <c r="H759">
        <v>10</v>
      </c>
    </row>
    <row r="760" spans="1:8">
      <c r="A760" s="6"/>
      <c r="B760">
        <v>19</v>
      </c>
      <c r="C760">
        <v>44</v>
      </c>
      <c r="D760">
        <v>5</v>
      </c>
      <c r="E760">
        <v>20</v>
      </c>
      <c r="F760">
        <v>73</v>
      </c>
      <c r="G760">
        <v>130</v>
      </c>
      <c r="H760">
        <v>10</v>
      </c>
    </row>
    <row r="761" spans="1:8">
      <c r="A761" s="6"/>
      <c r="B761">
        <v>20</v>
      </c>
      <c r="C761">
        <v>42</v>
      </c>
      <c r="D761">
        <v>10</v>
      </c>
      <c r="E761">
        <v>40</v>
      </c>
      <c r="F761">
        <v>40</v>
      </c>
      <c r="G761">
        <v>148</v>
      </c>
      <c r="H761">
        <v>10</v>
      </c>
    </row>
    <row r="762" spans="1:8">
      <c r="A762" s="6"/>
      <c r="B762">
        <v>21</v>
      </c>
      <c r="C762">
        <v>42</v>
      </c>
      <c r="D762">
        <v>15</v>
      </c>
      <c r="E762">
        <v>10</v>
      </c>
      <c r="F762">
        <v>94</v>
      </c>
      <c r="G762">
        <v>179</v>
      </c>
      <c r="H762">
        <v>10</v>
      </c>
    </row>
    <row r="763" spans="1:8">
      <c r="A763" s="6"/>
      <c r="B763">
        <v>22</v>
      </c>
      <c r="C763">
        <v>40</v>
      </c>
      <c r="D763">
        <v>5</v>
      </c>
      <c r="E763">
        <v>10</v>
      </c>
      <c r="F763">
        <v>45</v>
      </c>
      <c r="G763">
        <v>161</v>
      </c>
      <c r="H763">
        <v>10</v>
      </c>
    </row>
    <row r="764" spans="1:8">
      <c r="A764" s="6"/>
      <c r="B764">
        <v>23</v>
      </c>
      <c r="C764">
        <v>40</v>
      </c>
      <c r="D764">
        <v>15</v>
      </c>
      <c r="E764">
        <v>40</v>
      </c>
      <c r="F764">
        <v>64</v>
      </c>
      <c r="G764">
        <v>149</v>
      </c>
      <c r="H764">
        <v>10</v>
      </c>
    </row>
    <row r="765" spans="1:8">
      <c r="A765" s="6"/>
      <c r="B765">
        <v>24</v>
      </c>
      <c r="C765">
        <v>38</v>
      </c>
      <c r="D765">
        <v>5</v>
      </c>
      <c r="E765">
        <v>30</v>
      </c>
      <c r="F765">
        <v>45</v>
      </c>
      <c r="G765">
        <v>164</v>
      </c>
      <c r="H765">
        <v>10</v>
      </c>
    </row>
    <row r="766" spans="1:8">
      <c r="A766" s="6"/>
      <c r="B766">
        <v>25</v>
      </c>
      <c r="C766">
        <v>38</v>
      </c>
      <c r="D766">
        <v>15</v>
      </c>
      <c r="E766">
        <v>10</v>
      </c>
      <c r="F766">
        <v>51</v>
      </c>
      <c r="G766">
        <v>194</v>
      </c>
      <c r="H766">
        <v>10</v>
      </c>
    </row>
    <row r="767" spans="1:8">
      <c r="A767" s="6"/>
      <c r="B767">
        <v>26</v>
      </c>
      <c r="C767">
        <v>35</v>
      </c>
      <c r="D767">
        <v>5</v>
      </c>
      <c r="E767">
        <v>20</v>
      </c>
      <c r="F767">
        <v>45</v>
      </c>
      <c r="G767">
        <v>183</v>
      </c>
      <c r="H767">
        <v>10</v>
      </c>
    </row>
    <row r="768" spans="1:8">
      <c r="A768" s="6"/>
      <c r="B768">
        <v>27</v>
      </c>
      <c r="C768">
        <v>95</v>
      </c>
      <c r="D768">
        <v>30</v>
      </c>
      <c r="E768">
        <v>30</v>
      </c>
      <c r="F768">
        <v>90</v>
      </c>
      <c r="G768">
        <v>169</v>
      </c>
      <c r="H768">
        <v>10</v>
      </c>
    </row>
    <row r="769" spans="1:8">
      <c r="A769" s="6"/>
      <c r="B769">
        <v>28</v>
      </c>
      <c r="C769">
        <v>95</v>
      </c>
      <c r="D769">
        <v>35</v>
      </c>
      <c r="E769">
        <v>20</v>
      </c>
      <c r="F769">
        <v>57</v>
      </c>
      <c r="G769">
        <v>172</v>
      </c>
      <c r="H769">
        <v>10</v>
      </c>
    </row>
    <row r="770" spans="1:8">
      <c r="A770" s="6"/>
      <c r="B770">
        <v>29</v>
      </c>
      <c r="C770">
        <v>92</v>
      </c>
      <c r="D770">
        <v>30</v>
      </c>
      <c r="E770">
        <v>10</v>
      </c>
      <c r="F770">
        <v>55</v>
      </c>
      <c r="G770">
        <v>174</v>
      </c>
      <c r="H770">
        <v>10</v>
      </c>
    </row>
    <row r="771" spans="1:8">
      <c r="A771" s="6"/>
      <c r="B771">
        <v>30</v>
      </c>
      <c r="C771">
        <v>90</v>
      </c>
      <c r="D771">
        <v>35</v>
      </c>
      <c r="E771">
        <v>10</v>
      </c>
      <c r="F771">
        <v>52</v>
      </c>
      <c r="G771">
        <v>174</v>
      </c>
      <c r="H771">
        <v>10</v>
      </c>
    </row>
    <row r="772" spans="1:8">
      <c r="A772" s="6"/>
      <c r="B772">
        <v>31</v>
      </c>
      <c r="C772">
        <v>88</v>
      </c>
      <c r="D772">
        <v>30</v>
      </c>
      <c r="E772">
        <v>10</v>
      </c>
      <c r="F772">
        <v>52</v>
      </c>
      <c r="G772">
        <v>147</v>
      </c>
      <c r="H772">
        <v>10</v>
      </c>
    </row>
    <row r="773" spans="1:8">
      <c r="A773" s="6"/>
      <c r="B773">
        <v>32</v>
      </c>
      <c r="C773">
        <v>88</v>
      </c>
      <c r="D773">
        <v>35</v>
      </c>
      <c r="E773">
        <v>20</v>
      </c>
      <c r="F773">
        <v>50</v>
      </c>
      <c r="G773">
        <v>172</v>
      </c>
      <c r="H773">
        <v>10</v>
      </c>
    </row>
    <row r="774" spans="1:8">
      <c r="A774" s="6"/>
      <c r="B774">
        <v>33</v>
      </c>
      <c r="C774">
        <v>87</v>
      </c>
      <c r="D774">
        <v>30</v>
      </c>
      <c r="E774">
        <v>10</v>
      </c>
      <c r="F774">
        <v>61</v>
      </c>
      <c r="G774">
        <v>178</v>
      </c>
      <c r="H774">
        <v>10</v>
      </c>
    </row>
    <row r="775" spans="1:8">
      <c r="A775" s="6"/>
      <c r="B775">
        <v>34</v>
      </c>
      <c r="C775">
        <v>85</v>
      </c>
      <c r="D775">
        <v>25</v>
      </c>
      <c r="E775">
        <v>10</v>
      </c>
      <c r="F775">
        <v>51</v>
      </c>
      <c r="G775">
        <v>178</v>
      </c>
      <c r="H775">
        <v>10</v>
      </c>
    </row>
    <row r="776" spans="1:8">
      <c r="A776" s="6"/>
      <c r="B776">
        <v>35</v>
      </c>
      <c r="C776">
        <v>85</v>
      </c>
      <c r="D776">
        <v>35</v>
      </c>
      <c r="E776">
        <v>30</v>
      </c>
      <c r="F776">
        <v>83</v>
      </c>
      <c r="G776">
        <v>168</v>
      </c>
      <c r="H776">
        <v>10</v>
      </c>
    </row>
    <row r="777" spans="1:8">
      <c r="A777" s="6"/>
      <c r="B777">
        <v>36</v>
      </c>
      <c r="C777">
        <v>67</v>
      </c>
      <c r="D777">
        <v>85</v>
      </c>
      <c r="E777">
        <v>20</v>
      </c>
      <c r="F777">
        <v>57</v>
      </c>
      <c r="G777">
        <v>185</v>
      </c>
      <c r="H777">
        <v>10</v>
      </c>
    </row>
    <row r="778" spans="1:8">
      <c r="A778" s="6"/>
      <c r="B778">
        <v>37</v>
      </c>
      <c r="C778">
        <v>65</v>
      </c>
      <c r="D778">
        <v>85</v>
      </c>
      <c r="E778">
        <v>40</v>
      </c>
      <c r="F778">
        <v>43</v>
      </c>
      <c r="G778">
        <v>186</v>
      </c>
      <c r="H778">
        <v>10</v>
      </c>
    </row>
    <row r="779" spans="1:8">
      <c r="A779" s="6"/>
      <c r="B779">
        <v>38</v>
      </c>
      <c r="C779">
        <v>65</v>
      </c>
      <c r="D779">
        <v>82</v>
      </c>
      <c r="E779">
        <v>10</v>
      </c>
      <c r="F779">
        <v>95</v>
      </c>
      <c r="G779">
        <v>182</v>
      </c>
      <c r="H779">
        <v>10</v>
      </c>
    </row>
    <row r="780" spans="1:8">
      <c r="A780" s="6"/>
      <c r="B780">
        <v>39</v>
      </c>
      <c r="C780">
        <v>62</v>
      </c>
      <c r="D780">
        <v>80</v>
      </c>
      <c r="E780">
        <v>30</v>
      </c>
      <c r="F780">
        <v>38</v>
      </c>
      <c r="G780">
        <v>141</v>
      </c>
      <c r="H780">
        <v>10</v>
      </c>
    </row>
    <row r="781" spans="1:8">
      <c r="A781" s="6"/>
      <c r="B781">
        <v>40</v>
      </c>
      <c r="C781">
        <v>60</v>
      </c>
      <c r="D781">
        <v>80</v>
      </c>
      <c r="E781">
        <v>10</v>
      </c>
      <c r="F781">
        <v>36</v>
      </c>
      <c r="G781">
        <v>193</v>
      </c>
      <c r="H781">
        <v>10</v>
      </c>
    </row>
    <row r="782" spans="1:8">
      <c r="A782" s="6"/>
      <c r="B782">
        <v>41</v>
      </c>
      <c r="C782">
        <v>60</v>
      </c>
      <c r="D782">
        <v>85</v>
      </c>
      <c r="E782">
        <v>30</v>
      </c>
      <c r="F782">
        <v>61</v>
      </c>
      <c r="G782">
        <v>138</v>
      </c>
      <c r="H782">
        <v>10</v>
      </c>
    </row>
    <row r="783" spans="1:8">
      <c r="A783" s="6"/>
      <c r="B783">
        <v>42</v>
      </c>
      <c r="C783">
        <v>58</v>
      </c>
      <c r="D783">
        <v>75</v>
      </c>
      <c r="E783">
        <v>20</v>
      </c>
      <c r="F783">
        <v>49</v>
      </c>
      <c r="G783">
        <v>164</v>
      </c>
      <c r="H783">
        <v>10</v>
      </c>
    </row>
    <row r="784" spans="1:8">
      <c r="A784" s="6"/>
      <c r="B784">
        <v>43</v>
      </c>
      <c r="C784">
        <v>55</v>
      </c>
      <c r="D784">
        <v>80</v>
      </c>
      <c r="E784">
        <v>10</v>
      </c>
      <c r="F784">
        <v>33</v>
      </c>
      <c r="G784">
        <v>180</v>
      </c>
      <c r="H784">
        <v>10</v>
      </c>
    </row>
    <row r="785" spans="1:8">
      <c r="A785" s="6"/>
      <c r="B785">
        <v>44</v>
      </c>
      <c r="C785">
        <v>55</v>
      </c>
      <c r="D785">
        <v>85</v>
      </c>
      <c r="E785">
        <v>20</v>
      </c>
      <c r="F785">
        <v>100</v>
      </c>
      <c r="G785">
        <v>185</v>
      </c>
      <c r="H785">
        <v>10</v>
      </c>
    </row>
    <row r="786" spans="1:8">
      <c r="A786" s="6"/>
      <c r="B786">
        <v>45</v>
      </c>
      <c r="C786">
        <v>55</v>
      </c>
      <c r="D786">
        <v>82</v>
      </c>
      <c r="E786">
        <v>10</v>
      </c>
      <c r="F786">
        <v>35</v>
      </c>
      <c r="G786">
        <v>142</v>
      </c>
      <c r="H786">
        <v>10</v>
      </c>
    </row>
    <row r="787" spans="1:8">
      <c r="A787" s="6"/>
      <c r="B787">
        <v>46</v>
      </c>
      <c r="C787">
        <v>20</v>
      </c>
      <c r="D787">
        <v>82</v>
      </c>
      <c r="E787">
        <v>10</v>
      </c>
      <c r="F787">
        <v>37</v>
      </c>
      <c r="G787">
        <v>192</v>
      </c>
      <c r="H787">
        <v>10</v>
      </c>
    </row>
    <row r="788" spans="1:8">
      <c r="A788" s="6"/>
      <c r="B788">
        <v>47</v>
      </c>
      <c r="C788">
        <v>18</v>
      </c>
      <c r="D788">
        <v>80</v>
      </c>
      <c r="E788">
        <v>10</v>
      </c>
      <c r="F788">
        <v>71</v>
      </c>
      <c r="G788">
        <v>184</v>
      </c>
      <c r="H788">
        <v>10</v>
      </c>
    </row>
    <row r="789" spans="1:8">
      <c r="A789" s="6"/>
      <c r="B789">
        <v>48</v>
      </c>
      <c r="C789">
        <v>2</v>
      </c>
      <c r="D789">
        <v>45</v>
      </c>
      <c r="E789">
        <v>10</v>
      </c>
      <c r="F789">
        <v>38</v>
      </c>
      <c r="G789">
        <v>191</v>
      </c>
      <c r="H789">
        <v>10</v>
      </c>
    </row>
    <row r="790" spans="1:8">
      <c r="A790" s="6"/>
      <c r="B790">
        <v>49</v>
      </c>
      <c r="C790">
        <v>42</v>
      </c>
      <c r="D790">
        <v>5</v>
      </c>
      <c r="E790">
        <v>10</v>
      </c>
      <c r="F790">
        <v>50</v>
      </c>
      <c r="G790">
        <v>184</v>
      </c>
      <c r="H790">
        <v>10</v>
      </c>
    </row>
    <row r="791" spans="1:8">
      <c r="A791" s="6"/>
      <c r="B791">
        <v>50</v>
      </c>
      <c r="C791">
        <v>42</v>
      </c>
      <c r="D791">
        <v>12</v>
      </c>
      <c r="E791">
        <v>10</v>
      </c>
      <c r="F791">
        <v>99</v>
      </c>
      <c r="G791">
        <v>138</v>
      </c>
      <c r="H791">
        <v>10</v>
      </c>
    </row>
    <row r="792" spans="1:8">
      <c r="A792" s="6"/>
      <c r="B792">
        <v>51</v>
      </c>
      <c r="C792">
        <v>72</v>
      </c>
      <c r="D792">
        <v>35</v>
      </c>
      <c r="E792">
        <v>30</v>
      </c>
      <c r="F792">
        <v>83</v>
      </c>
      <c r="G792">
        <v>178</v>
      </c>
      <c r="H792">
        <v>10</v>
      </c>
    </row>
    <row r="793" spans="1:8">
      <c r="A793" s="6"/>
      <c r="B793">
        <v>52</v>
      </c>
      <c r="C793">
        <v>55</v>
      </c>
      <c r="D793">
        <v>20</v>
      </c>
      <c r="E793">
        <v>19</v>
      </c>
      <c r="F793">
        <v>45</v>
      </c>
      <c r="G793">
        <v>150</v>
      </c>
      <c r="H793">
        <v>10</v>
      </c>
    </row>
    <row r="794" spans="1:8">
      <c r="A794" s="6"/>
      <c r="B794">
        <v>53</v>
      </c>
      <c r="C794">
        <v>25</v>
      </c>
      <c r="D794">
        <v>30</v>
      </c>
      <c r="E794">
        <v>3</v>
      </c>
      <c r="F794">
        <v>25</v>
      </c>
      <c r="G794">
        <v>150</v>
      </c>
      <c r="H794">
        <v>10</v>
      </c>
    </row>
    <row r="795" spans="1:8">
      <c r="A795" s="6"/>
      <c r="B795">
        <v>54</v>
      </c>
      <c r="C795">
        <v>20</v>
      </c>
      <c r="D795">
        <v>50</v>
      </c>
      <c r="E795">
        <v>5</v>
      </c>
      <c r="F795">
        <v>68</v>
      </c>
      <c r="G795">
        <v>143</v>
      </c>
      <c r="H795">
        <v>10</v>
      </c>
    </row>
    <row r="796" spans="1:8">
      <c r="A796" s="6"/>
      <c r="B796">
        <v>55</v>
      </c>
      <c r="C796">
        <v>55</v>
      </c>
      <c r="D796">
        <v>60</v>
      </c>
      <c r="E796">
        <v>16</v>
      </c>
      <c r="F796">
        <v>107</v>
      </c>
      <c r="G796">
        <v>200</v>
      </c>
      <c r="H796">
        <v>10</v>
      </c>
    </row>
    <row r="797" spans="1:8">
      <c r="A797" s="6"/>
      <c r="B797">
        <v>56</v>
      </c>
      <c r="C797">
        <v>30</v>
      </c>
      <c r="D797">
        <v>60</v>
      </c>
      <c r="E797">
        <v>16</v>
      </c>
      <c r="F797">
        <v>95</v>
      </c>
      <c r="G797">
        <v>214</v>
      </c>
      <c r="H797">
        <v>10</v>
      </c>
    </row>
    <row r="798" spans="1:8">
      <c r="A798" s="6"/>
      <c r="B798">
        <v>57</v>
      </c>
      <c r="C798">
        <v>50</v>
      </c>
      <c r="D798">
        <v>35</v>
      </c>
      <c r="E798">
        <v>19</v>
      </c>
      <c r="F798">
        <v>91</v>
      </c>
      <c r="G798">
        <v>198</v>
      </c>
      <c r="H798">
        <v>10</v>
      </c>
    </row>
    <row r="799" spans="1:8">
      <c r="A799" s="6"/>
      <c r="B799">
        <v>58</v>
      </c>
      <c r="C799">
        <v>30</v>
      </c>
      <c r="D799">
        <v>25</v>
      </c>
      <c r="E799">
        <v>23</v>
      </c>
      <c r="F799">
        <v>56</v>
      </c>
      <c r="G799">
        <v>165</v>
      </c>
      <c r="H799">
        <v>10</v>
      </c>
    </row>
    <row r="800" spans="1:8">
      <c r="A800" s="6"/>
      <c r="B800">
        <v>59</v>
      </c>
      <c r="C800">
        <v>15</v>
      </c>
      <c r="D800">
        <v>10</v>
      </c>
      <c r="E800">
        <v>20</v>
      </c>
      <c r="F800">
        <v>51</v>
      </c>
      <c r="G800">
        <v>182</v>
      </c>
      <c r="H800">
        <v>10</v>
      </c>
    </row>
    <row r="801" spans="1:8">
      <c r="A801" s="6"/>
      <c r="B801">
        <v>60</v>
      </c>
      <c r="C801">
        <v>10</v>
      </c>
      <c r="D801">
        <v>20</v>
      </c>
      <c r="E801">
        <v>19</v>
      </c>
      <c r="F801">
        <v>42</v>
      </c>
      <c r="G801">
        <v>187</v>
      </c>
      <c r="H801">
        <v>10</v>
      </c>
    </row>
    <row r="802" spans="1:8">
      <c r="A802" s="6"/>
      <c r="B802">
        <v>61</v>
      </c>
      <c r="C802">
        <v>15</v>
      </c>
      <c r="D802">
        <v>60</v>
      </c>
      <c r="E802">
        <v>17</v>
      </c>
      <c r="F802">
        <v>62</v>
      </c>
      <c r="G802">
        <v>203</v>
      </c>
      <c r="H802">
        <v>10</v>
      </c>
    </row>
    <row r="803" spans="1:8">
      <c r="A803" s="6"/>
      <c r="B803">
        <v>62</v>
      </c>
      <c r="C803">
        <v>45</v>
      </c>
      <c r="D803">
        <v>65</v>
      </c>
      <c r="E803">
        <v>9</v>
      </c>
      <c r="F803">
        <v>37</v>
      </c>
      <c r="G803">
        <v>124</v>
      </c>
      <c r="H803">
        <v>10</v>
      </c>
    </row>
    <row r="804" spans="1:8">
      <c r="A804" s="6"/>
      <c r="B804">
        <v>63</v>
      </c>
      <c r="C804">
        <v>65</v>
      </c>
      <c r="D804">
        <v>35</v>
      </c>
      <c r="E804">
        <v>3</v>
      </c>
      <c r="F804">
        <v>29</v>
      </c>
      <c r="G804">
        <v>168</v>
      </c>
      <c r="H804">
        <v>10</v>
      </c>
    </row>
    <row r="805" spans="1:8">
      <c r="A805" s="6"/>
      <c r="B805">
        <v>64</v>
      </c>
      <c r="C805">
        <v>65</v>
      </c>
      <c r="D805">
        <v>20</v>
      </c>
      <c r="E805">
        <v>6</v>
      </c>
      <c r="F805">
        <v>39</v>
      </c>
      <c r="G805">
        <v>190</v>
      </c>
      <c r="H805">
        <v>10</v>
      </c>
    </row>
    <row r="806" spans="1:8">
      <c r="A806" s="6"/>
      <c r="B806">
        <v>65</v>
      </c>
      <c r="C806">
        <v>45</v>
      </c>
      <c r="D806">
        <v>30</v>
      </c>
      <c r="E806">
        <v>17</v>
      </c>
      <c r="F806">
        <v>20</v>
      </c>
      <c r="G806">
        <v>139</v>
      </c>
      <c r="H806">
        <v>10</v>
      </c>
    </row>
    <row r="807" spans="1:8">
      <c r="A807" s="6"/>
      <c r="B807">
        <v>66</v>
      </c>
      <c r="C807">
        <v>35</v>
      </c>
      <c r="D807">
        <v>40</v>
      </c>
      <c r="E807">
        <v>16</v>
      </c>
      <c r="F807">
        <v>11</v>
      </c>
      <c r="G807">
        <v>150</v>
      </c>
      <c r="H807">
        <v>10</v>
      </c>
    </row>
    <row r="808" spans="1:8">
      <c r="A808" s="6"/>
      <c r="B808">
        <v>67</v>
      </c>
      <c r="C808">
        <v>41</v>
      </c>
      <c r="D808">
        <v>37</v>
      </c>
      <c r="E808">
        <v>16</v>
      </c>
      <c r="F808">
        <v>97</v>
      </c>
      <c r="G808">
        <v>198</v>
      </c>
      <c r="H808">
        <v>10</v>
      </c>
    </row>
    <row r="809" spans="1:8">
      <c r="A809" s="6"/>
      <c r="B809">
        <v>68</v>
      </c>
      <c r="C809">
        <v>64</v>
      </c>
      <c r="D809">
        <v>42</v>
      </c>
      <c r="E809">
        <v>9</v>
      </c>
      <c r="F809">
        <v>31</v>
      </c>
      <c r="G809">
        <v>138</v>
      </c>
      <c r="H809">
        <v>10</v>
      </c>
    </row>
    <row r="810" spans="1:8">
      <c r="A810" s="6"/>
      <c r="B810">
        <v>69</v>
      </c>
      <c r="C810">
        <v>40</v>
      </c>
      <c r="D810">
        <v>60</v>
      </c>
      <c r="E810">
        <v>21</v>
      </c>
      <c r="F810">
        <v>101</v>
      </c>
      <c r="G810">
        <v>216</v>
      </c>
      <c r="H810">
        <v>10</v>
      </c>
    </row>
    <row r="811" spans="1:8">
      <c r="A811" s="6"/>
      <c r="B811">
        <v>70</v>
      </c>
      <c r="C811">
        <v>31</v>
      </c>
      <c r="D811">
        <v>52</v>
      </c>
      <c r="E811">
        <v>27</v>
      </c>
      <c r="F811">
        <v>9</v>
      </c>
      <c r="G811">
        <v>139</v>
      </c>
      <c r="H811">
        <v>10</v>
      </c>
    </row>
    <row r="812" spans="1:8">
      <c r="A812" s="6"/>
      <c r="B812">
        <v>71</v>
      </c>
      <c r="C812">
        <v>35</v>
      </c>
      <c r="D812">
        <v>69</v>
      </c>
      <c r="E812">
        <v>23</v>
      </c>
      <c r="F812">
        <v>30</v>
      </c>
      <c r="G812">
        <v>210</v>
      </c>
      <c r="H812">
        <v>10</v>
      </c>
    </row>
    <row r="813" spans="1:8">
      <c r="A813" s="6"/>
      <c r="B813">
        <v>72</v>
      </c>
      <c r="C813">
        <v>65</v>
      </c>
      <c r="D813">
        <v>55</v>
      </c>
      <c r="E813">
        <v>14</v>
      </c>
      <c r="F813">
        <v>30</v>
      </c>
      <c r="G813">
        <v>129</v>
      </c>
      <c r="H813">
        <v>10</v>
      </c>
    </row>
    <row r="814" spans="1:8">
      <c r="A814" s="6"/>
      <c r="B814">
        <v>73</v>
      </c>
      <c r="C814">
        <v>63</v>
      </c>
      <c r="D814">
        <v>65</v>
      </c>
      <c r="E814">
        <v>8</v>
      </c>
      <c r="F814">
        <v>27</v>
      </c>
      <c r="G814">
        <v>202</v>
      </c>
      <c r="H814">
        <v>10</v>
      </c>
    </row>
    <row r="815" spans="1:8">
      <c r="A815" s="6"/>
      <c r="B815">
        <v>74</v>
      </c>
      <c r="C815">
        <v>2</v>
      </c>
      <c r="D815">
        <v>60</v>
      </c>
      <c r="E815">
        <v>5</v>
      </c>
      <c r="F815">
        <v>46</v>
      </c>
      <c r="G815">
        <v>137</v>
      </c>
      <c r="H815">
        <v>10</v>
      </c>
    </row>
    <row r="816" spans="1:8">
      <c r="A816" s="6"/>
      <c r="B816">
        <v>75</v>
      </c>
      <c r="C816">
        <v>20</v>
      </c>
      <c r="D816">
        <v>20</v>
      </c>
      <c r="E816">
        <v>8</v>
      </c>
      <c r="F816">
        <v>71</v>
      </c>
      <c r="G816">
        <v>193</v>
      </c>
      <c r="H816">
        <v>10</v>
      </c>
    </row>
    <row r="817" spans="1:8">
      <c r="A817" s="6"/>
      <c r="B817">
        <v>76</v>
      </c>
      <c r="C817">
        <v>5</v>
      </c>
      <c r="D817">
        <v>5</v>
      </c>
      <c r="E817">
        <v>16</v>
      </c>
      <c r="F817">
        <v>57</v>
      </c>
      <c r="G817">
        <v>165</v>
      </c>
      <c r="H817">
        <v>10</v>
      </c>
    </row>
    <row r="818" spans="1:8">
      <c r="A818" s="6"/>
      <c r="B818">
        <v>77</v>
      </c>
      <c r="C818">
        <v>60</v>
      </c>
      <c r="D818">
        <v>12</v>
      </c>
      <c r="E818">
        <v>31</v>
      </c>
      <c r="F818">
        <v>48</v>
      </c>
      <c r="G818">
        <v>131</v>
      </c>
      <c r="H818">
        <v>10</v>
      </c>
    </row>
    <row r="819" spans="1:8">
      <c r="A819" s="6"/>
      <c r="B819">
        <v>78</v>
      </c>
      <c r="C819">
        <v>23</v>
      </c>
      <c r="D819">
        <v>3</v>
      </c>
      <c r="E819">
        <v>7</v>
      </c>
      <c r="F819">
        <v>49</v>
      </c>
      <c r="G819">
        <v>180</v>
      </c>
      <c r="H819">
        <v>10</v>
      </c>
    </row>
    <row r="820" spans="1:8">
      <c r="A820" s="6"/>
      <c r="B820">
        <v>79</v>
      </c>
      <c r="C820">
        <v>8</v>
      </c>
      <c r="D820">
        <v>56</v>
      </c>
      <c r="E820">
        <v>27</v>
      </c>
      <c r="F820">
        <v>47</v>
      </c>
      <c r="G820">
        <v>162</v>
      </c>
      <c r="H820">
        <v>10</v>
      </c>
    </row>
    <row r="821" spans="1:8">
      <c r="A821" s="6"/>
      <c r="B821">
        <v>80</v>
      </c>
      <c r="C821">
        <v>6</v>
      </c>
      <c r="D821">
        <v>68</v>
      </c>
      <c r="E821">
        <v>30</v>
      </c>
      <c r="F821">
        <v>65</v>
      </c>
      <c r="G821">
        <v>142</v>
      </c>
      <c r="H821">
        <v>10</v>
      </c>
    </row>
    <row r="822" spans="1:8">
      <c r="A822" s="6"/>
      <c r="B822">
        <v>81</v>
      </c>
      <c r="C822">
        <v>47</v>
      </c>
      <c r="D822">
        <v>47</v>
      </c>
      <c r="E822">
        <v>13</v>
      </c>
      <c r="F822">
        <v>93</v>
      </c>
      <c r="G822">
        <v>222</v>
      </c>
      <c r="H822">
        <v>10</v>
      </c>
    </row>
    <row r="823" spans="1:8">
      <c r="A823" s="6"/>
      <c r="B823">
        <v>82</v>
      </c>
      <c r="C823">
        <v>49</v>
      </c>
      <c r="D823">
        <v>58</v>
      </c>
      <c r="E823">
        <v>10</v>
      </c>
      <c r="F823">
        <v>78</v>
      </c>
      <c r="G823">
        <v>123</v>
      </c>
      <c r="H823">
        <v>10</v>
      </c>
    </row>
    <row r="824" spans="1:8">
      <c r="A824" s="6"/>
      <c r="B824">
        <v>83</v>
      </c>
      <c r="C824">
        <v>27</v>
      </c>
      <c r="D824">
        <v>43</v>
      </c>
      <c r="E824">
        <v>9</v>
      </c>
      <c r="F824">
        <v>14</v>
      </c>
      <c r="G824">
        <v>140</v>
      </c>
      <c r="H824">
        <v>10</v>
      </c>
    </row>
    <row r="825" spans="1:8">
      <c r="A825" s="6"/>
      <c r="B825">
        <v>84</v>
      </c>
      <c r="C825">
        <v>37</v>
      </c>
      <c r="D825">
        <v>31</v>
      </c>
      <c r="E825">
        <v>14</v>
      </c>
      <c r="F825">
        <v>19</v>
      </c>
      <c r="G825">
        <v>172</v>
      </c>
      <c r="H825">
        <v>10</v>
      </c>
    </row>
    <row r="826" spans="1:8">
      <c r="A826" s="6"/>
      <c r="B826">
        <v>85</v>
      </c>
      <c r="C826">
        <v>57</v>
      </c>
      <c r="D826">
        <v>29</v>
      </c>
      <c r="E826">
        <v>18</v>
      </c>
      <c r="F826">
        <v>73</v>
      </c>
      <c r="G826">
        <v>148</v>
      </c>
      <c r="H826">
        <v>10</v>
      </c>
    </row>
    <row r="827" spans="1:8">
      <c r="A827" s="6"/>
      <c r="B827">
        <v>86</v>
      </c>
      <c r="C827">
        <v>63</v>
      </c>
      <c r="D827">
        <v>23</v>
      </c>
      <c r="E827">
        <v>2</v>
      </c>
      <c r="F827">
        <v>59</v>
      </c>
      <c r="G827">
        <v>144</v>
      </c>
      <c r="H827">
        <v>10</v>
      </c>
    </row>
    <row r="828" spans="1:8">
      <c r="A828" s="6"/>
      <c r="B828">
        <v>87</v>
      </c>
      <c r="C828">
        <v>21</v>
      </c>
      <c r="D828">
        <v>24</v>
      </c>
      <c r="E828">
        <v>28</v>
      </c>
      <c r="F828">
        <v>63</v>
      </c>
      <c r="G828">
        <v>140</v>
      </c>
      <c r="H828">
        <v>10</v>
      </c>
    </row>
    <row r="829" spans="1:8">
      <c r="A829" s="6"/>
      <c r="B829">
        <v>88</v>
      </c>
      <c r="C829">
        <v>12</v>
      </c>
      <c r="D829">
        <v>24</v>
      </c>
      <c r="E829">
        <v>13</v>
      </c>
      <c r="F829">
        <v>91</v>
      </c>
      <c r="G829">
        <v>118</v>
      </c>
      <c r="H829">
        <v>10</v>
      </c>
    </row>
    <row r="830" spans="1:8">
      <c r="A830" s="6"/>
      <c r="B830">
        <v>89</v>
      </c>
      <c r="C830">
        <v>24</v>
      </c>
      <c r="D830">
        <v>58</v>
      </c>
      <c r="E830">
        <v>19</v>
      </c>
      <c r="F830">
        <v>27</v>
      </c>
      <c r="G830">
        <v>136</v>
      </c>
      <c r="H830">
        <v>10</v>
      </c>
    </row>
    <row r="831" spans="1:8">
      <c r="A831" s="6"/>
      <c r="B831">
        <v>90</v>
      </c>
      <c r="C831">
        <v>67</v>
      </c>
      <c r="D831">
        <v>5</v>
      </c>
      <c r="E831">
        <v>25</v>
      </c>
      <c r="F831">
        <v>52</v>
      </c>
      <c r="G831">
        <v>177</v>
      </c>
      <c r="H831">
        <v>10</v>
      </c>
    </row>
    <row r="832" spans="1:8">
      <c r="A832" s="6"/>
      <c r="B832">
        <v>91</v>
      </c>
      <c r="C832">
        <v>37</v>
      </c>
      <c r="D832">
        <v>47</v>
      </c>
      <c r="E832">
        <v>6</v>
      </c>
      <c r="F832">
        <v>53</v>
      </c>
      <c r="G832">
        <v>148</v>
      </c>
      <c r="H832">
        <v>10</v>
      </c>
    </row>
    <row r="833" spans="1:8">
      <c r="A833" s="6"/>
      <c r="B833">
        <v>92</v>
      </c>
      <c r="C833">
        <v>49</v>
      </c>
      <c r="D833">
        <v>42</v>
      </c>
      <c r="E833">
        <v>13</v>
      </c>
      <c r="F833">
        <v>89</v>
      </c>
      <c r="G833">
        <v>217</v>
      </c>
      <c r="H833">
        <v>10</v>
      </c>
    </row>
    <row r="834" spans="1:8">
      <c r="A834" s="6"/>
      <c r="B834">
        <v>93</v>
      </c>
      <c r="C834">
        <v>53</v>
      </c>
      <c r="D834">
        <v>43</v>
      </c>
      <c r="E834">
        <v>14</v>
      </c>
      <c r="F834">
        <v>14</v>
      </c>
      <c r="G834">
        <v>177</v>
      </c>
      <c r="H834">
        <v>10</v>
      </c>
    </row>
    <row r="835" spans="1:8">
      <c r="A835" s="6"/>
      <c r="B835">
        <v>94</v>
      </c>
      <c r="C835">
        <v>61</v>
      </c>
      <c r="D835">
        <v>52</v>
      </c>
      <c r="E835">
        <v>3</v>
      </c>
      <c r="F835">
        <v>50</v>
      </c>
      <c r="G835">
        <v>208</v>
      </c>
      <c r="H835">
        <v>10</v>
      </c>
    </row>
    <row r="836" spans="1:8">
      <c r="A836" s="6"/>
      <c r="B836">
        <v>95</v>
      </c>
      <c r="C836">
        <v>57</v>
      </c>
      <c r="D836">
        <v>48</v>
      </c>
      <c r="E836">
        <v>23</v>
      </c>
      <c r="F836">
        <v>76</v>
      </c>
      <c r="G836">
        <v>143</v>
      </c>
      <c r="H836">
        <v>10</v>
      </c>
    </row>
    <row r="837" spans="1:8">
      <c r="A837" s="6"/>
      <c r="B837">
        <v>96</v>
      </c>
      <c r="C837">
        <v>56</v>
      </c>
      <c r="D837">
        <v>37</v>
      </c>
      <c r="E837">
        <v>6</v>
      </c>
      <c r="F837">
        <v>20</v>
      </c>
      <c r="G837">
        <v>159</v>
      </c>
      <c r="H837">
        <v>10</v>
      </c>
    </row>
    <row r="838" spans="1:8">
      <c r="A838" s="6"/>
      <c r="B838">
        <v>97</v>
      </c>
      <c r="C838">
        <v>55</v>
      </c>
      <c r="D838">
        <v>54</v>
      </c>
      <c r="E838">
        <v>26</v>
      </c>
      <c r="F838">
        <v>105</v>
      </c>
      <c r="G838">
        <v>188</v>
      </c>
      <c r="H838">
        <v>10</v>
      </c>
    </row>
    <row r="839" spans="1:8">
      <c r="A839" s="6"/>
      <c r="B839">
        <v>98</v>
      </c>
      <c r="C839">
        <v>4</v>
      </c>
      <c r="D839">
        <v>18</v>
      </c>
      <c r="E839">
        <v>35</v>
      </c>
      <c r="F839">
        <v>104</v>
      </c>
      <c r="G839">
        <v>165</v>
      </c>
      <c r="H839">
        <v>10</v>
      </c>
    </row>
    <row r="840" spans="1:8">
      <c r="A840" s="6"/>
      <c r="B840">
        <v>99</v>
      </c>
      <c r="C840">
        <v>26</v>
      </c>
      <c r="D840">
        <v>52</v>
      </c>
      <c r="E840">
        <v>9</v>
      </c>
      <c r="F840">
        <v>14</v>
      </c>
      <c r="G840">
        <v>136</v>
      </c>
      <c r="H840">
        <v>10</v>
      </c>
    </row>
    <row r="841" spans="1:8">
      <c r="A841" s="6"/>
      <c r="B841">
        <v>100</v>
      </c>
      <c r="C841">
        <v>26</v>
      </c>
      <c r="D841">
        <v>35</v>
      </c>
      <c r="E841">
        <v>15</v>
      </c>
      <c r="F841">
        <v>42</v>
      </c>
      <c r="G841">
        <v>141</v>
      </c>
      <c r="H841">
        <v>10</v>
      </c>
    </row>
    <row r="842" spans="1:8">
      <c r="A842" s="6"/>
      <c r="B842">
        <v>101</v>
      </c>
      <c r="C842">
        <v>31</v>
      </c>
      <c r="D842">
        <v>67</v>
      </c>
      <c r="E842">
        <v>3</v>
      </c>
      <c r="F842">
        <v>43</v>
      </c>
      <c r="G842">
        <v>210</v>
      </c>
      <c r="H842">
        <v>10</v>
      </c>
    </row>
    <row r="845" spans="1:8">
      <c r="A845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AG</vt:lpstr>
      <vt:lpstr>FIRST_POP</vt:lpstr>
      <vt:lpstr>MANUAL_CHECK</vt:lpstr>
      <vt:lpstr>DIST</vt:lpstr>
      <vt:lpstr>DATA</vt:lpstr>
      <vt:lpstr>R1_Dataset</vt:lpstr>
      <vt:lpstr>C1_Dataset</vt:lpstr>
      <vt:lpstr>RC1_Dataset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afsar</dc:creator>
  <cp:lastModifiedBy>Matthieu Lepicier</cp:lastModifiedBy>
  <dcterms:created xsi:type="dcterms:W3CDTF">2020-09-29T14:16:35Z</dcterms:created>
  <dcterms:modified xsi:type="dcterms:W3CDTF">2022-07-04T21:31:40Z</dcterms:modified>
</cp:coreProperties>
</file>